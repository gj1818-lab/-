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리스크 요약" sheetId="4" state="visible" r:id="rId6"/>
  </sheets>
  <definedNames>
    <definedName function="false" hidden="true" localSheetId="2" name="_xlnm._FilterDatabase" vbProcedure="false">'소재역산 트래커'!$A$4:$AA$428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<sst xmlns="http://schemas.openxmlformats.org/spreadsheetml/2006/main" count="5043" uniqueCount="1297">
  <si>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27</t>
    </r>
    <r>
      <rPr>
        <b val="true"/>
        <sz val="16"/>
        <color rgb="FFFFFFFF"/>
        <rFont val="WenQuanYi Zen Hei"/>
        <family val="2"/>
      </rPr>
      <t xml:space="preserve">년 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연휴 보정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</si>
  <si>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</si>
  <si>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</si>
  <si>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단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</si>
  <si>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</t>
    </r>
  </si>
  <si>
    <r>
      <rPr>
        <sz val="11"/>
        <color rgb="FF212121"/>
        <rFont val="맑은 고딕"/>
        <family val="0"/>
        <charset val="1"/>
      </rPr>
      <t xml:space="preserve">   · </t>
    </r>
    <r>
      <rPr>
        <sz val="11"/>
        <color rgb="FF212121"/>
        <rFont val="WenQuanYi Zen Hei"/>
        <family val="2"/>
      </rPr>
      <t xml:space="preserve">공장휴무 보정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생산기간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~</t>
    </r>
    <r>
      <rPr>
        <sz val="11"/>
        <color rgb="FF212121"/>
        <rFont val="WenQuanYi Zen Hei"/>
        <family val="2"/>
      </rPr>
      <t xml:space="preserve">제품입고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이 공장 휴무와 겹치는 일수만큼 마감일을 추가로 앞당김</t>
    </r>
  </si>
  <si>
    <r>
      <rPr>
        <sz val="11"/>
        <color rgb="FF212121"/>
        <rFont val="맑은 고딕"/>
        <family val="0"/>
        <charset val="1"/>
      </rPr>
      <t xml:space="preserve">   · 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원산지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춘절 휴무 </t>
    </r>
    <r>
      <rPr>
        <sz val="11"/>
        <color rgb="FF212121"/>
        <rFont val="맑은 고딕"/>
        <family val="0"/>
        <charset val="1"/>
      </rPr>
      <t xml:space="preserve">2/1~2/15 </t>
    </r>
    <r>
      <rPr>
        <sz val="11"/>
        <color rgb="FF212121"/>
        <rFont val="WenQuanYi Zen Hei"/>
        <family val="2"/>
      </rPr>
      <t xml:space="preserve">가정</t>
    </r>
    <r>
      <rPr>
        <sz val="11"/>
        <color rgb="FF212121"/>
        <rFont val="맑은 고딕"/>
        <family val="0"/>
        <charset val="1"/>
      </rPr>
      <t xml:space="preserve">(15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조정 가능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한국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설 연휴 </t>
    </r>
    <r>
      <rPr>
        <sz val="11"/>
        <color rgb="FF212121"/>
        <rFont val="맑은 고딕"/>
        <family val="0"/>
        <charset val="1"/>
      </rPr>
      <t xml:space="preserve">2/5~2/8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</si>
  <si>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</si>
  <si>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</si>
  <si>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b val="true"/>
        <sz val="12"/>
        <color rgb="FF2C5F2D"/>
        <rFont val="맑은 고딕"/>
        <family val="0"/>
        <charset val="1"/>
      </rPr>
      <t xml:space="preserve">27</t>
    </r>
    <r>
      <rPr>
        <b val="true"/>
        <sz val="12"/>
        <color rgb="FF2C5F2D"/>
        <rFont val="WenQuanYi Zen Hei"/>
        <family val="2"/>
      </rPr>
      <t xml:space="preserve">년 구정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설</t>
    </r>
    <r>
      <rPr>
        <b val="true"/>
        <sz val="12"/>
        <color rgb="FF2C5F2D"/>
        <rFont val="맑은 고딕"/>
        <family val="0"/>
        <charset val="1"/>
      </rPr>
      <t xml:space="preserve">) </t>
    </r>
    <r>
      <rPr>
        <b val="true"/>
        <sz val="12"/>
        <color rgb="FF2C5F2D"/>
        <rFont val="WenQuanYi Zen Hei"/>
        <family val="2"/>
      </rPr>
      <t xml:space="preserve">기준일</t>
    </r>
  </si>
  <si>
    <r>
      <rPr>
        <sz val="11"/>
        <color rgb="FF212121"/>
        <rFont val="맑은 고딕"/>
        <family val="0"/>
        <charset val="1"/>
      </rPr>
      <t xml:space="preserve">· 2027</t>
    </r>
    <r>
      <rPr>
        <sz val="11"/>
        <color rgb="FF212121"/>
        <rFont val="WenQuanYi Zen Hei"/>
        <family val="2"/>
      </rPr>
      <t xml:space="preserve">년 설날</t>
    </r>
    <r>
      <rPr>
        <sz val="11"/>
        <color rgb="FF212121"/>
        <rFont val="맑은 고딕"/>
        <family val="0"/>
        <charset val="1"/>
      </rPr>
      <t xml:space="preserve">: 2/6(</t>
    </r>
    <r>
      <rPr>
        <sz val="11"/>
        <color rgb="FF212121"/>
        <rFont val="WenQuanYi Zen Hei"/>
        <family val="2"/>
      </rPr>
      <t xml:space="preserve">토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법정 연휴 </t>
    </r>
    <r>
      <rPr>
        <sz val="11"/>
        <color rgb="FF212121"/>
        <rFont val="맑은 고딕"/>
        <family val="0"/>
        <charset val="1"/>
      </rPr>
      <t xml:space="preserve">2/5(</t>
    </r>
    <r>
      <rPr>
        <sz val="11"/>
        <color rgb="FF212121"/>
        <rFont val="WenQuanYi Zen Hei"/>
        <family val="2"/>
      </rPr>
      <t xml:space="preserve">금</t>
    </r>
    <r>
      <rPr>
        <sz val="11"/>
        <color rgb="FF212121"/>
        <rFont val="맑은 고딕"/>
        <family val="0"/>
        <charset val="1"/>
      </rPr>
      <t xml:space="preserve">)~2/7(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 + </t>
    </r>
    <r>
      <rPr>
        <sz val="11"/>
        <color rgb="FF212121"/>
        <rFont val="WenQuanYi Zen Hei"/>
        <family val="2"/>
      </rPr>
      <t xml:space="preserve">대체공휴일 </t>
    </r>
    <r>
      <rPr>
        <sz val="11"/>
        <color rgb="FF212121"/>
        <rFont val="맑은 고딕"/>
        <family val="0"/>
        <charset val="1"/>
      </rPr>
      <t xml:space="preserve">2/8(</t>
    </r>
    <r>
      <rPr>
        <sz val="11"/>
        <color rgb="FF212121"/>
        <rFont val="WenQuanYi Zen Hei"/>
        <family val="2"/>
      </rPr>
      <t xml:space="preserve">월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</si>
  <si>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중국 춘절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베트남 뗏 공장 가동중단은 통상 전후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주로 가정 </t>
    </r>
    <r>
      <rPr>
        <sz val="11"/>
        <color rgb="FF212121"/>
        <rFont val="맑은 고딕"/>
        <family val="0"/>
        <charset val="1"/>
      </rPr>
      <t xml:space="preserve">(2/1~2/15) — [</t>
    </r>
    <r>
      <rPr>
        <sz val="11"/>
        <color rgb="FF212121"/>
        <rFont val="WenQuanYi Zen Hei"/>
        <family val="2"/>
      </rPr>
      <t xml:space="preserve">기준정보</t>
    </r>
    <r>
      <rPr>
        <sz val="11"/>
        <color rgb="FF212121"/>
        <rFont val="맑은 고딕"/>
        <family val="0"/>
        <charset val="1"/>
      </rPr>
      <t xml:space="preserve">]</t>
    </r>
    <r>
      <rPr>
        <sz val="11"/>
        <color rgb="FF212121"/>
        <rFont val="WenQuanYi Zen Hei"/>
        <family val="2"/>
      </rPr>
      <t xml:space="preserve">에서 날짜 조정 가능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</si>
  <si>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</si>
  <si>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(O/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</si>
  <si>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</si>
  <si>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</si>
  <si>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</si>
  <si>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23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건수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전컬러 </t>
    </r>
    <r>
      <rPr>
        <sz val="10"/>
        <color rgb="FF666666"/>
        <rFont val="맑은 고딕"/>
        <family val="0"/>
        <charset val="1"/>
      </rPr>
      <t xml:space="preserve">O / </t>
    </r>
    <r>
      <rPr>
        <sz val="10"/>
        <color rgb="FF666666"/>
        <rFont val="WenQuanYi Zen Hei"/>
        <family val="2"/>
      </rPr>
      <t xml:space="preserve">일부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부분</t>
    </r>
    <r>
      <rPr>
        <sz val="10"/>
        <color rgb="FF666666"/>
        <rFont val="맑은 고딕"/>
        <family val="0"/>
        <charset val="1"/>
      </rPr>
      <t xml:space="preserve">' / </t>
    </r>
    <r>
      <rPr>
        <sz val="10"/>
        <color rgb="FF666666"/>
        <rFont val="WenQuanYi Zen Hei"/>
        <family val="2"/>
      </rPr>
      <t xml:space="preserve">없음 </t>
    </r>
    <r>
      <rPr>
        <sz val="10"/>
        <color rgb="FF666666"/>
        <rFont val="맑은 고딕"/>
        <family val="0"/>
        <charset val="1"/>
      </rPr>
      <t xml:space="preserve">X)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</si>
  <si>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열 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</t>
    </r>
    <r>
      <rPr>
        <sz val="10"/>
        <color rgb="FF666666"/>
        <rFont val="맑은 고딕"/>
        <family val="0"/>
        <charset val="1"/>
      </rPr>
      <t xml:space="preserve">(204</t>
    </r>
    <r>
      <rPr>
        <sz val="10"/>
        <color rgb="FF666666"/>
        <rFont val="WenQuanYi Zen Hei"/>
        <family val="2"/>
      </rPr>
      <t xml:space="preserve">개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병기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</si>
  <si>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EDW_RAW </t>
    </r>
    <r>
      <rPr>
        <sz val="10"/>
        <color rgb="FF666666"/>
        <rFont val="WenQuanYi Zen Hei"/>
        <family val="2"/>
      </rPr>
      <t xml:space="preserve">사양확정 결재일자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, 393/424 </t>
    </r>
    <r>
      <rPr>
        <sz val="10"/>
        <color rgb="FF666666"/>
        <rFont val="WenQuanYi Zen Hei"/>
        <family val="2"/>
      </rPr>
      <t xml:space="preserve">매칭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공란</t>
    </r>
    <r>
      <rPr>
        <sz val="10"/>
        <color rgb="FF666666"/>
        <rFont val="맑은 고딕"/>
        <family val="0"/>
        <charset val="1"/>
      </rPr>
      <t xml:space="preserve">=</t>
    </r>
    <r>
      <rPr>
        <sz val="10"/>
        <color rgb="FF666666"/>
        <rFont val="WenQuanYi Zen Hei"/>
        <family val="2"/>
      </rPr>
      <t xml:space="preserve">전산 미대사</t>
    </r>
    <r>
      <rPr>
        <sz val="10"/>
        <color rgb="FF666666"/>
        <rFont val="맑은 고딕"/>
        <family val="0"/>
        <charset val="1"/>
      </rPr>
      <t xml:space="preserve">) —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판정 미반영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</si>
  <si>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</si>
  <si>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</si>
  <si>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</si>
  <si>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</si>
  <si>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</si>
  <si>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</si>
  <si>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</si>
  <si>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</si>
  <si>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</si>
  <si>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</si>
  <si>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</si>
  <si>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</si>
  <si>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</si>
  <si>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</si>
  <si>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</si>
  <si>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</si>
  <si>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</si>
  <si>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</si>
  <si>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</si>
  <si>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</si>
  <si>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</si>
  <si>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</si>
  <si>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</si>
  <si>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출고−</t>
    </r>
    <r>
      <rPr>
        <b val="true"/>
        <sz val="14"/>
        <color rgb="FFFFFFFF"/>
        <rFont val="맑은 고딕"/>
        <family val="0"/>
        <charset val="1"/>
      </rPr>
      <t xml:space="preserve">2</t>
    </r>
    <r>
      <rPr>
        <b val="true"/>
        <sz val="14"/>
        <color rgb="FFFFFFFF"/>
        <rFont val="WenQuanYi Zen Hei"/>
        <family val="2"/>
      </rPr>
      <t xml:space="preserve">주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입고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설 보정</t>
    </r>
    <r>
      <rPr>
        <b val="true"/>
        <sz val="14"/>
        <color rgb="FFFFFFFF"/>
        <rFont val="맑은 고딕"/>
        <family val="0"/>
        <charset val="1"/>
      </rPr>
      <t xml:space="preserve">), </t>
    </r>
    <r>
      <rPr>
        <b val="true"/>
        <sz val="14"/>
        <color rgb="FFFFFFFF"/>
        <rFont val="WenQuanYi Zen Hei"/>
        <family val="2"/>
      </rPr>
      <t xml:space="preserve">입고−</t>
    </r>
    <r>
      <rPr>
        <b val="true"/>
        <sz val="14"/>
        <color rgb="FFFFFFFF"/>
        <rFont val="맑은 고딕"/>
        <family val="0"/>
        <charset val="1"/>
      </rPr>
      <t xml:space="preserve">90</t>
    </r>
    <r>
      <rPr>
        <b val="true"/>
        <sz val="14"/>
        <color rgb="FFFFFFFF"/>
        <rFont val="WenQuanYi Zen Hei"/>
        <family val="2"/>
      </rPr>
      <t xml:space="preserve">일−춘절휴무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소재마감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</si>
  <si>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</si>
  <si>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</si>
  <si>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· ★ = S</t>
    </r>
    <r>
      <rPr>
        <sz val="10"/>
        <color rgb="FFE8474C"/>
        <rFont val="WenQuanYi Zen Hei"/>
        <family val="2"/>
      </rPr>
      <t xml:space="preserve">코드 작지 미발행</t>
    </r>
    <r>
      <rPr>
        <sz val="10"/>
        <color rgb="FFE8474C"/>
        <rFont val="맑은 고딕"/>
        <family val="0"/>
        <charset val="1"/>
      </rPr>
      <t xml:space="preserve">/</t>
    </r>
    <r>
      <rPr>
        <sz val="10"/>
        <color rgb="FFE8474C"/>
        <rFont val="WenQuanYi Zen Hei"/>
        <family val="2"/>
      </rPr>
      <t xml:space="preserve">소재마감 초과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설연휴</t>
    </r>
    <r>
      <rPr>
        <sz val="10"/>
        <color rgb="FFE8474C"/>
        <rFont val="맑은 고딕"/>
        <family val="0"/>
        <charset val="1"/>
      </rPr>
      <t xml:space="preserve">(2/5~2/8)·</t>
    </r>
    <r>
      <rPr>
        <sz val="10"/>
        <color rgb="FFE8474C"/>
        <rFont val="WenQuanYi Zen Hei"/>
        <family val="2"/>
      </rPr>
      <t xml:space="preserve">춘절 공장휴무</t>
    </r>
    <r>
      <rPr>
        <sz val="10"/>
        <color rgb="FFE8474C"/>
        <rFont val="맑은 고딕"/>
        <family val="0"/>
        <charset val="1"/>
      </rPr>
      <t xml:space="preserve">(2/1~2/15) </t>
    </r>
    <r>
      <rPr>
        <sz val="10"/>
        <color rgb="FFE8474C"/>
        <rFont val="WenQuanYi Zen Hei"/>
        <family val="2"/>
      </rPr>
      <t xml:space="preserve">반영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</si>
  <si>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</si>
  <si>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</si>
  <si>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</si>
  <si>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</si>
  <si>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</si>
  <si>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</si>
  <si>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</si>
  <si>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</si>
  <si>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</si>
  <si>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</si>
  <si>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</si>
  <si>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</si>
  <si>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</si>
  <si>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</si>
  <si>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</si>
  <si>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</si>
  <si>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</si>
  <si>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</si>
  <si>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</si>
  <si>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</si>
  <si>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t xml:space="preserve">원산지</t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</si>
  <si>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</si>
  <si>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</si>
  <si>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</si>
  <si>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</si>
  <si>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</si>
  <si>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</si>
  <si>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</si>
  <si>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</si>
  <si>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</si>
  <si>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</si>
  <si>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</si>
  <si>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</si>
  <si>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</si>
  <si>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</si>
  <si>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</si>
  <si>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</si>
  <si>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</si>
  <si>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</si>
  <si>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</si>
  <si>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</si>
  <si>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</si>
  <si>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</si>
  <si>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</si>
  <si>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</si>
  <si>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</si>
  <si>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</si>
  <si>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</si>
  <si>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</si>
  <si>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</si>
  <si>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</si>
  <si>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</si>
  <si>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</si>
  <si>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</si>
  <si>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</si>
  <si>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</si>
  <si>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</si>
  <si>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</si>
  <si>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</si>
  <si>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</si>
  <si>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</si>
  <si>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</si>
  <si>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</si>
  <si>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</si>
  <si>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</si>
  <si>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</si>
  <si>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</si>
  <si>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</si>
  <si>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</si>
  <si>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</si>
  <si>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</si>
  <si>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</si>
  <si>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</si>
  <si>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</si>
  <si>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</si>
  <si>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</si>
  <si>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</si>
  <si>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</si>
  <si>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</si>
  <si>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</si>
  <si>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</si>
  <si>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</si>
  <si>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</si>
  <si>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</si>
  <si>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</si>
  <si>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</si>
  <si>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</si>
  <si>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</si>
  <si>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</si>
  <si>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</si>
  <si>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</si>
  <si>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</si>
  <si>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</si>
  <si>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</si>
  <si>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</si>
  <si>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</si>
  <si>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</si>
  <si>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</si>
  <si>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</si>
  <si>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</si>
  <si>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</si>
  <si>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</si>
  <si>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</si>
  <si>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</si>
  <si>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</si>
  <si>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</si>
  <si>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</si>
  <si>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</si>
  <si>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</si>
  <si>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</si>
  <si>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</si>
  <si>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</si>
  <si>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</si>
  <si>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</si>
  <si>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</si>
  <si>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</si>
  <si>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</si>
  <si>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</si>
  <si>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</si>
  <si>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</si>
  <si>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</si>
  <si>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</si>
  <si>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</si>
  <si>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</si>
  <si>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</si>
  <si>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</si>
  <si>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</si>
  <si>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</si>
  <si>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</si>
  <si>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</si>
  <si>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</si>
  <si>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</si>
  <si>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</si>
  <si>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</si>
  <si>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</si>
  <si>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</si>
  <si>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</si>
  <si>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</si>
  <si>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</si>
  <si>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</si>
  <si>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</si>
  <si>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</si>
  <si>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</si>
  <si>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</si>
  <si>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</si>
  <si>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</si>
  <si>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</si>
  <si>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</si>
  <si>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</si>
  <si>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</si>
  <si>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</si>
  <si>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</si>
  <si>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</si>
  <si>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</si>
  <si>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</si>
  <si>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</si>
  <si>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</si>
  <si>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</si>
  <si>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</si>
  <si>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</si>
  <si>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</si>
  <si>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</si>
  <si>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</si>
  <si>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</si>
  <si>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</si>
  <si>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</si>
  <si>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</si>
  <si>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</si>
  <si>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</si>
  <si>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</si>
  <si>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</si>
  <si>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</si>
  <si>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</si>
  <si>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</si>
  <si>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</si>
  <si>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</si>
  <si>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</si>
  <si>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</si>
  <si>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</si>
  <si>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</si>
  <si>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</si>
  <si>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</si>
  <si>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</si>
  <si>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</si>
  <si>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</si>
  <si>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</si>
  <si>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</si>
  <si>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</si>
  <si>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</si>
  <si>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</si>
  <si>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</si>
  <si>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</si>
  <si>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</si>
  <si>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t xml:space="preserve">JWTBS27111</t>
  </si>
  <si>
    <t xml:space="preserve">남성 하이브리드 긴팔 집업 티셔츠</t>
  </si>
  <si>
    <t xml:space="preserve">BLK(BLACK), GBU(G/BLUE)</t>
  </si>
  <si>
    <t xml:space="preserve">IKG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</si>
  <si>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</si>
  <si>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</si>
  <si>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</si>
  <si>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</si>
  <si>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</si>
  <si>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</si>
  <si>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</si>
  <si>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</si>
  <si>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</si>
  <si>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</si>
  <si>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</si>
  <si>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</si>
  <si>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</si>
  <si>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</si>
  <si>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</si>
  <si>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</si>
  <si>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</si>
  <si>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</si>
  <si>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</si>
  <si>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</si>
  <si>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</si>
  <si>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</si>
  <si>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</si>
  <si>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</si>
  <si>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</si>
  <si>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</si>
  <si>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</si>
  <si>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</si>
  <si>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</si>
  <si>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</si>
  <si>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</si>
  <si>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</si>
  <si>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</si>
  <si>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</si>
  <si>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</si>
  <si>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</si>
  <si>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</si>
  <si>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</si>
  <si>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</si>
  <si>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</si>
  <si>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</si>
  <si>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</si>
  <si>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</si>
  <si>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</si>
  <si>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</si>
  <si>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</si>
  <si>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</si>
  <si>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</si>
  <si>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</si>
  <si>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</si>
  <si>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</si>
  <si>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</si>
  <si>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</si>
  <si>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</si>
  <si>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</si>
  <si>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</si>
  <si>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</si>
  <si>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</si>
  <si>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</si>
  <si>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</si>
  <si>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</si>
  <si>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</si>
  <si>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</si>
  <si>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</si>
  <si>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</si>
  <si>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JKTCS27056</t>
  </si>
  <si>
    <t xml:space="preserve">히어로 여성 메리노울 반팔 라운드티</t>
  </si>
  <si>
    <t xml:space="preserve">장안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</si>
  <si>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</si>
  <si>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</si>
  <si>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</si>
  <si>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</si>
  <si>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</si>
  <si>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</si>
  <si>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</si>
  <si>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</si>
  <si>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</si>
  <si>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</si>
  <si>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</si>
  <si>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</si>
  <si>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</si>
  <si>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</si>
  <si>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</si>
  <si>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</si>
  <si>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</si>
  <si>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</si>
  <si>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</si>
  <si>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</si>
  <si>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</si>
  <si>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</si>
  <si>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</si>
  <si>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JKJWS27106</t>
  </si>
  <si>
    <t xml:space="preserve">여성 고어윈드스토퍼 후드 디테쳐블 재킷</t>
  </si>
  <si>
    <t xml:space="preserve">WBE, PUR, BLK(BLACK)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</si>
  <si>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</si>
  <si>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</si>
  <si>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</si>
  <si>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</si>
  <si>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</si>
  <si>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</si>
  <si>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</si>
  <si>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</si>
  <si>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</si>
  <si>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</si>
  <si>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</si>
  <si>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</si>
  <si>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</si>
  <si>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</si>
  <si>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</si>
  <si>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</si>
  <si>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</si>
  <si>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</si>
  <si>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</si>
  <si>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</si>
  <si>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</si>
  <si>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</si>
  <si>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</si>
  <si>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</si>
  <si>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</si>
  <si>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</si>
  <si>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</si>
  <si>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</si>
  <si>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</si>
  <si>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</si>
  <si>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</si>
  <si>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</si>
  <si>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</si>
  <si>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</si>
  <si>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</si>
  <si>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</si>
  <si>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</si>
  <si>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</si>
  <si>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</si>
  <si>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</si>
  <si>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LAK(LAKE), DGY-3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</si>
  <si>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</si>
  <si>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</si>
  <si>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</si>
  <si>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</si>
  <si>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</si>
  <si>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</si>
  <si>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</si>
  <si>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</si>
  <si>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</si>
  <si>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</si>
  <si>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</si>
  <si>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</si>
  <si>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</si>
  <si>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</si>
  <si>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</si>
  <si>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</si>
  <si>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</si>
  <si>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</si>
  <si>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</si>
  <si>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</si>
  <si>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</si>
  <si>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</si>
  <si>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</si>
  <si>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</si>
  <si>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</si>
  <si>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TLSXS27511</t>
  </si>
  <si>
    <t xml:space="preserve">남성 아우터형 긴팔 셔츠</t>
  </si>
  <si>
    <t xml:space="preserve">GRY-2, MUD</t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</si>
  <si>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</si>
  <si>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</si>
  <si>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</si>
  <si>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</si>
  <si>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</si>
  <si>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</si>
  <si>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</si>
  <si>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</si>
  <si>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</si>
  <si>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</si>
  <si>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</si>
  <si>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</si>
  <si>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</si>
  <si>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</si>
  <si>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</si>
  <si>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</si>
  <si>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</si>
  <si>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</si>
  <si>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</si>
  <si>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</si>
  <si>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</si>
  <si>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</si>
  <si>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TLTBM27501</t>
  </si>
  <si>
    <t xml:space="preserve">남녀공용 베이직 오버핏 긴팔 티셔츠</t>
  </si>
  <si>
    <t xml:space="preserve">CRE-2, BLK(BLACK)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</si>
  <si>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</si>
  <si>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</si>
  <si>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</si>
  <si>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</si>
  <si>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</si>
  <si>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</si>
  <si>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</si>
  <si>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</si>
  <si>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</si>
  <si>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</si>
  <si>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</si>
  <si>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</si>
  <si>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</si>
  <si>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</si>
  <si>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TVTCM27504</t>
  </si>
  <si>
    <t xml:space="preserve">하절 여성 핫멜트 폴로 반팔 티셔츠</t>
  </si>
  <si>
    <t xml:space="preserve">IVO(IVORY), PYL, DNA(D/NAVY)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</si>
  <si>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</si>
  <si>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</si>
  <si>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</si>
  <si>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</si>
  <si>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</si>
  <si>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</si>
  <si>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</si>
  <si>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</si>
  <si>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JKJJM27124</t>
  </si>
  <si>
    <t xml:space="preserve">하절 여성 자카드 풀집업 자켓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</si>
  <si>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</si>
  <si>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</si>
  <si>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</si>
  <si>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</si>
  <si>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</si>
  <si>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</si>
  <si>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</si>
  <si>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</si>
  <si>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</si>
  <si>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</si>
  <si>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</si>
  <si>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t xml:space="preserve">JKTBM27168</t>
  </si>
  <si>
    <t xml:space="preserve">하절 여성 패턴 긴팔 집업 티셔츠</t>
  </si>
  <si>
    <t xml:space="preserve">LSL, MIN, CRE(CREAM)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</si>
  <si>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</si>
  <si>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</si>
  <si>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</si>
  <si>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</si>
  <si>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</si>
  <si>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</si>
  <si>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</si>
  <si>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</si>
  <si>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</si>
  <si>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</si>
  <si>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</si>
  <si>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</si>
  <si>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</si>
  <si>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</si>
  <si>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</si>
  <si>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</si>
  <si>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</si>
  <si>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</si>
  <si>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</si>
  <si>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</si>
  <si>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</si>
  <si>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</si>
  <si>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</si>
  <si>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</si>
  <si>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</si>
  <si>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</si>
  <si>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</si>
  <si>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</si>
  <si>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</si>
  <si>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</si>
  <si>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</si>
  <si>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</si>
  <si>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</si>
  <si>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</si>
  <si>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TLPNM27541</t>
  </si>
  <si>
    <t xml:space="preserve">하절 남성 나일론 레귤러핏 테이퍼드 팬츠</t>
  </si>
  <si>
    <t xml:space="preserve">m2</t>
  </si>
  <si>
    <t xml:space="preserve">부분</t>
  </si>
  <si>
    <t xml:space="preserve">TLSXM27521</t>
  </si>
  <si>
    <t xml:space="preserve">하절 남성 체크 긴팔 셔츠</t>
  </si>
  <si>
    <t xml:space="preserve">픽스처</t>
  </si>
  <si>
    <t xml:space="preserve">TLSXM27551</t>
  </si>
  <si>
    <t xml:space="preserve">하절 남성 시어서커 긴팔 셔츠</t>
  </si>
  <si>
    <t xml:space="preserve">IVO(IVORY), GBU-4</t>
  </si>
  <si>
    <t xml:space="preserve">3</t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</si>
  <si>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</si>
  <si>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</si>
  <si>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</si>
  <si>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TLTCM27561</t>
  </si>
  <si>
    <t xml:space="preserve">하절 남성 헨리넥 레귤러핏 반팔 티셔츠</t>
  </si>
  <si>
    <t xml:space="preserve">DNA(D/NAVY), LGY(L/GRAY)</t>
  </si>
  <si>
    <t xml:space="preserve">TVJJM27502</t>
  </si>
  <si>
    <t xml:space="preserve">하절 여성 스탠드넥 벤틸레이션 방풍 재킷</t>
  </si>
  <si>
    <t xml:space="preserve">LGI(L/GREIGE), GBU(G/BLUE)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</si>
  <si>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</si>
  <si>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</si>
  <si>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</si>
  <si>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</si>
  <si>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</si>
  <si>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</si>
  <si>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</si>
  <si>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</si>
  <si>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</si>
  <si>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</si>
  <si>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</si>
  <si>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</si>
  <si>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</si>
  <si>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</si>
  <si>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</si>
  <si>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JKJJM27172</t>
  </si>
  <si>
    <t xml:space="preserve">하절 여성 제노아 경량 인후드 방풍 재킷</t>
  </si>
  <si>
    <t xml:space="preserve">MIN, CRE(CREAM), LSL, WBE</t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</si>
  <si>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</si>
  <si>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</si>
  <si>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</si>
  <si>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</si>
  <si>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</si>
  <si>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</si>
  <si>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</si>
  <si>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</si>
  <si>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JWTCM27127</t>
  </si>
  <si>
    <t xml:space="preserve">남녀공용 소로나 릴렉스핏 그래픽 티셔츠</t>
  </si>
  <si>
    <t xml:space="preserve">JWTCM27147</t>
  </si>
  <si>
    <t xml:space="preserve">OWH, BLK(BLACK)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</si>
  <si>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</si>
  <si>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</si>
  <si>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</si>
  <si>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</si>
  <si>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</si>
  <si>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</si>
  <si>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t xml:space="preserve">TLJJM27511</t>
  </si>
  <si>
    <t xml:space="preserve">하절 남성 윈드포레스트 패커블 방풍 재킷</t>
  </si>
  <si>
    <t xml:space="preserve">MUD, DNA(D/NAVY), LGY-1</t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</si>
  <si>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</si>
  <si>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</si>
  <si>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</si>
  <si>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</si>
  <si>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TLJJM27703</t>
  </si>
  <si>
    <t xml:space="preserve">남성 트레일러닝 패커블 초경량 방풍 자켓</t>
  </si>
  <si>
    <t xml:space="preserve">DBE(DARK BEIGE)</t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</si>
  <si>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</si>
  <si>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</si>
  <si>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</si>
  <si>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</si>
  <si>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</si>
  <si>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</si>
  <si>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</si>
  <si>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</si>
  <si>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</si>
  <si>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</si>
  <si>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</si>
  <si>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TLTCM27721</t>
  </si>
  <si>
    <t xml:space="preserve">남성 트레일러닝 자카드 라운드 슬리브리스</t>
  </si>
  <si>
    <t xml:space="preserve">DGY(D/GRAY)</t>
  </si>
  <si>
    <t xml:space="preserve">TLTCM27723</t>
  </si>
  <si>
    <t xml:space="preserve">남성 트레일러닝 저지 라운드 슬리브리스</t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</si>
  <si>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</si>
  <si>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</si>
  <si>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</si>
  <si>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</si>
  <si>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</si>
  <si>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</si>
  <si>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</si>
  <si>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</si>
  <si>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</si>
  <si>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</si>
  <si>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</si>
  <si>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</si>
  <si>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</si>
  <si>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</si>
  <si>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</si>
  <si>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</si>
  <si>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</si>
  <si>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</si>
  <si>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</si>
  <si>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</si>
  <si>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</si>
  <si>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</si>
  <si>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</si>
  <si>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</si>
  <si>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</si>
  <si>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</si>
  <si>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</si>
  <si>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</si>
  <si>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</si>
  <si>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</si>
  <si>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</si>
  <si>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</si>
  <si>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</si>
  <si>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</si>
  <si>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</si>
  <si>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</si>
  <si>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</si>
  <si>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</si>
  <si>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JKJJM27156</t>
  </si>
  <si>
    <t xml:space="preserve">하절 여성 고강력사 방풍 재킷</t>
  </si>
  <si>
    <t xml:space="preserve">BLK(BLACK), DMI(D/MINT)</t>
  </si>
  <si>
    <t xml:space="preserve">JKJJM27162</t>
  </si>
  <si>
    <t xml:space="preserve">하절 여성 윈드 후드 재킷</t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</si>
  <si>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</si>
  <si>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</si>
  <si>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</si>
  <si>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</si>
  <si>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</si>
  <si>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</si>
  <si>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</si>
  <si>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</si>
  <si>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</si>
  <si>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</si>
  <si>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</si>
  <si>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</si>
  <si>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</si>
  <si>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</si>
  <si>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</si>
  <si>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JKTCM27182</t>
  </si>
  <si>
    <t xml:space="preserve">하절 여성 에어도트 반팔 집업 티셔츠</t>
  </si>
  <si>
    <t xml:space="preserve">MIN, CRE(CREAM),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</si>
  <si>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</si>
  <si>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</si>
  <si>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</si>
  <si>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</si>
  <si>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</si>
  <si>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</si>
  <si>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</si>
  <si>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</si>
  <si>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</si>
  <si>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</si>
  <si>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</si>
  <si>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</si>
  <si>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</si>
  <si>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</si>
  <si>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</si>
  <si>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</si>
  <si>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</si>
  <si>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</si>
  <si>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</si>
  <si>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</si>
  <si>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</si>
  <si>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</si>
  <si>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</si>
  <si>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JWPNM27171</t>
  </si>
  <si>
    <t xml:space="preserve">하절 남성 루즈핏 파라슈트 팬츠</t>
  </si>
  <si>
    <t xml:space="preserve">WGY, DBU-2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</si>
  <si>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</si>
  <si>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</si>
  <si>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</si>
  <si>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</si>
  <si>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</si>
  <si>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</si>
  <si>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</si>
  <si>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</si>
  <si>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</si>
  <si>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</si>
  <si>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</si>
  <si>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</si>
  <si>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</si>
  <si>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</si>
  <si>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</si>
  <si>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</si>
  <si>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</si>
  <si>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</si>
  <si>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</si>
  <si>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</si>
  <si>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</si>
  <si>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JWVAM27101</t>
  </si>
  <si>
    <t xml:space="preserve">남성 에센셜 경량 베스트</t>
  </si>
  <si>
    <t xml:space="preserve">WBE, DBU(D/BLUE), DGY(D/GRAY)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</si>
  <si>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</si>
  <si>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</si>
  <si>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</si>
  <si>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</si>
  <si>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</si>
  <si>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</si>
  <si>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</si>
  <si>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</si>
  <si>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</si>
  <si>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</si>
  <si>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</si>
  <si>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</si>
  <si>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</si>
  <si>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</si>
  <si>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BLK(BLACK), LBL(L/BLUE)</t>
  </si>
  <si>
    <t xml:space="preserve">QERFM27402</t>
  </si>
  <si>
    <t xml:space="preserve">여성 롱와이드 버킷햇</t>
  </si>
  <si>
    <t xml:space="preserve">CPI(C/PINK), PYL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</si>
  <si>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</si>
  <si>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</si>
  <si>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m3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</si>
  <si>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</si>
  <si>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</si>
  <si>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</si>
  <si>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</si>
  <si>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</si>
  <si>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</si>
  <si>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</si>
  <si>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</si>
  <si>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TLSCM27511</t>
  </si>
  <si>
    <t xml:space="preserve">하절 남성 체크 반팔 셔츠</t>
  </si>
  <si>
    <t xml:space="preserve">NAY, DGY(D/GRAY)</t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</si>
  <si>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</si>
  <si>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</si>
  <si>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</si>
  <si>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</si>
  <si>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</si>
  <si>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</si>
  <si>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</si>
  <si>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</si>
  <si>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</si>
  <si>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</si>
  <si>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</si>
  <si>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</si>
  <si>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</si>
  <si>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TLTCM27505</t>
  </si>
  <si>
    <t xml:space="preserve">하절 남성 시어서커 폴로 반팔 티셔츠</t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</si>
  <si>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</si>
  <si>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</si>
  <si>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TLTCM27529</t>
  </si>
  <si>
    <t xml:space="preserve">하절 남성 린넨라이크 폴로 반팔 티셔츠</t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</si>
  <si>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</si>
  <si>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</si>
  <si>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</si>
  <si>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</si>
  <si>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</si>
  <si>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</si>
  <si>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</si>
  <si>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TVJJM27512</t>
  </si>
  <si>
    <t xml:space="preserve">하절 여성 메쉬 하이브리드 라운드넥 재킷</t>
  </si>
  <si>
    <t xml:space="preserve">LGI(L/GREIGE), BLK(BLACK)</t>
  </si>
  <si>
    <t xml:space="preserve">TVJJM27522</t>
  </si>
  <si>
    <t xml:space="preserve">하절 여성 중기장 후디드 방풍 재킷</t>
  </si>
  <si>
    <t xml:space="preserve">LPI, PIS</t>
  </si>
  <si>
    <t xml:space="preserve">TVJJM27552</t>
  </si>
  <si>
    <t xml:space="preserve">하절 여성 메쉬 하이브리드 크롭 후디드 재킷</t>
  </si>
  <si>
    <t xml:space="preserve">LGI(L/GREIGE), LPI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</si>
  <si>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</si>
  <si>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</si>
  <si>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</si>
  <si>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</si>
  <si>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</si>
  <si>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</si>
  <si>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</si>
  <si>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</si>
  <si>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</si>
  <si>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</si>
  <si>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</si>
  <si>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</si>
  <si>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</si>
  <si>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</si>
  <si>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</si>
  <si>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</si>
  <si>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TVTCM27538</t>
  </si>
  <si>
    <t xml:space="preserve">하절 여성 시어서커 반팔 폴로 티셔츠</t>
  </si>
  <si>
    <t xml:space="preserve">CRE(CREAM), LPI, PIS</t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</si>
  <si>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</si>
  <si>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</si>
  <si>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</si>
  <si>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</si>
  <si>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</si>
  <si>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</si>
  <si>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</si>
  <si>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</si>
  <si>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</si>
  <si>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TVVAM27562</t>
  </si>
  <si>
    <t xml:space="preserve">하절 여성 경량 방풍 베스트</t>
  </si>
  <si>
    <t xml:space="preserve">LPI, GNA(G/NAVY)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</si>
  <si>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</si>
  <si>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</si>
  <si>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</si>
  <si>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</si>
  <si>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JKJJM27372</t>
  </si>
  <si>
    <t xml:space="preserve">여성 에그라이트 방풍 재킷</t>
  </si>
  <si>
    <t xml:space="preserve">CRE-1, AQU(AQUA),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</si>
  <si>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</si>
  <si>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JKJJM27374</t>
  </si>
  <si>
    <t xml:space="preserve">여성 에그라이트 방수 재킷</t>
  </si>
  <si>
    <t xml:space="preserve">LLI, BLK(BLACK)</t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</si>
  <si>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</si>
  <si>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</si>
  <si>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</si>
  <si>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</si>
  <si>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</si>
  <si>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</si>
  <si>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</si>
  <si>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</si>
  <si>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</si>
  <si>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</si>
  <si>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</si>
  <si>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</si>
  <si>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</si>
  <si>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</si>
  <si>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</si>
  <si>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</si>
  <si>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</si>
  <si>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</si>
  <si>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</si>
  <si>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</si>
  <si>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</si>
  <si>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JKTBM27312</t>
  </si>
  <si>
    <t xml:space="preserve">여성 패커블 그래픽 긴팔 티셔츠</t>
  </si>
  <si>
    <t xml:space="preserve">BLK(BLACK), CRE-1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</si>
  <si>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</si>
  <si>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</si>
  <si>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</si>
  <si>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t xml:space="preserve">JKTCM27312</t>
  </si>
  <si>
    <t xml:space="preserve">여성 슬리브리스</t>
  </si>
  <si>
    <t xml:space="preserve">IVO(IVORY), BLK(BLACK)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</si>
  <si>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</si>
  <si>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</si>
  <si>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</si>
  <si>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</si>
  <si>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</si>
  <si>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</si>
  <si>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</si>
  <si>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</si>
  <si>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</si>
  <si>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</si>
  <si>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</si>
  <si>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</si>
  <si>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</si>
  <si>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</si>
  <si>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</si>
  <si>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</si>
  <si>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</si>
  <si>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</si>
  <si>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</si>
  <si>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</si>
  <si>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</si>
  <si>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</si>
  <si>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</si>
  <si>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</si>
  <si>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</si>
  <si>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</si>
  <si>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</si>
  <si>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</si>
  <si>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</si>
  <si>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</si>
  <si>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</si>
  <si>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</si>
  <si>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</si>
  <si>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</si>
  <si>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</si>
  <si>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</si>
  <si>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</si>
  <si>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</si>
  <si>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</si>
  <si>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</si>
  <si>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</si>
  <si>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</si>
  <si>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</si>
  <si>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</si>
  <si>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</si>
  <si>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</si>
  <si>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</si>
  <si>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</si>
  <si>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</si>
  <si>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</si>
  <si>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</si>
  <si>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</si>
  <si>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</si>
  <si>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</si>
  <si>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</si>
  <si>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</si>
  <si>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</si>
  <si>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</si>
  <si>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</si>
  <si>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</si>
  <si>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</si>
  <si>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</si>
  <si>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</si>
  <si>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</si>
  <si>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</si>
  <si>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</si>
  <si>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</si>
  <si>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</si>
  <si>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</si>
  <si>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</si>
  <si>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</si>
  <si>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</si>
  <si>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</si>
  <si>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</si>
  <si>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</si>
  <si>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</si>
  <si>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</si>
  <si>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</si>
  <si>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</si>
  <si>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</si>
  <si>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</si>
  <si>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</si>
  <si>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GRI(GREIGE), LKH, BLK(BLACK)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</si>
  <si>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</si>
  <si>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</si>
  <si>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</si>
  <si>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TLPNM27691</t>
  </si>
  <si>
    <t xml:space="preserve">하절 남성 데이팩 레귤러핏 테이퍼드 팬츠</t>
  </si>
  <si>
    <t xml:space="preserve">TLPNM27693</t>
  </si>
  <si>
    <t xml:space="preserve">하절 남성 데이팩 루즈핏 팬츠</t>
  </si>
  <si>
    <t xml:space="preserve">DKH(D/KHAKI), DNA(D/NAVY)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</si>
  <si>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</si>
  <si>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</si>
  <si>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TLPOM27531</t>
  </si>
  <si>
    <t xml:space="preserve">하절 남성 나일론 버뮤다 쇼츠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</si>
  <si>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</si>
  <si>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</si>
  <si>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</si>
  <si>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</si>
  <si>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</si>
  <si>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</si>
  <si>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</si>
  <si>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</si>
  <si>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</si>
  <si>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TLTCM27507</t>
  </si>
  <si>
    <t xml:space="preserve">하절 남성 리노쿨 피케 폴로 티셔츠</t>
  </si>
  <si>
    <t xml:space="preserve">CO1, CO2, CO3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</si>
  <si>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</si>
  <si>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</si>
  <si>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TLTCM27691</t>
  </si>
  <si>
    <t xml:space="preserve">하절 남녀공용 데이팩 티셔츠</t>
  </si>
  <si>
    <t xml:space="preserve">TLTCM27695</t>
  </si>
  <si>
    <t xml:space="preserve">하절 남성 데이팩 하프집업 티셔츠</t>
  </si>
  <si>
    <t xml:space="preserve">RBU, BLK(BLACK)</t>
  </si>
  <si>
    <t xml:space="preserve">TVPNM27694</t>
  </si>
  <si>
    <t xml:space="preserve">하절 여성 데이팩 루즈 팬츠</t>
  </si>
  <si>
    <t xml:space="preserve">DNA(D/NAVY), LKH</t>
  </si>
  <si>
    <t xml:space="preserve">TVPOM27512</t>
  </si>
  <si>
    <t xml:space="preserve">하절 여성 버뮤다 팬츠</t>
  </si>
  <si>
    <t xml:space="preserve">DGY-1, GRI(GREIGE)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</si>
  <si>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</si>
  <si>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</si>
  <si>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</si>
  <si>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</si>
  <si>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</si>
  <si>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</si>
  <si>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</si>
  <si>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</si>
  <si>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</si>
  <si>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</si>
  <si>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</si>
  <si>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</si>
  <si>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</si>
  <si>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TVTCM27512</t>
  </si>
  <si>
    <t xml:space="preserve">하절 여성 리노쿨 피케 크롭 폴로 티셔츠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</si>
  <si>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</si>
  <si>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</si>
  <si>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</si>
  <si>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TVTCM27564</t>
  </si>
  <si>
    <t xml:space="preserve">하절 여성 우븐 하이브리드 크롭 반팔 티셔츠</t>
  </si>
  <si>
    <t xml:space="preserve">LGY-1, GBU-3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</si>
  <si>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</si>
  <si>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</si>
  <si>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</si>
  <si>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</si>
  <si>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</si>
  <si>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</si>
  <si>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</si>
  <si>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</si>
  <si>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</si>
  <si>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</si>
  <si>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</si>
  <si>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</si>
  <si>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</si>
  <si>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</si>
  <si>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</si>
  <si>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</si>
  <si>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</si>
  <si>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</si>
  <si>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</si>
  <si>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</si>
  <si>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</si>
  <si>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</si>
  <si>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</si>
  <si>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</si>
  <si>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</si>
  <si>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</si>
  <si>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</si>
  <si>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</si>
  <si>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</si>
  <si>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</si>
  <si>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</si>
  <si>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</si>
  <si>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</si>
  <si>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</si>
  <si>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</si>
  <si>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</si>
  <si>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</si>
  <si>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</si>
  <si>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</si>
  <si>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</si>
  <si>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</si>
  <si>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</si>
  <si>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</si>
  <si>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</si>
  <si>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</si>
  <si>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</si>
  <si>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</si>
  <si>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</si>
  <si>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</si>
  <si>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</si>
  <si>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</si>
  <si>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</si>
  <si>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</si>
  <si>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</si>
  <si>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</si>
  <si>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</si>
  <si>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</si>
  <si>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</si>
  <si>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</si>
  <si>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</si>
  <si>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</si>
  <si>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</si>
  <si>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</si>
  <si>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</si>
  <si>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</si>
  <si>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</si>
  <si>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</si>
  <si>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</si>
  <si>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</si>
  <si>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</si>
  <si>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</si>
  <si>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</si>
  <si>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</si>
  <si>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</si>
  <si>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</si>
  <si>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</si>
  <si>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</si>
  <si>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</si>
  <si>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</si>
  <si>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JWPNM27351</t>
  </si>
  <si>
    <t xml:space="preserve">남녀공용 메쉬 디테처블 팬츠</t>
  </si>
  <si>
    <t xml:space="preserve">JWTBM27351</t>
  </si>
  <si>
    <t xml:space="preserve">남녀공용 그래픽 매쉬 긴팔 티셔츠</t>
  </si>
  <si>
    <t xml:space="preserve">호전실업</t>
  </si>
  <si>
    <t xml:space="preserve">TLTCM27517</t>
  </si>
  <si>
    <t xml:space="preserve">하절 남성 소로나 릴렉스핏 그래픽 반팔 티셔츠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</si>
  <si>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</si>
  <si>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</si>
  <si>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</si>
  <si>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</si>
  <si>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</si>
  <si>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</si>
  <si>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</si>
  <si>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</si>
  <si>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</si>
  <si>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</si>
  <si>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</si>
  <si>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</si>
  <si>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</si>
  <si>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</si>
  <si>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</si>
  <si>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</si>
  <si>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</si>
  <si>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</si>
  <si>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</si>
  <si>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</si>
  <si>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</si>
  <si>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</si>
  <si>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</si>
  <si>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</si>
  <si>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</si>
  <si>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</si>
  <si>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</si>
  <si>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</si>
  <si>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</si>
  <si>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</si>
  <si>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</si>
  <si>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</si>
  <si>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</si>
  <si>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</si>
  <si>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</si>
  <si>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</si>
  <si>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</si>
  <si>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</si>
  <si>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</si>
  <si>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</si>
  <si>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</si>
  <si>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</si>
  <si>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</si>
  <si>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</si>
  <si>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</si>
  <si>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</si>
  <si>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</si>
  <si>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</si>
  <si>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</si>
  <si>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</si>
  <si>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</si>
  <si>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</si>
  <si>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</si>
  <si>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</si>
  <si>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</si>
  <si>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</si>
  <si>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</si>
  <si>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</si>
  <si>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</si>
  <si>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</si>
  <si>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</si>
  <si>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</si>
  <si>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</si>
  <si>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</si>
  <si>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</si>
  <si>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</si>
  <si>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</si>
  <si>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</si>
  <si>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</si>
  <si>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</si>
  <si>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</si>
  <si>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</si>
  <si>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</si>
  <si>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</si>
  <si>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</si>
  <si>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</si>
  <si>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</si>
  <si>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</si>
  <si>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</si>
  <si>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</si>
  <si>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</si>
  <si>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</si>
  <si>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</si>
  <si>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</si>
  <si>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</si>
  <si>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</si>
  <si>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</si>
  <si>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</si>
  <si>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</si>
  <si>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</si>
  <si>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</si>
  <si>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</si>
  <si>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</si>
  <si>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</si>
  <si>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</si>
  <si>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</si>
  <si>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</si>
  <si>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</si>
  <si>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</si>
  <si>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</si>
  <si>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</si>
  <si>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</si>
  <si>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</si>
  <si>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</si>
  <si>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</si>
  <si>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</si>
  <si>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</si>
  <si>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</si>
  <si>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</si>
  <si>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</si>
  <si>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</si>
  <si>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</si>
  <si>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</si>
  <si>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</si>
  <si>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</si>
  <si>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</si>
  <si>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</si>
  <si>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</si>
  <si>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</si>
  <si>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</si>
  <si>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</si>
  <si>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</si>
  <si>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</si>
  <si>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</si>
  <si>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</si>
  <si>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</si>
  <si>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</si>
  <si>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</si>
  <si>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</si>
  <si>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</si>
  <si>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</si>
  <si>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</si>
  <si>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</si>
  <si>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</si>
  <si>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</si>
  <si>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</si>
  <si>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</si>
  <si>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</si>
  <si>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</si>
  <si>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</si>
  <si>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</si>
  <si>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</si>
  <si>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</si>
  <si>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</si>
  <si>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</si>
  <si>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</si>
  <si>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</si>
  <si>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</si>
  <si>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</si>
  <si>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</si>
  <si>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</si>
  <si>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</si>
  <si>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</si>
  <si>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</si>
  <si>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</si>
  <si>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</si>
  <si>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</si>
  <si>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</si>
  <si>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</si>
  <si>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</si>
  <si>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</si>
  <si>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</si>
  <si>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</si>
  <si>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</si>
  <si>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</si>
  <si>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</si>
  <si>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</si>
  <si>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</si>
  <si>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</si>
  <si>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</si>
  <si>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</si>
  <si>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</si>
  <si>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</si>
  <si>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</si>
  <si>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</si>
  <si>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</si>
  <si>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</si>
  <si>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</si>
  <si>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</si>
  <si>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</si>
  <si>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</si>
  <si>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</si>
  <si>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</si>
  <si>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</si>
  <si>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</si>
  <si>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</si>
  <si>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</si>
  <si>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</si>
  <si>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</si>
  <si>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</si>
  <si>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</si>
  <si>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</si>
  <si>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</si>
  <si>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</si>
  <si>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</si>
  <si>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</si>
  <si>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</si>
  <si>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</si>
  <si>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</si>
  <si>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</si>
  <si>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</si>
  <si>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</si>
  <si>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</si>
  <si>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</si>
  <si>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</si>
  <si>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</si>
  <si>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</si>
  <si>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</si>
  <si>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</si>
  <si>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</si>
  <si>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</si>
  <si>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</si>
  <si>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</si>
  <si>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</si>
  <si>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</si>
  <si>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</si>
  <si>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</si>
  <si>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</si>
  <si>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</si>
  <si>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</si>
  <si>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휴무보정 적용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</si>
  <si>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</si>
  <si>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</si>
  <si>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</si>
  <si>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</si>
  <si>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</si>
  <si>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</si>
  <si>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</si>
  <si>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t xml:space="preserve">합계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</si>
  <si>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</si>
  <si>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바라며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마감 초과가 예상되는 스타일은 출고차순 조정 등 사전조율을 요청드립니다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</si>
</sst>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General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WenQuanYi Zen Hei"/>
      <family val="2"/>
    </font>
    <font>
      <sz val="11"/>
      <color rgb="FF21212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5F5F5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3" customFormat="false" ht="16.4" hidden="false" customHeight="false" outlineLevel="0" collapsed="false">
      <c r="B13" s="5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6.4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4" t="s">
        <v>13</v>
      </c>
    </row>
    <row r="19" customFormat="false" ht="15" hidden="false" customHeight="false" outlineLevel="0" collapsed="false">
      <c r="B19" s="4" t="s">
        <v>14</v>
      </c>
    </row>
    <row r="21" customFormat="false" ht="15" hidden="false" customHeight="false" outlineLevel="0" collapsed="false">
      <c r="B21" s="6" t="s">
        <v>15</v>
      </c>
    </row>
    <row r="22" customFormat="false" ht="15" hidden="false" customHeight="false" outlineLevel="0" collapsed="false">
      <c r="B22" s="7" t="s">
        <v>16</v>
      </c>
    </row>
    <row r="23" customFormat="false" ht="15" hidden="false" customHeight="false" outlineLevel="0" collapsed="false">
      <c r="B23" s="7" t="s">
        <v>17</v>
      </c>
    </row>
    <row r="24" customFormat="false" ht="15" hidden="false" customHeight="false" outlineLevel="0" collapsed="false">
      <c r="B24" s="7" t="s">
        <v>18</v>
      </c>
    </row>
    <row r="25" customFormat="false" ht="15" hidden="false" customHeight="false" outlineLevel="0" collapsed="false">
      <c r="B25" s="7" t="s">
        <v>19</v>
      </c>
    </row>
    <row r="26" customFormat="false" ht="15" hidden="false" customHeight="false" outlineLevel="0" collapsed="false">
      <c r="B26" s="7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8" t="s">
        <v>21</v>
      </c>
    </row>
    <row r="4" customFormat="false" ht="15" hidden="false" customHeight="false" outlineLevel="0" collapsed="false">
      <c r="B4" s="9" t="s">
        <v>22</v>
      </c>
      <c r="C4" s="10" t="n">
        <f aca="true">TODAY()</f>
        <v>46242</v>
      </c>
      <c r="D4" s="11" t="s">
        <v>23</v>
      </c>
    </row>
    <row r="5" customFormat="false" ht="15" hidden="false" customHeight="false" outlineLevel="0" collapsed="false">
      <c r="B5" s="9" t="s">
        <v>24</v>
      </c>
      <c r="C5" s="12" t="n">
        <v>14</v>
      </c>
      <c r="D5" s="11" t="s">
        <v>25</v>
      </c>
    </row>
    <row r="6" customFormat="false" ht="15" hidden="false" customHeight="false" outlineLevel="0" collapsed="false">
      <c r="B6" s="9" t="s">
        <v>26</v>
      </c>
      <c r="C6" s="12" t="n">
        <v>90</v>
      </c>
      <c r="D6" s="11" t="s">
        <v>27</v>
      </c>
    </row>
    <row r="7" customFormat="false" ht="15" hidden="false" customHeight="false" outlineLevel="0" collapsed="false">
      <c r="B7" s="9" t="s">
        <v>28</v>
      </c>
      <c r="C7" s="12" t="n">
        <v>2027</v>
      </c>
      <c r="D7" s="13" t="s">
        <v>29</v>
      </c>
    </row>
    <row r="8" customFormat="false" ht="15" hidden="false" customHeight="false" outlineLevel="0" collapsed="false">
      <c r="B8" s="9" t="s">
        <v>30</v>
      </c>
      <c r="C8" s="10" t="n">
        <v>46419</v>
      </c>
      <c r="D8" s="11" t="s">
        <v>31</v>
      </c>
    </row>
    <row r="9" customFormat="false" ht="15" hidden="false" customHeight="false" outlineLevel="0" collapsed="false">
      <c r="B9" s="9" t="s">
        <v>32</v>
      </c>
      <c r="C9" s="10" t="n">
        <v>46433</v>
      </c>
      <c r="D9" s="11" t="s">
        <v>33</v>
      </c>
    </row>
    <row r="10" customFormat="false" ht="15" hidden="false" customHeight="false" outlineLevel="0" collapsed="false">
      <c r="B10" s="9" t="s">
        <v>34</v>
      </c>
      <c r="C10" s="10" t="n">
        <v>46423</v>
      </c>
      <c r="D10" s="11" t="s">
        <v>35</v>
      </c>
    </row>
    <row r="11" customFormat="false" ht="15" hidden="false" customHeight="false" outlineLevel="0" collapsed="false">
      <c r="B11" s="9" t="s">
        <v>36</v>
      </c>
      <c r="C11" s="10" t="n">
        <v>46426</v>
      </c>
      <c r="D11" s="11" t="s">
        <v>37</v>
      </c>
    </row>
    <row r="13" customFormat="false" ht="16.4" hidden="false" customHeight="false" outlineLevel="0" collapsed="false">
      <c r="B13" s="14" t="s">
        <v>38</v>
      </c>
    </row>
    <row r="14" customFormat="false" ht="15" hidden="false" customHeight="false" outlineLevel="0" collapsed="false">
      <c r="B14" s="15" t="s">
        <v>39</v>
      </c>
      <c r="C14" s="16" t="s">
        <v>40</v>
      </c>
    </row>
    <row r="15" customFormat="false" ht="15" hidden="false" customHeight="false" outlineLevel="0" collapsed="false">
      <c r="B15" s="17" t="s">
        <v>41</v>
      </c>
      <c r="C15" s="16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6" min="15" style="0" width="9"/>
    <col collapsed="false" customWidth="true" hidden="false" outlineLevel="0" max="17" min="17" style="0" width="11"/>
    <col collapsed="false" customWidth="true" hidden="false" outlineLevel="0" max="19" min="18" style="0" width="13"/>
    <col collapsed="false" customWidth="true" hidden="false" outlineLevel="0" max="20" min="20" style="0" width="12"/>
    <col collapsed="false" customWidth="true" hidden="false" outlineLevel="0" max="21" min="21" style="0" width="10"/>
    <col collapsed="false" customWidth="true" hidden="false" outlineLevel="0" max="22" min="22" style="0" width="9"/>
    <col collapsed="false" customWidth="true" hidden="false" outlineLevel="0" max="23" min="23" style="0" width="13"/>
    <col collapsed="false" customWidth="true" hidden="false" outlineLevel="0" max="24" min="24" style="0" width="26"/>
    <col collapsed="false" customWidth="true" hidden="false" outlineLevel="0" max="25" min="25" style="0" width="15"/>
    <col collapsed="false" customWidth="true" hidden="false" outlineLevel="0" max="26" min="26" style="0" width="9"/>
    <col collapsed="false" customWidth="true" hidden="false" outlineLevel="0" max="27" min="27" style="0" width="24"/>
  </cols>
  <sheetData>
    <row r="1" customFormat="false" ht="19.4" hidden="false" customHeight="false" outlineLevel="0" collapsed="false">
      <c r="A1" s="18" t="s">
        <v>43</v>
      </c>
    </row>
    <row r="2" customFormat="false" ht="15" hidden="false" customHeight="false" outlineLevel="0" collapsed="false">
      <c r="A2" s="19" t="s">
        <v>44</v>
      </c>
      <c r="B2" s="20" t="n">
        <f aca="false">기준정보!$C$4</f>
        <v>46242</v>
      </c>
      <c r="C2" s="19" t="s">
        <v>45</v>
      </c>
      <c r="D2" s="21" t="str">
        <f aca="false">"입고 "&amp;기준정보!$C$5&amp;"일 + 소재 "&amp;기준정보!$C$6&amp;"일 + 휴무보정"</f>
        <v>입고 14일 + 소재 90일 + 휴무보정</v>
      </c>
      <c r="G2" s="22" t="s">
        <v>46</v>
      </c>
    </row>
    <row r="4" customFormat="false" ht="39.55" hidden="false" customHeight="false" outlineLevel="0" collapsed="false">
      <c r="A4" s="23" t="s">
        <v>47</v>
      </c>
      <c r="B4" s="23" t="s">
        <v>48</v>
      </c>
      <c r="C4" s="23" t="s">
        <v>49</v>
      </c>
      <c r="D4" s="23" t="s">
        <v>50</v>
      </c>
      <c r="E4" s="24" t="s">
        <v>51</v>
      </c>
      <c r="F4" s="24" t="s">
        <v>52</v>
      </c>
      <c r="G4" s="24" t="s">
        <v>53</v>
      </c>
      <c r="H4" s="24" t="s">
        <v>54</v>
      </c>
      <c r="I4" s="24" t="s">
        <v>55</v>
      </c>
      <c r="J4" s="24" t="s">
        <v>56</v>
      </c>
      <c r="K4" s="24" t="s">
        <v>57</v>
      </c>
      <c r="L4" s="24" t="s">
        <v>58</v>
      </c>
      <c r="M4" s="24" t="s">
        <v>59</v>
      </c>
      <c r="N4" s="24" t="s">
        <v>60</v>
      </c>
      <c r="O4" s="24" t="s">
        <v>61</v>
      </c>
      <c r="P4" s="24" t="s">
        <v>62</v>
      </c>
      <c r="Q4" s="24" t="s">
        <v>63</v>
      </c>
      <c r="R4" s="24" t="s">
        <v>64</v>
      </c>
      <c r="S4" s="24" t="s">
        <v>65</v>
      </c>
      <c r="T4" s="24" t="s">
        <v>66</v>
      </c>
      <c r="U4" s="24" t="s">
        <v>67</v>
      </c>
      <c r="V4" s="24" t="s">
        <v>68</v>
      </c>
      <c r="W4" s="24" t="s">
        <v>69</v>
      </c>
      <c r="X4" s="24" t="s">
        <v>70</v>
      </c>
      <c r="Y4" s="24" t="s">
        <v>71</v>
      </c>
      <c r="Z4" s="24" t="s">
        <v>72</v>
      </c>
      <c r="AA4" s="24" t="s">
        <v>73</v>
      </c>
    </row>
    <row r="5" customFormat="false" ht="15" hidden="false" customHeight="false" outlineLevel="0" collapsed="false">
      <c r="A5" s="25" t="n">
        <v>1</v>
      </c>
      <c r="B5" s="26" t="s">
        <v>74</v>
      </c>
      <c r="C5" s="26" t="s">
        <v>75</v>
      </c>
      <c r="D5" s="27" t="s">
        <v>76</v>
      </c>
      <c r="E5" s="26" t="s">
        <v>77</v>
      </c>
      <c r="F5" s="27" t="s">
        <v>78</v>
      </c>
      <c r="G5" s="25" t="str">
        <f aca="false">IF($D5="","",IF(MID($D5,5,1)="S","S(봄)",IF(MID($D5,5,1)="M","M(여름)",IF(MID($D5,5,1)="X","X(사계절)",MID($D5,5,1)))))</f>
        <v>S(봄)</v>
      </c>
      <c r="H5" s="26" t="s">
        <v>79</v>
      </c>
      <c r="I5" s="25" t="s">
        <v>80</v>
      </c>
      <c r="J5" s="28" t="s">
        <v>81</v>
      </c>
      <c r="K5" s="29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9" t="n">
        <f aca="false">IF($K5="","",IF(AND($K5-기준정보!$C$5&gt;=기준정보!$C$10,$K5-기준정보!$C$5&lt;=기준정보!$C$11),기준정보!$C$10-1,$K5-기준정보!$C$5))</f>
        <v>46381</v>
      </c>
      <c r="M5" s="30" t="n">
        <f aca="false">IF($L5="","",IF(OR(ISNUMBER(SEARCH("중국",$U5)),ISNUMBER(SEARCH("베트남",$U5))),MAX(0,MIN($L5,기준정보!$C$9)-MAX($L5-기준정보!$C$6,기준정보!$C$8)+1),IF(ISNUMBER(SEARCH("한국",$U5)),MAX(0,MIN($L5,기준정보!$C$11)-MAX($L5-기준정보!$C$6,기준정보!$C$10)+1),0)))</f>
        <v>0</v>
      </c>
      <c r="N5" s="29" t="n">
        <f aca="false">IF($L5="","",$L5-기준정보!$C$6-$M5)</f>
        <v>46291</v>
      </c>
      <c r="O5" s="31" t="n">
        <f aca="false">IF($N5="","",$N5-기준정보!$C$4)</f>
        <v>49</v>
      </c>
      <c r="P5" s="28" t="s">
        <v>82</v>
      </c>
      <c r="Q5" s="28" t="s">
        <v>83</v>
      </c>
      <c r="R5" s="32"/>
      <c r="S5" s="27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T5" s="26" t="s">
        <v>84</v>
      </c>
      <c r="U5" s="26" t="s">
        <v>85</v>
      </c>
      <c r="V5" s="33" t="n">
        <v>190</v>
      </c>
      <c r="W5" s="27"/>
      <c r="X5" s="27" t="str">
        <f aca="false">IF($K5="","출고일 미정",IF($P5="X","작지 미발행",IF($P5="부분","작지 일부 미발행",IF(AND($R5&lt;&gt;"",$R5&gt;$N5),"소재입고 마감("&amp;TEXT($N5,"MM/DD")&amp;") 초과",IF($P5="","발행여부 확인 필요",IF($R5="","소재 입고일정 확인 필요","정상"))))))</f>
        <v>소재 입고일정 확인 필요</v>
      </c>
      <c r="Y5" s="25" t="str">
        <f aca="false">IF($K5="","",IF(OR(LEFT($X5,2)="작지",LEFT($X5,4)="소재입고"),IF(LEFT($G5,1)="S","★ 납기위험(S코드)","◆ 지연주의"),IF($X5="정상","✓ 정상","? 확인필요")))</f>
        <v>? 확인필요</v>
      </c>
      <c r="Z5" s="28"/>
      <c r="AA5" s="34"/>
    </row>
    <row r="6" customFormat="false" ht="15" hidden="false" customHeight="false" outlineLevel="0" collapsed="false">
      <c r="A6" s="25" t="n">
        <v>2</v>
      </c>
      <c r="B6" s="26" t="s">
        <v>74</v>
      </c>
      <c r="C6" s="26" t="s">
        <v>75</v>
      </c>
      <c r="D6" s="27" t="s">
        <v>86</v>
      </c>
      <c r="E6" s="26" t="s">
        <v>87</v>
      </c>
      <c r="F6" s="27" t="s">
        <v>88</v>
      </c>
      <c r="G6" s="25" t="str">
        <f aca="false">IF($D6="","",IF(MID($D6,5,1)="S","S(봄)",IF(MID($D6,5,1)="M","M(여름)",IF(MID($D6,5,1)="X","X(사계절)",MID($D6,5,1)))))</f>
        <v>S(봄)</v>
      </c>
      <c r="H6" s="26" t="s">
        <v>79</v>
      </c>
      <c r="I6" s="25" t="s">
        <v>80</v>
      </c>
      <c r="J6" s="28" t="s">
        <v>81</v>
      </c>
      <c r="K6" s="29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9" t="n">
        <f aca="false">IF($K6="","",IF(AND($K6-기준정보!$C$5&gt;=기준정보!$C$10,$K6-기준정보!$C$5&lt;=기준정보!$C$11),기준정보!$C$10-1,$K6-기준정보!$C$5))</f>
        <v>46381</v>
      </c>
      <c r="M6" s="30" t="n">
        <f aca="false">IF($L6="","",IF(OR(ISNUMBER(SEARCH("중국",$U6)),ISNUMBER(SEARCH("베트남",$U6))),MAX(0,MIN($L6,기준정보!$C$9)-MAX($L6-기준정보!$C$6,기준정보!$C$8)+1),IF(ISNUMBER(SEARCH("한국",$U6)),MAX(0,MIN($L6,기준정보!$C$11)-MAX($L6-기준정보!$C$6,기준정보!$C$10)+1),0)))</f>
        <v>0</v>
      </c>
      <c r="N6" s="29" t="n">
        <f aca="false">IF($L6="","",$L6-기준정보!$C$6-$M6)</f>
        <v>46291</v>
      </c>
      <c r="O6" s="31" t="n">
        <f aca="false">IF($N6="","",$N6-기준정보!$C$4)</f>
        <v>49</v>
      </c>
      <c r="P6" s="28" t="s">
        <v>82</v>
      </c>
      <c r="Q6" s="28" t="s">
        <v>83</v>
      </c>
      <c r="R6" s="32"/>
      <c r="S6" s="27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T6" s="26" t="s">
        <v>89</v>
      </c>
      <c r="U6" s="26" t="s">
        <v>90</v>
      </c>
      <c r="V6" s="33" t="n">
        <v>550</v>
      </c>
      <c r="W6" s="27"/>
      <c r="X6" s="27" t="str">
        <f aca="false">IF($K6="","출고일 미정",IF($P6="X","작지 미발행",IF($P6="부분","작지 일부 미발행",IF(AND($R6&lt;&gt;"",$R6&gt;$N6),"소재입고 마감("&amp;TEXT($N6,"MM/DD")&amp;") 초과",IF($P6="","발행여부 확인 필요",IF($R6="","소재 입고일정 확인 필요","정상"))))))</f>
        <v>소재 입고일정 확인 필요</v>
      </c>
      <c r="Y6" s="25" t="str">
        <f aca="false">IF($K6="","",IF(OR(LEFT($X6,2)="작지",LEFT($X6,4)="소재입고"),IF(LEFT($G6,1)="S","★ 납기위험(S코드)","◆ 지연주의"),IF($X6="정상","✓ 정상","? 확인필요")))</f>
        <v>? 확인필요</v>
      </c>
      <c r="Z6" s="28"/>
      <c r="AA6" s="34"/>
    </row>
    <row r="7" customFormat="false" ht="15" hidden="false" customHeight="false" outlineLevel="0" collapsed="false">
      <c r="A7" s="25" t="n">
        <v>3</v>
      </c>
      <c r="B7" s="26" t="s">
        <v>74</v>
      </c>
      <c r="C7" s="26" t="s">
        <v>75</v>
      </c>
      <c r="D7" s="27" t="s">
        <v>91</v>
      </c>
      <c r="E7" s="26" t="s">
        <v>92</v>
      </c>
      <c r="F7" s="27" t="s">
        <v>78</v>
      </c>
      <c r="G7" s="25" t="str">
        <f aca="false">IF($D7="","",IF(MID($D7,5,1)="S","S(봄)",IF(MID($D7,5,1)="M","M(여름)",IF(MID($D7,5,1)="X","X(사계절)",MID($D7,5,1)))))</f>
        <v>S(봄)</v>
      </c>
      <c r="H7" s="26" t="s">
        <v>79</v>
      </c>
      <c r="I7" s="25" t="s">
        <v>80</v>
      </c>
      <c r="J7" s="28" t="s">
        <v>81</v>
      </c>
      <c r="K7" s="29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9" t="n">
        <f aca="false">IF($K7="","",IF(AND($K7-기준정보!$C$5&gt;=기준정보!$C$10,$K7-기준정보!$C$5&lt;=기준정보!$C$11),기준정보!$C$10-1,$K7-기준정보!$C$5))</f>
        <v>46381</v>
      </c>
      <c r="M7" s="30" t="n">
        <f aca="false">IF($L7="","",IF(OR(ISNUMBER(SEARCH("중국",$U7)),ISNUMBER(SEARCH("베트남",$U7))),MAX(0,MIN($L7,기준정보!$C$9)-MAX($L7-기준정보!$C$6,기준정보!$C$8)+1),IF(ISNUMBER(SEARCH("한국",$U7)),MAX(0,MIN($L7,기준정보!$C$11)-MAX($L7-기준정보!$C$6,기준정보!$C$10)+1),0)))</f>
        <v>0</v>
      </c>
      <c r="N7" s="29" t="n">
        <f aca="false">IF($L7="","",$L7-기준정보!$C$6-$M7)</f>
        <v>46291</v>
      </c>
      <c r="O7" s="31" t="n">
        <f aca="false">IF($N7="","",$N7-기준정보!$C$4)</f>
        <v>49</v>
      </c>
      <c r="P7" s="28" t="s">
        <v>82</v>
      </c>
      <c r="Q7" s="28" t="s">
        <v>83</v>
      </c>
      <c r="R7" s="32"/>
      <c r="S7" s="27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T7" s="26" t="s">
        <v>89</v>
      </c>
      <c r="U7" s="26" t="s">
        <v>90</v>
      </c>
      <c r="V7" s="33" t="n">
        <v>600</v>
      </c>
      <c r="W7" s="27"/>
      <c r="X7" s="27" t="str">
        <f aca="false">IF($K7="","출고일 미정",IF($P7="X","작지 미발행",IF($P7="부분","작지 일부 미발행",IF(AND($R7&lt;&gt;"",$R7&gt;$N7),"소재입고 마감("&amp;TEXT($N7,"MM/DD")&amp;") 초과",IF($P7="","발행여부 확인 필요",IF($R7="","소재 입고일정 확인 필요","정상"))))))</f>
        <v>소재 입고일정 확인 필요</v>
      </c>
      <c r="Y7" s="25" t="str">
        <f aca="false">IF($K7="","",IF(OR(LEFT($X7,2)="작지",LEFT($X7,4)="소재입고"),IF(LEFT($G7,1)="S","★ 납기위험(S코드)","◆ 지연주의"),IF($X7="정상","✓ 정상","? 확인필요")))</f>
        <v>? 확인필요</v>
      </c>
      <c r="Z7" s="28"/>
      <c r="AA7" s="34"/>
    </row>
    <row r="8" customFormat="false" ht="15" hidden="false" customHeight="false" outlineLevel="0" collapsed="false">
      <c r="A8" s="25" t="n">
        <v>4</v>
      </c>
      <c r="B8" s="26" t="s">
        <v>74</v>
      </c>
      <c r="C8" s="26" t="s">
        <v>93</v>
      </c>
      <c r="D8" s="27" t="s">
        <v>94</v>
      </c>
      <c r="E8" s="26" t="s">
        <v>95</v>
      </c>
      <c r="F8" s="27" t="s">
        <v>96</v>
      </c>
      <c r="G8" s="25" t="str">
        <f aca="false">IF($D8="","",IF(MID($D8,5,1)="S","S(봄)",IF(MID($D8,5,1)="M","M(여름)",IF(MID($D8,5,1)="X","X(사계절)",MID($D8,5,1)))))</f>
        <v>S(봄)</v>
      </c>
      <c r="H8" s="26" t="s">
        <v>79</v>
      </c>
      <c r="I8" s="25" t="s">
        <v>80</v>
      </c>
      <c r="J8" s="28" t="s">
        <v>81</v>
      </c>
      <c r="K8" s="29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9" t="n">
        <f aca="false">IF($K8="","",IF(AND($K8-기준정보!$C$5&gt;=기준정보!$C$10,$K8-기준정보!$C$5&lt;=기준정보!$C$11),기준정보!$C$10-1,$K8-기준정보!$C$5))</f>
        <v>46381</v>
      </c>
      <c r="M8" s="30" t="n">
        <f aca="false">IF($L8="","",IF(OR(ISNUMBER(SEARCH("중국",$U8)),ISNUMBER(SEARCH("베트남",$U8))),MAX(0,MIN($L8,기준정보!$C$9)-MAX($L8-기준정보!$C$6,기준정보!$C$8)+1),IF(ISNUMBER(SEARCH("한국",$U8)),MAX(0,MIN($L8,기준정보!$C$11)-MAX($L8-기준정보!$C$6,기준정보!$C$10)+1),0)))</f>
        <v>0</v>
      </c>
      <c r="N8" s="29" t="n">
        <f aca="false">IF($L8="","",$L8-기준정보!$C$6-$M8)</f>
        <v>46291</v>
      </c>
      <c r="O8" s="31" t="n">
        <f aca="false">IF($N8="","",$N8-기준정보!$C$4)</f>
        <v>49</v>
      </c>
      <c r="P8" s="28" t="s">
        <v>82</v>
      </c>
      <c r="Q8" s="28" t="s">
        <v>82</v>
      </c>
      <c r="R8" s="32"/>
      <c r="S8" s="27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T8" s="26" t="s">
        <v>89</v>
      </c>
      <c r="U8" s="26" t="s">
        <v>90</v>
      </c>
      <c r="V8" s="33" t="n">
        <v>400</v>
      </c>
      <c r="W8" s="27"/>
      <c r="X8" s="27" t="str">
        <f aca="false">IF($K8="","출고일 미정",IF($P8="X","작지 미발행",IF($P8="부분","작지 일부 미발행",IF(AND($R8&lt;&gt;"",$R8&gt;$N8),"소재입고 마감("&amp;TEXT($N8,"MM/DD")&amp;") 초과",IF($P8="","발행여부 확인 필요",IF($R8="","소재 입고일정 확인 필요","정상"))))))</f>
        <v>소재 입고일정 확인 필요</v>
      </c>
      <c r="Y8" s="25" t="str">
        <f aca="false">IF($K8="","",IF(OR(LEFT($X8,2)="작지",LEFT($X8,4)="소재입고"),IF(LEFT($G8,1)="S","★ 납기위험(S코드)","◆ 지연주의"),IF($X8="정상","✓ 정상","? 확인필요")))</f>
        <v>? 확인필요</v>
      </c>
      <c r="Z8" s="28"/>
      <c r="AA8" s="34"/>
    </row>
    <row r="9" customFormat="false" ht="15" hidden="false" customHeight="false" outlineLevel="0" collapsed="false">
      <c r="A9" s="25" t="n">
        <v>5</v>
      </c>
      <c r="B9" s="26" t="s">
        <v>74</v>
      </c>
      <c r="C9" s="26" t="s">
        <v>93</v>
      </c>
      <c r="D9" s="27" t="s">
        <v>97</v>
      </c>
      <c r="E9" s="26" t="s">
        <v>98</v>
      </c>
      <c r="F9" s="27" t="s">
        <v>88</v>
      </c>
      <c r="G9" s="25" t="str">
        <f aca="false">IF($D9="","",IF(MID($D9,5,1)="S","S(봄)",IF(MID($D9,5,1)="M","M(여름)",IF(MID($D9,5,1)="X","X(사계절)",MID($D9,5,1)))))</f>
        <v>S(봄)</v>
      </c>
      <c r="H9" s="26" t="s">
        <v>79</v>
      </c>
      <c r="I9" s="25" t="s">
        <v>80</v>
      </c>
      <c r="J9" s="28" t="s">
        <v>81</v>
      </c>
      <c r="K9" s="29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9" t="n">
        <f aca="false">IF($K9="","",IF(AND($K9-기준정보!$C$5&gt;=기준정보!$C$10,$K9-기준정보!$C$5&lt;=기준정보!$C$11),기준정보!$C$10-1,$K9-기준정보!$C$5))</f>
        <v>46381</v>
      </c>
      <c r="M9" s="30" t="n">
        <f aca="false">IF($L9="","",IF(OR(ISNUMBER(SEARCH("중국",$U9)),ISNUMBER(SEARCH("베트남",$U9))),MAX(0,MIN($L9,기준정보!$C$9)-MAX($L9-기준정보!$C$6,기준정보!$C$8)+1),IF(ISNUMBER(SEARCH("한국",$U9)),MAX(0,MIN($L9,기준정보!$C$11)-MAX($L9-기준정보!$C$6,기준정보!$C$10)+1),0)))</f>
        <v>0</v>
      </c>
      <c r="N9" s="29" t="n">
        <f aca="false">IF($L9="","",$L9-기준정보!$C$6-$M9)</f>
        <v>46291</v>
      </c>
      <c r="O9" s="31" t="n">
        <f aca="false">IF($N9="","",$N9-기준정보!$C$4)</f>
        <v>49</v>
      </c>
      <c r="P9" s="28" t="s">
        <v>82</v>
      </c>
      <c r="Q9" s="28" t="s">
        <v>83</v>
      </c>
      <c r="R9" s="32"/>
      <c r="S9" s="27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T9" s="26" t="s">
        <v>99</v>
      </c>
      <c r="U9" s="26" t="s">
        <v>85</v>
      </c>
      <c r="V9" s="33" t="n">
        <v>350</v>
      </c>
      <c r="W9" s="27"/>
      <c r="X9" s="27" t="str">
        <f aca="false">IF($K9="","출고일 미정",IF($P9="X","작지 미발행",IF($P9="부분","작지 일부 미발행",IF(AND($R9&lt;&gt;"",$R9&gt;$N9),"소재입고 마감("&amp;TEXT($N9,"MM/DD")&amp;") 초과",IF($P9="","발행여부 확인 필요",IF($R9="","소재 입고일정 확인 필요","정상"))))))</f>
        <v>소재 입고일정 확인 필요</v>
      </c>
      <c r="Y9" s="25" t="str">
        <f aca="false">IF($K9="","",IF(OR(LEFT($X9,2)="작지",LEFT($X9,4)="소재입고"),IF(LEFT($G9,1)="S","★ 납기위험(S코드)","◆ 지연주의"),IF($X9="정상","✓ 정상","? 확인필요")))</f>
        <v>? 확인필요</v>
      </c>
      <c r="Z9" s="28"/>
      <c r="AA9" s="34"/>
    </row>
    <row r="10" customFormat="false" ht="15" hidden="false" customHeight="false" outlineLevel="0" collapsed="false">
      <c r="A10" s="25" t="n">
        <v>6</v>
      </c>
      <c r="B10" s="26" t="s">
        <v>74</v>
      </c>
      <c r="C10" s="26" t="s">
        <v>93</v>
      </c>
      <c r="D10" s="27" t="s">
        <v>100</v>
      </c>
      <c r="E10" s="26" t="s">
        <v>101</v>
      </c>
      <c r="F10" s="27" t="s">
        <v>102</v>
      </c>
      <c r="G10" s="25" t="str">
        <f aca="false">IF($D10="","",IF(MID($D10,5,1)="S","S(봄)",IF(MID($D10,5,1)="M","M(여름)",IF(MID($D10,5,1)="X","X(사계절)",MID($D10,5,1)))))</f>
        <v>S(봄)</v>
      </c>
      <c r="H10" s="26" t="s">
        <v>79</v>
      </c>
      <c r="I10" s="25" t="s">
        <v>80</v>
      </c>
      <c r="J10" s="28" t="s">
        <v>81</v>
      </c>
      <c r="K10" s="29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9" t="n">
        <f aca="false">IF($K10="","",IF(AND($K10-기준정보!$C$5&gt;=기준정보!$C$10,$K10-기준정보!$C$5&lt;=기준정보!$C$11),기준정보!$C$10-1,$K10-기준정보!$C$5))</f>
        <v>46381</v>
      </c>
      <c r="M10" s="30" t="n">
        <f aca="false">IF($L10="","",IF(OR(ISNUMBER(SEARCH("중국",$U10)),ISNUMBER(SEARCH("베트남",$U10))),MAX(0,MIN($L10,기준정보!$C$9)-MAX($L10-기준정보!$C$6,기준정보!$C$8)+1),IF(ISNUMBER(SEARCH("한국",$U10)),MAX(0,MIN($L10,기준정보!$C$11)-MAX($L10-기준정보!$C$6,기준정보!$C$10)+1),0)))</f>
        <v>0</v>
      </c>
      <c r="N10" s="29" t="n">
        <f aca="false">IF($L10="","",$L10-기준정보!$C$6-$M10)</f>
        <v>46291</v>
      </c>
      <c r="O10" s="31" t="n">
        <f aca="false">IF($N10="","",$N10-기준정보!$C$4)</f>
        <v>49</v>
      </c>
      <c r="P10" s="28" t="s">
        <v>82</v>
      </c>
      <c r="Q10" s="28" t="s">
        <v>83</v>
      </c>
      <c r="R10" s="32"/>
      <c r="S10" s="27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T10" s="26" t="s">
        <v>99</v>
      </c>
      <c r="U10" s="26" t="s">
        <v>85</v>
      </c>
      <c r="V10" s="33" t="n">
        <v>200</v>
      </c>
      <c r="W10" s="27"/>
      <c r="X10" s="27" t="str">
        <f aca="false">IF($K10="","출고일 미정",IF($P10="X","작지 미발행",IF($P10="부분","작지 일부 미발행",IF(AND($R10&lt;&gt;"",$R10&gt;$N10),"소재입고 마감("&amp;TEXT($N10,"MM/DD")&amp;") 초과",IF($P10="","발행여부 확인 필요",IF($R10="","소재 입고일정 확인 필요","정상"))))))</f>
        <v>소재 입고일정 확인 필요</v>
      </c>
      <c r="Y10" s="25" t="str">
        <f aca="false">IF($K10="","",IF(OR(LEFT($X10,2)="작지",LEFT($X10,4)="소재입고"),IF(LEFT($G10,1)="S","★ 납기위험(S코드)","◆ 지연주의"),IF($X10="정상","✓ 정상","? 확인필요")))</f>
        <v>? 확인필요</v>
      </c>
      <c r="Z10" s="28"/>
      <c r="AA10" s="34"/>
    </row>
    <row r="11" customFormat="false" ht="15" hidden="false" customHeight="false" outlineLevel="0" collapsed="false">
      <c r="A11" s="25" t="n">
        <v>7</v>
      </c>
      <c r="B11" s="26" t="s">
        <v>74</v>
      </c>
      <c r="C11" s="26" t="s">
        <v>93</v>
      </c>
      <c r="D11" s="27" t="s">
        <v>103</v>
      </c>
      <c r="E11" s="26" t="s">
        <v>104</v>
      </c>
      <c r="F11" s="27" t="s">
        <v>105</v>
      </c>
      <c r="G11" s="25" t="str">
        <f aca="false">IF($D11="","",IF(MID($D11,5,1)="S","S(봄)",IF(MID($D11,5,1)="M","M(여름)",IF(MID($D11,5,1)="X","X(사계절)",MID($D11,5,1)))))</f>
        <v>S(봄)</v>
      </c>
      <c r="H11" s="26" t="s">
        <v>79</v>
      </c>
      <c r="I11" s="25" t="s">
        <v>80</v>
      </c>
      <c r="J11" s="28" t="s">
        <v>81</v>
      </c>
      <c r="K11" s="29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9" t="n">
        <f aca="false">IF($K11="","",IF(AND($K11-기준정보!$C$5&gt;=기준정보!$C$10,$K11-기준정보!$C$5&lt;=기준정보!$C$11),기준정보!$C$10-1,$K11-기준정보!$C$5))</f>
        <v>46381</v>
      </c>
      <c r="M11" s="30" t="n">
        <f aca="false">IF($L11="","",IF(OR(ISNUMBER(SEARCH("중국",$U11)),ISNUMBER(SEARCH("베트남",$U11))),MAX(0,MIN($L11,기준정보!$C$9)-MAX($L11-기준정보!$C$6,기준정보!$C$8)+1),IF(ISNUMBER(SEARCH("한국",$U11)),MAX(0,MIN($L11,기준정보!$C$11)-MAX($L11-기준정보!$C$6,기준정보!$C$10)+1),0)))</f>
        <v>0</v>
      </c>
      <c r="N11" s="29" t="n">
        <f aca="false">IF($L11="","",$L11-기준정보!$C$6-$M11)</f>
        <v>46291</v>
      </c>
      <c r="O11" s="31" t="n">
        <f aca="false">IF($N11="","",$N11-기준정보!$C$4)</f>
        <v>49</v>
      </c>
      <c r="P11" s="28" t="s">
        <v>82</v>
      </c>
      <c r="Q11" s="28" t="s">
        <v>83</v>
      </c>
      <c r="R11" s="32"/>
      <c r="S11" s="27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T11" s="26" t="s">
        <v>106</v>
      </c>
      <c r="U11" s="26" t="s">
        <v>85</v>
      </c>
      <c r="V11" s="33" t="n">
        <v>180</v>
      </c>
      <c r="W11" s="27"/>
      <c r="X11" s="27" t="str">
        <f aca="false">IF($K11="","출고일 미정",IF($P11="X","작지 미발행",IF($P11="부분","작지 일부 미발행",IF(AND($R11&lt;&gt;"",$R11&gt;$N11),"소재입고 마감("&amp;TEXT($N11,"MM/DD")&amp;") 초과",IF($P11="","발행여부 확인 필요",IF($R11="","소재 입고일정 확인 필요","정상"))))))</f>
        <v>소재 입고일정 확인 필요</v>
      </c>
      <c r="Y11" s="25" t="str">
        <f aca="false">IF($K11="","",IF(OR(LEFT($X11,2)="작지",LEFT($X11,4)="소재입고"),IF(LEFT($G11,1)="S","★ 납기위험(S코드)","◆ 지연주의"),IF($X11="정상","✓ 정상","? 확인필요")))</f>
        <v>? 확인필요</v>
      </c>
      <c r="Z11" s="28"/>
      <c r="AA11" s="34"/>
    </row>
    <row r="12" customFormat="false" ht="15" hidden="false" customHeight="false" outlineLevel="0" collapsed="false">
      <c r="A12" s="25" t="n">
        <v>8</v>
      </c>
      <c r="B12" s="26" t="s">
        <v>74</v>
      </c>
      <c r="C12" s="26" t="s">
        <v>75</v>
      </c>
      <c r="D12" s="27" t="s">
        <v>107</v>
      </c>
      <c r="E12" s="26" t="s">
        <v>108</v>
      </c>
      <c r="F12" s="27" t="s">
        <v>109</v>
      </c>
      <c r="G12" s="25" t="str">
        <f aca="false">IF($D12="","",IF(MID($D12,5,1)="S","S(봄)",IF(MID($D12,5,1)="M","M(여름)",IF(MID($D12,5,1)="X","X(사계절)",MID($D12,5,1)))))</f>
        <v>S(봄)</v>
      </c>
      <c r="H12" s="26" t="s">
        <v>79</v>
      </c>
      <c r="I12" s="25" t="s">
        <v>80</v>
      </c>
      <c r="J12" s="28" t="s">
        <v>81</v>
      </c>
      <c r="K12" s="29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9" t="n">
        <f aca="false">IF($K12="","",IF(AND($K12-기준정보!$C$5&gt;=기준정보!$C$10,$K12-기준정보!$C$5&lt;=기준정보!$C$11),기준정보!$C$10-1,$K12-기준정보!$C$5))</f>
        <v>46381</v>
      </c>
      <c r="M12" s="30" t="n">
        <f aca="false">IF($L12="","",IF(OR(ISNUMBER(SEARCH("중국",$U12)),ISNUMBER(SEARCH("베트남",$U12))),MAX(0,MIN($L12,기준정보!$C$9)-MAX($L12-기준정보!$C$6,기준정보!$C$8)+1),IF(ISNUMBER(SEARCH("한국",$U12)),MAX(0,MIN($L12,기준정보!$C$11)-MAX($L12-기준정보!$C$6,기준정보!$C$10)+1),0)))</f>
        <v>0</v>
      </c>
      <c r="N12" s="29" t="n">
        <f aca="false">IF($L12="","",$L12-기준정보!$C$6-$M12)</f>
        <v>46291</v>
      </c>
      <c r="O12" s="31" t="n">
        <f aca="false">IF($N12="","",$N12-기준정보!$C$4)</f>
        <v>49</v>
      </c>
      <c r="P12" s="28" t="s">
        <v>82</v>
      </c>
      <c r="Q12" s="28" t="s">
        <v>83</v>
      </c>
      <c r="R12" s="32"/>
      <c r="S12" s="27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T12" s="26" t="s">
        <v>84</v>
      </c>
      <c r="U12" s="26" t="s">
        <v>85</v>
      </c>
      <c r="V12" s="33" t="n">
        <v>250</v>
      </c>
      <c r="W12" s="27"/>
      <c r="X12" s="27" t="str">
        <f aca="false">IF($K12="","출고일 미정",IF($P12="X","작지 미발행",IF($P12="부분","작지 일부 미발행",IF(AND($R12&lt;&gt;"",$R12&gt;$N12),"소재입고 마감("&amp;TEXT($N12,"MM/DD")&amp;") 초과",IF($P12="","발행여부 확인 필요",IF($R12="","소재 입고일정 확인 필요","정상"))))))</f>
        <v>소재 입고일정 확인 필요</v>
      </c>
      <c r="Y12" s="25" t="str">
        <f aca="false">IF($K12="","",IF(OR(LEFT($X12,2)="작지",LEFT($X12,4)="소재입고"),IF(LEFT($G12,1)="S","★ 납기위험(S코드)","◆ 지연주의"),IF($X12="정상","✓ 정상","? 확인필요")))</f>
        <v>? 확인필요</v>
      </c>
      <c r="Z12" s="28"/>
      <c r="AA12" s="34"/>
    </row>
    <row r="13" customFormat="false" ht="15" hidden="false" customHeight="false" outlineLevel="0" collapsed="false">
      <c r="A13" s="25" t="n">
        <v>9</v>
      </c>
      <c r="B13" s="26" t="s">
        <v>74</v>
      </c>
      <c r="C13" s="26" t="s">
        <v>75</v>
      </c>
      <c r="D13" s="27" t="s">
        <v>110</v>
      </c>
      <c r="E13" s="26" t="s">
        <v>111</v>
      </c>
      <c r="F13" s="27" t="s">
        <v>102</v>
      </c>
      <c r="G13" s="25" t="str">
        <f aca="false">IF($D13="","",IF(MID($D13,5,1)="S","S(봄)",IF(MID($D13,5,1)="M","M(여름)",IF(MID($D13,5,1)="X","X(사계절)",MID($D13,5,1)))))</f>
        <v>S(봄)</v>
      </c>
      <c r="H13" s="26" t="s">
        <v>79</v>
      </c>
      <c r="I13" s="25" t="s">
        <v>80</v>
      </c>
      <c r="J13" s="28" t="s">
        <v>81</v>
      </c>
      <c r="K13" s="29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9" t="n">
        <f aca="false">IF($K13="","",IF(AND($K13-기준정보!$C$5&gt;=기준정보!$C$10,$K13-기준정보!$C$5&lt;=기준정보!$C$11),기준정보!$C$10-1,$K13-기준정보!$C$5))</f>
        <v>46381</v>
      </c>
      <c r="M13" s="30" t="n">
        <f aca="false">IF($L13="","",IF(OR(ISNUMBER(SEARCH("중국",$U13)),ISNUMBER(SEARCH("베트남",$U13))),MAX(0,MIN($L13,기준정보!$C$9)-MAX($L13-기준정보!$C$6,기준정보!$C$8)+1),IF(ISNUMBER(SEARCH("한국",$U13)),MAX(0,MIN($L13,기준정보!$C$11)-MAX($L13-기준정보!$C$6,기준정보!$C$10)+1),0)))</f>
        <v>0</v>
      </c>
      <c r="N13" s="29" t="n">
        <f aca="false">IF($L13="","",$L13-기준정보!$C$6-$M13)</f>
        <v>46291</v>
      </c>
      <c r="O13" s="31" t="n">
        <f aca="false">IF($N13="","",$N13-기준정보!$C$4)</f>
        <v>49</v>
      </c>
      <c r="P13" s="28" t="s">
        <v>82</v>
      </c>
      <c r="Q13" s="28" t="s">
        <v>83</v>
      </c>
      <c r="R13" s="32"/>
      <c r="S13" s="27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T13" s="26" t="s">
        <v>89</v>
      </c>
      <c r="U13" s="26" t="s">
        <v>90</v>
      </c>
      <c r="V13" s="33" t="n">
        <v>2350</v>
      </c>
      <c r="W13" s="27"/>
      <c r="X13" s="27" t="str">
        <f aca="false">IF($K13="","출고일 미정",IF($P13="X","작지 미발행",IF($P13="부분","작지 일부 미발행",IF(AND($R13&lt;&gt;"",$R13&gt;$N13),"소재입고 마감("&amp;TEXT($N13,"MM/DD")&amp;") 초과",IF($P13="","발행여부 확인 필요",IF($R13="","소재 입고일정 확인 필요","정상"))))))</f>
        <v>소재 입고일정 확인 필요</v>
      </c>
      <c r="Y13" s="25" t="str">
        <f aca="false">IF($K13="","",IF(OR(LEFT($X13,2)="작지",LEFT($X13,4)="소재입고"),IF(LEFT($G13,1)="S","★ 납기위험(S코드)","◆ 지연주의"),IF($X13="정상","✓ 정상","? 확인필요")))</f>
        <v>? 확인필요</v>
      </c>
      <c r="Z13" s="28"/>
      <c r="AA13" s="34"/>
    </row>
    <row r="14" customFormat="false" ht="15" hidden="false" customHeight="false" outlineLevel="0" collapsed="false">
      <c r="A14" s="25" t="n">
        <v>10</v>
      </c>
      <c r="B14" s="26" t="s">
        <v>74</v>
      </c>
      <c r="C14" s="26" t="s">
        <v>75</v>
      </c>
      <c r="D14" s="27" t="s">
        <v>112</v>
      </c>
      <c r="E14" s="26" t="s">
        <v>113</v>
      </c>
      <c r="F14" s="27" t="s">
        <v>114</v>
      </c>
      <c r="G14" s="25" t="str">
        <f aca="false">IF($D14="","",IF(MID($D14,5,1)="S","S(봄)",IF(MID($D14,5,1)="M","M(여름)",IF(MID($D14,5,1)="X","X(사계절)",MID($D14,5,1)))))</f>
        <v>S(봄)</v>
      </c>
      <c r="H14" s="26" t="s">
        <v>79</v>
      </c>
      <c r="I14" s="25" t="s">
        <v>80</v>
      </c>
      <c r="J14" s="28" t="s">
        <v>81</v>
      </c>
      <c r="K14" s="29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9" t="n">
        <f aca="false">IF($K14="","",IF(AND($K14-기준정보!$C$5&gt;=기준정보!$C$10,$K14-기준정보!$C$5&lt;=기준정보!$C$11),기준정보!$C$10-1,$K14-기준정보!$C$5))</f>
        <v>46381</v>
      </c>
      <c r="M14" s="30" t="n">
        <f aca="false">IF($L14="","",IF(OR(ISNUMBER(SEARCH("중국",$U14)),ISNUMBER(SEARCH("베트남",$U14))),MAX(0,MIN($L14,기준정보!$C$9)-MAX($L14-기준정보!$C$6,기준정보!$C$8)+1),IF(ISNUMBER(SEARCH("한국",$U14)),MAX(0,MIN($L14,기준정보!$C$11)-MAX($L14-기준정보!$C$6,기준정보!$C$10)+1),0)))</f>
        <v>0</v>
      </c>
      <c r="N14" s="29" t="n">
        <f aca="false">IF($L14="","",$L14-기준정보!$C$6-$M14)</f>
        <v>46291</v>
      </c>
      <c r="O14" s="31" t="n">
        <f aca="false">IF($N14="","",$N14-기준정보!$C$4)</f>
        <v>49</v>
      </c>
      <c r="P14" s="28" t="s">
        <v>82</v>
      </c>
      <c r="Q14" s="28" t="s">
        <v>83</v>
      </c>
      <c r="R14" s="32"/>
      <c r="S14" s="27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T14" s="26" t="s">
        <v>89</v>
      </c>
      <c r="U14" s="26" t="s">
        <v>90</v>
      </c>
      <c r="V14" s="33" t="n">
        <v>2250</v>
      </c>
      <c r="W14" s="27"/>
      <c r="X14" s="27" t="str">
        <f aca="false">IF($K14="","출고일 미정",IF($P14="X","작지 미발행",IF($P14="부분","작지 일부 미발행",IF(AND($R14&lt;&gt;"",$R14&gt;$N14),"소재입고 마감("&amp;TEXT($N14,"MM/DD")&amp;") 초과",IF($P14="","발행여부 확인 필요",IF($R14="","소재 입고일정 확인 필요","정상"))))))</f>
        <v>소재 입고일정 확인 필요</v>
      </c>
      <c r="Y14" s="25" t="str">
        <f aca="false">IF($K14="","",IF(OR(LEFT($X14,2)="작지",LEFT($X14,4)="소재입고"),IF(LEFT($G14,1)="S","★ 납기위험(S코드)","◆ 지연주의"),IF($X14="정상","✓ 정상","? 확인필요")))</f>
        <v>? 확인필요</v>
      </c>
      <c r="Z14" s="28"/>
      <c r="AA14" s="34"/>
    </row>
    <row r="15" customFormat="false" ht="15" hidden="false" customHeight="false" outlineLevel="0" collapsed="false">
      <c r="A15" s="25" t="n">
        <v>11</v>
      </c>
      <c r="B15" s="26" t="s">
        <v>74</v>
      </c>
      <c r="C15" s="26" t="s">
        <v>93</v>
      </c>
      <c r="D15" s="27" t="s">
        <v>115</v>
      </c>
      <c r="E15" s="26" t="s">
        <v>116</v>
      </c>
      <c r="F15" s="27" t="s">
        <v>114</v>
      </c>
      <c r="G15" s="25" t="str">
        <f aca="false">IF($D15="","",IF(MID($D15,5,1)="S","S(봄)",IF(MID($D15,5,1)="M","M(여름)",IF(MID($D15,5,1)="X","X(사계절)",MID($D15,5,1)))))</f>
        <v>S(봄)</v>
      </c>
      <c r="H15" s="26" t="s">
        <v>79</v>
      </c>
      <c r="I15" s="25" t="s">
        <v>80</v>
      </c>
      <c r="J15" s="28" t="s">
        <v>81</v>
      </c>
      <c r="K15" s="29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9" t="n">
        <f aca="false">IF($K15="","",IF(AND($K15-기준정보!$C$5&gt;=기준정보!$C$10,$K15-기준정보!$C$5&lt;=기준정보!$C$11),기준정보!$C$10-1,$K15-기준정보!$C$5))</f>
        <v>46381</v>
      </c>
      <c r="M15" s="30" t="n">
        <f aca="false">IF($L15="","",IF(OR(ISNUMBER(SEARCH("중국",$U15)),ISNUMBER(SEARCH("베트남",$U15))),MAX(0,MIN($L15,기준정보!$C$9)-MAX($L15-기준정보!$C$6,기준정보!$C$8)+1),IF(ISNUMBER(SEARCH("한국",$U15)),MAX(0,MIN($L15,기준정보!$C$11)-MAX($L15-기준정보!$C$6,기준정보!$C$10)+1),0)))</f>
        <v>0</v>
      </c>
      <c r="N15" s="29" t="n">
        <f aca="false">IF($L15="","",$L15-기준정보!$C$6-$M15)</f>
        <v>46291</v>
      </c>
      <c r="O15" s="31" t="n">
        <f aca="false">IF($N15="","",$N15-기준정보!$C$4)</f>
        <v>49</v>
      </c>
      <c r="P15" s="28" t="s">
        <v>82</v>
      </c>
      <c r="Q15" s="28" t="s">
        <v>83</v>
      </c>
      <c r="R15" s="32"/>
      <c r="S15" s="27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T15" s="26" t="s">
        <v>89</v>
      </c>
      <c r="U15" s="26" t="s">
        <v>90</v>
      </c>
      <c r="V15" s="33" t="n">
        <v>3000</v>
      </c>
      <c r="W15" s="27"/>
      <c r="X15" s="27" t="str">
        <f aca="false">IF($K15="","출고일 미정",IF($P15="X","작지 미발행",IF($P15="부분","작지 일부 미발행",IF(AND($R15&lt;&gt;"",$R15&gt;$N15),"소재입고 마감("&amp;TEXT($N15,"MM/DD")&amp;") 초과",IF($P15="","발행여부 확인 필요",IF($R15="","소재 입고일정 확인 필요","정상"))))))</f>
        <v>소재 입고일정 확인 필요</v>
      </c>
      <c r="Y15" s="25" t="str">
        <f aca="false">IF($K15="","",IF(OR(LEFT($X15,2)="작지",LEFT($X15,4)="소재입고"),IF(LEFT($G15,1)="S","★ 납기위험(S코드)","◆ 지연주의"),IF($X15="정상","✓ 정상","? 확인필요")))</f>
        <v>? 확인필요</v>
      </c>
      <c r="Z15" s="28"/>
      <c r="AA15" s="34"/>
    </row>
    <row r="16" customFormat="false" ht="15" hidden="false" customHeight="false" outlineLevel="0" collapsed="false">
      <c r="A16" s="25" t="n">
        <v>12</v>
      </c>
      <c r="B16" s="26" t="s">
        <v>74</v>
      </c>
      <c r="C16" s="26" t="s">
        <v>93</v>
      </c>
      <c r="D16" s="27" t="s">
        <v>117</v>
      </c>
      <c r="E16" s="26" t="s">
        <v>118</v>
      </c>
      <c r="F16" s="27" t="s">
        <v>119</v>
      </c>
      <c r="G16" s="25" t="str">
        <f aca="false">IF($D16="","",IF(MID($D16,5,1)="S","S(봄)",IF(MID($D16,5,1)="M","M(여름)",IF(MID($D16,5,1)="X","X(사계절)",MID($D16,5,1)))))</f>
        <v>S(봄)</v>
      </c>
      <c r="H16" s="26" t="s">
        <v>79</v>
      </c>
      <c r="I16" s="25" t="s">
        <v>80</v>
      </c>
      <c r="J16" s="28" t="s">
        <v>81</v>
      </c>
      <c r="K16" s="29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9" t="n">
        <f aca="false">IF($K16="","",IF(AND($K16-기준정보!$C$5&gt;=기준정보!$C$10,$K16-기준정보!$C$5&lt;=기준정보!$C$11),기준정보!$C$10-1,$K16-기준정보!$C$5))</f>
        <v>46381</v>
      </c>
      <c r="M16" s="30" t="n">
        <f aca="false">IF($L16="","",IF(OR(ISNUMBER(SEARCH("중국",$U16)),ISNUMBER(SEARCH("베트남",$U16))),MAX(0,MIN($L16,기준정보!$C$9)-MAX($L16-기준정보!$C$6,기준정보!$C$8)+1),IF(ISNUMBER(SEARCH("한국",$U16)),MAX(0,MIN($L16,기준정보!$C$11)-MAX($L16-기준정보!$C$6,기준정보!$C$10)+1),0)))</f>
        <v>0</v>
      </c>
      <c r="N16" s="29" t="n">
        <f aca="false">IF($L16="","",$L16-기준정보!$C$6-$M16)</f>
        <v>46291</v>
      </c>
      <c r="O16" s="31" t="n">
        <f aca="false">IF($N16="","",$N16-기준정보!$C$4)</f>
        <v>49</v>
      </c>
      <c r="P16" s="28" t="s">
        <v>82</v>
      </c>
      <c r="Q16" s="28" t="s">
        <v>83</v>
      </c>
      <c r="R16" s="32"/>
      <c r="S16" s="27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T16" s="26" t="s">
        <v>99</v>
      </c>
      <c r="U16" s="26" t="s">
        <v>85</v>
      </c>
      <c r="V16" s="33" t="n">
        <v>1100</v>
      </c>
      <c r="W16" s="27"/>
      <c r="X16" s="27" t="str">
        <f aca="false">IF($K16="","출고일 미정",IF($P16="X","작지 미발행",IF($P16="부분","작지 일부 미발행",IF(AND($R16&lt;&gt;"",$R16&gt;$N16),"소재입고 마감("&amp;TEXT($N16,"MM/DD")&amp;") 초과",IF($P16="","발행여부 확인 필요",IF($R16="","소재 입고일정 확인 필요","정상"))))))</f>
        <v>소재 입고일정 확인 필요</v>
      </c>
      <c r="Y16" s="25" t="str">
        <f aca="false">IF($K16="","",IF(OR(LEFT($X16,2)="작지",LEFT($X16,4)="소재입고"),IF(LEFT($G16,1)="S","★ 납기위험(S코드)","◆ 지연주의"),IF($X16="정상","✓ 정상","? 확인필요")))</f>
        <v>? 확인필요</v>
      </c>
      <c r="Z16" s="28"/>
      <c r="AA16" s="34"/>
    </row>
    <row r="17" customFormat="false" ht="15" hidden="false" customHeight="false" outlineLevel="0" collapsed="false">
      <c r="A17" s="25" t="n">
        <v>13</v>
      </c>
      <c r="B17" s="26" t="s">
        <v>74</v>
      </c>
      <c r="C17" s="26" t="s">
        <v>93</v>
      </c>
      <c r="D17" s="27" t="s">
        <v>120</v>
      </c>
      <c r="E17" s="26" t="s">
        <v>121</v>
      </c>
      <c r="F17" s="27" t="s">
        <v>105</v>
      </c>
      <c r="G17" s="25" t="str">
        <f aca="false">IF($D17="","",IF(MID($D17,5,1)="S","S(봄)",IF(MID($D17,5,1)="M","M(여름)",IF(MID($D17,5,1)="X","X(사계절)",MID($D17,5,1)))))</f>
        <v>S(봄)</v>
      </c>
      <c r="H17" s="26" t="s">
        <v>79</v>
      </c>
      <c r="I17" s="25" t="s">
        <v>80</v>
      </c>
      <c r="J17" s="28" t="s">
        <v>81</v>
      </c>
      <c r="K17" s="29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9" t="n">
        <f aca="false">IF($K17="","",IF(AND($K17-기준정보!$C$5&gt;=기준정보!$C$10,$K17-기준정보!$C$5&lt;=기준정보!$C$11),기준정보!$C$10-1,$K17-기준정보!$C$5))</f>
        <v>46381</v>
      </c>
      <c r="M17" s="30" t="n">
        <f aca="false">IF($L17="","",IF(OR(ISNUMBER(SEARCH("중국",$U17)),ISNUMBER(SEARCH("베트남",$U17))),MAX(0,MIN($L17,기준정보!$C$9)-MAX($L17-기준정보!$C$6,기준정보!$C$8)+1),IF(ISNUMBER(SEARCH("한국",$U17)),MAX(0,MIN($L17,기준정보!$C$11)-MAX($L17-기준정보!$C$6,기준정보!$C$10)+1),0)))</f>
        <v>0</v>
      </c>
      <c r="N17" s="29" t="n">
        <f aca="false">IF($L17="","",$L17-기준정보!$C$6-$M17)</f>
        <v>46291</v>
      </c>
      <c r="O17" s="31" t="n">
        <f aca="false">IF($N17="","",$N17-기준정보!$C$4)</f>
        <v>49</v>
      </c>
      <c r="P17" s="28" t="s">
        <v>82</v>
      </c>
      <c r="Q17" s="28" t="s">
        <v>83</v>
      </c>
      <c r="R17" s="32"/>
      <c r="S17" s="27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T17" s="26" t="s">
        <v>99</v>
      </c>
      <c r="U17" s="26" t="s">
        <v>85</v>
      </c>
      <c r="V17" s="33" t="n">
        <v>300</v>
      </c>
      <c r="W17" s="27"/>
      <c r="X17" s="27" t="str">
        <f aca="false">IF($K17="","출고일 미정",IF($P17="X","작지 미발행",IF($P17="부분","작지 일부 미발행",IF(AND($R17&lt;&gt;"",$R17&gt;$N17),"소재입고 마감("&amp;TEXT($N17,"MM/DD")&amp;") 초과",IF($P17="","발행여부 확인 필요",IF($R17="","소재 입고일정 확인 필요","정상"))))))</f>
        <v>소재 입고일정 확인 필요</v>
      </c>
      <c r="Y17" s="25" t="str">
        <f aca="false">IF($K17="","",IF(OR(LEFT($X17,2)="작지",LEFT($X17,4)="소재입고"),IF(LEFT($G17,1)="S","★ 납기위험(S코드)","◆ 지연주의"),IF($X17="정상","✓ 정상","? 확인필요")))</f>
        <v>? 확인필요</v>
      </c>
      <c r="Z17" s="28"/>
      <c r="AA17" s="34"/>
    </row>
    <row r="18" customFormat="false" ht="15" hidden="false" customHeight="false" outlineLevel="0" collapsed="false">
      <c r="A18" s="25" t="n">
        <v>14</v>
      </c>
      <c r="B18" s="26" t="s">
        <v>74</v>
      </c>
      <c r="C18" s="26" t="s">
        <v>93</v>
      </c>
      <c r="D18" s="27" t="s">
        <v>122</v>
      </c>
      <c r="E18" s="26" t="s">
        <v>123</v>
      </c>
      <c r="F18" s="27" t="s">
        <v>114</v>
      </c>
      <c r="G18" s="25" t="str">
        <f aca="false">IF($D18="","",IF(MID($D18,5,1)="S","S(봄)",IF(MID($D18,5,1)="M","M(여름)",IF(MID($D18,5,1)="X","X(사계절)",MID($D18,5,1)))))</f>
        <v>S(봄)</v>
      </c>
      <c r="H18" s="26" t="s">
        <v>79</v>
      </c>
      <c r="I18" s="25" t="s">
        <v>80</v>
      </c>
      <c r="J18" s="28" t="s">
        <v>81</v>
      </c>
      <c r="K18" s="29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9" t="n">
        <f aca="false">IF($K18="","",IF(AND($K18-기준정보!$C$5&gt;=기준정보!$C$10,$K18-기준정보!$C$5&lt;=기준정보!$C$11),기준정보!$C$10-1,$K18-기준정보!$C$5))</f>
        <v>46381</v>
      </c>
      <c r="M18" s="30" t="n">
        <f aca="false">IF($L18="","",IF(OR(ISNUMBER(SEARCH("중국",$U18)),ISNUMBER(SEARCH("베트남",$U18))),MAX(0,MIN($L18,기준정보!$C$9)-MAX($L18-기준정보!$C$6,기준정보!$C$8)+1),IF(ISNUMBER(SEARCH("한국",$U18)),MAX(0,MIN($L18,기준정보!$C$11)-MAX($L18-기준정보!$C$6,기준정보!$C$10)+1),0)))</f>
        <v>0</v>
      </c>
      <c r="N18" s="29" t="n">
        <f aca="false">IF($L18="","",$L18-기준정보!$C$6-$M18)</f>
        <v>46291</v>
      </c>
      <c r="O18" s="31" t="n">
        <f aca="false">IF($N18="","",$N18-기준정보!$C$4)</f>
        <v>49</v>
      </c>
      <c r="P18" s="28" t="s">
        <v>82</v>
      </c>
      <c r="Q18" s="28" t="s">
        <v>83</v>
      </c>
      <c r="R18" s="32"/>
      <c r="S18" s="27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T18" s="26" t="s">
        <v>106</v>
      </c>
      <c r="U18" s="26" t="s">
        <v>85</v>
      </c>
      <c r="V18" s="33" t="n">
        <v>300</v>
      </c>
      <c r="W18" s="27"/>
      <c r="X18" s="27" t="str">
        <f aca="false">IF($K18="","출고일 미정",IF($P18="X","작지 미발행",IF($P18="부분","작지 일부 미발행",IF(AND($R18&lt;&gt;"",$R18&gt;$N18),"소재입고 마감("&amp;TEXT($N18,"MM/DD")&amp;") 초과",IF($P18="","발행여부 확인 필요",IF($R18="","소재 입고일정 확인 필요","정상"))))))</f>
        <v>소재 입고일정 확인 필요</v>
      </c>
      <c r="Y18" s="25" t="str">
        <f aca="false">IF($K18="","",IF(OR(LEFT($X18,2)="작지",LEFT($X18,4)="소재입고"),IF(LEFT($G18,1)="S","★ 납기위험(S코드)","◆ 지연주의"),IF($X18="정상","✓ 정상","? 확인필요")))</f>
        <v>? 확인필요</v>
      </c>
      <c r="Z18" s="28"/>
      <c r="AA18" s="34"/>
    </row>
    <row r="19" customFormat="false" ht="15" hidden="false" customHeight="false" outlineLevel="0" collapsed="false">
      <c r="A19" s="25" t="n">
        <v>15</v>
      </c>
      <c r="B19" s="26" t="s">
        <v>124</v>
      </c>
      <c r="C19" s="26" t="s">
        <v>125</v>
      </c>
      <c r="D19" s="27" t="s">
        <v>126</v>
      </c>
      <c r="E19" s="26" t="s">
        <v>127</v>
      </c>
      <c r="F19" s="27" t="s">
        <v>128</v>
      </c>
      <c r="G19" s="25" t="str">
        <f aca="false">IF($D19="","",IF(MID($D19,5,1)="S","S(봄)",IF(MID($D19,5,1)="M","M(여름)",IF(MID($D19,5,1)="X","X(사계절)",MID($D19,5,1)))))</f>
        <v>S(봄)</v>
      </c>
      <c r="H19" s="27" t="s">
        <v>129</v>
      </c>
      <c r="I19" s="25"/>
      <c r="J19" s="28" t="s">
        <v>81</v>
      </c>
      <c r="K19" s="29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9" t="n">
        <f aca="false">IF($K19="","",IF(AND($K19-기준정보!$C$5&gt;=기준정보!$C$10,$K19-기준정보!$C$5&lt;=기준정보!$C$11),기준정보!$C$10-1,$K19-기준정보!$C$5))</f>
        <v>46381</v>
      </c>
      <c r="M19" s="30" t="n">
        <f aca="false">IF($L19="","",IF(OR(ISNUMBER(SEARCH("중국",$U19)),ISNUMBER(SEARCH("베트남",$U19))),MAX(0,MIN($L19,기준정보!$C$9)-MAX($L19-기준정보!$C$6,기준정보!$C$8)+1),IF(ISNUMBER(SEARCH("한국",$U19)),MAX(0,MIN($L19,기준정보!$C$11)-MAX($L19-기준정보!$C$6,기준정보!$C$10)+1),0)))</f>
        <v>0</v>
      </c>
      <c r="N19" s="29" t="n">
        <f aca="false">IF($L19="","",$L19-기준정보!$C$6-$M19)</f>
        <v>46291</v>
      </c>
      <c r="O19" s="31" t="n">
        <f aca="false">IF($N19="","",$N19-기준정보!$C$4)</f>
        <v>49</v>
      </c>
      <c r="P19" s="28" t="s">
        <v>82</v>
      </c>
      <c r="Q19" s="28" t="s">
        <v>83</v>
      </c>
      <c r="R19" s="32"/>
      <c r="S19" s="27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T19" s="27" t="s">
        <v>130</v>
      </c>
      <c r="U19" s="26" t="s">
        <v>131</v>
      </c>
      <c r="V19" s="33" t="n">
        <v>8000</v>
      </c>
      <c r="W19" s="27"/>
      <c r="X19" s="27" t="str">
        <f aca="false">IF($K19="","출고일 미정",IF($P19="X","작지 미발행",IF($P19="부분","작지 일부 미발행",IF(AND($R19&lt;&gt;"",$R19&gt;$N19),"소재입고 마감("&amp;TEXT($N19,"MM/DD")&amp;") 초과",IF($P19="","발행여부 확인 필요",IF($R19="","소재 입고일정 확인 필요","정상"))))))</f>
        <v>소재 입고일정 확인 필요</v>
      </c>
      <c r="Y19" s="25" t="str">
        <f aca="false">IF($K19="","",IF(OR(LEFT($X19,2)="작지",LEFT($X19,4)="소재입고"),IF(LEFT($G19,1)="S","★ 납기위험(S코드)","◆ 지연주의"),IF($X19="정상","✓ 정상","? 확인필요")))</f>
        <v>? 확인필요</v>
      </c>
      <c r="Z19" s="28"/>
      <c r="AA19" s="34"/>
    </row>
    <row r="20" customFormat="false" ht="15" hidden="false" customHeight="false" outlineLevel="0" collapsed="false">
      <c r="A20" s="25" t="n">
        <v>16</v>
      </c>
      <c r="B20" s="26" t="s">
        <v>124</v>
      </c>
      <c r="C20" s="26" t="s">
        <v>125</v>
      </c>
      <c r="D20" s="27" t="s">
        <v>132</v>
      </c>
      <c r="E20" s="26" t="s">
        <v>133</v>
      </c>
      <c r="F20" s="27" t="s">
        <v>134</v>
      </c>
      <c r="G20" s="25" t="str">
        <f aca="false">IF($D20="","",IF(MID($D20,5,1)="S","S(봄)",IF(MID($D20,5,1)="M","M(여름)",IF(MID($D20,5,1)="X","X(사계절)",MID($D20,5,1)))))</f>
        <v>S(봄)</v>
      </c>
      <c r="H20" s="26" t="s">
        <v>79</v>
      </c>
      <c r="I20" s="25"/>
      <c r="J20" s="28" t="s">
        <v>81</v>
      </c>
      <c r="K20" s="29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9" t="n">
        <f aca="false">IF($K20="","",IF(AND($K20-기준정보!$C$5&gt;=기준정보!$C$10,$K20-기준정보!$C$5&lt;=기준정보!$C$11),기준정보!$C$10-1,$K20-기준정보!$C$5))</f>
        <v>46381</v>
      </c>
      <c r="M20" s="30" t="n">
        <f aca="false">IF($L20="","",IF(OR(ISNUMBER(SEARCH("중국",$U20)),ISNUMBER(SEARCH("베트남",$U20))),MAX(0,MIN($L20,기준정보!$C$9)-MAX($L20-기준정보!$C$6,기준정보!$C$8)+1),IF(ISNUMBER(SEARCH("한국",$U20)),MAX(0,MIN($L20,기준정보!$C$11)-MAX($L20-기준정보!$C$6,기준정보!$C$10)+1),0)))</f>
        <v>0</v>
      </c>
      <c r="N20" s="29" t="n">
        <f aca="false">IF($L20="","",$L20-기준정보!$C$6-$M20)</f>
        <v>46291</v>
      </c>
      <c r="O20" s="31" t="n">
        <f aca="false">IF($N20="","",$N20-기준정보!$C$4)</f>
        <v>49</v>
      </c>
      <c r="P20" s="28" t="s">
        <v>82</v>
      </c>
      <c r="Q20" s="28" t="s">
        <v>83</v>
      </c>
      <c r="R20" s="32"/>
      <c r="S20" s="27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T20" s="26" t="s">
        <v>135</v>
      </c>
      <c r="U20" s="26" t="s">
        <v>85</v>
      </c>
      <c r="V20" s="33" t="n">
        <v>2000</v>
      </c>
      <c r="W20" s="27" t="s">
        <v>81</v>
      </c>
      <c r="X20" s="27" t="str">
        <f aca="false">IF($K20="","출고일 미정",IF($P20="X","작지 미발행",IF($P20="부분","작지 일부 미발행",IF(AND($R20&lt;&gt;"",$R20&gt;$N20),"소재입고 마감("&amp;TEXT($N20,"MM/DD")&amp;") 초과",IF($P20="","발행여부 확인 필요",IF($R20="","소재 입고일정 확인 필요","정상"))))))</f>
        <v>소재 입고일정 확인 필요</v>
      </c>
      <c r="Y20" s="25" t="str">
        <f aca="false">IF($K20="","",IF(OR(LEFT($X20,2)="작지",LEFT($X20,4)="소재입고"),IF(LEFT($G20,1)="S","★ 납기위험(S코드)","◆ 지연주의"),IF($X20="정상","✓ 정상","? 확인필요")))</f>
        <v>? 확인필요</v>
      </c>
      <c r="Z20" s="28"/>
      <c r="AA20" s="34"/>
    </row>
    <row r="21" customFormat="false" ht="15" hidden="false" customHeight="false" outlineLevel="0" collapsed="false">
      <c r="A21" s="25" t="n">
        <v>17</v>
      </c>
      <c r="B21" s="26" t="s">
        <v>124</v>
      </c>
      <c r="C21" s="26" t="s">
        <v>125</v>
      </c>
      <c r="D21" s="27" t="s">
        <v>136</v>
      </c>
      <c r="E21" s="26" t="s">
        <v>137</v>
      </c>
      <c r="F21" s="27" t="s">
        <v>138</v>
      </c>
      <c r="G21" s="25" t="str">
        <f aca="false">IF($D21="","",IF(MID($D21,5,1)="S","S(봄)",IF(MID($D21,5,1)="M","M(여름)",IF(MID($D21,5,1)="X","X(사계절)",MID($D21,5,1)))))</f>
        <v>S(봄)</v>
      </c>
      <c r="H21" s="27" t="s">
        <v>129</v>
      </c>
      <c r="I21" s="25"/>
      <c r="J21" s="28" t="s">
        <v>81</v>
      </c>
      <c r="K21" s="29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9" t="n">
        <f aca="false">IF($K21="","",IF(AND($K21-기준정보!$C$5&gt;=기준정보!$C$10,$K21-기준정보!$C$5&lt;=기준정보!$C$11),기준정보!$C$10-1,$K21-기준정보!$C$5))</f>
        <v>46381</v>
      </c>
      <c r="M21" s="30" t="n">
        <f aca="false">IF($L21="","",IF(OR(ISNUMBER(SEARCH("중국",$U21)),ISNUMBER(SEARCH("베트남",$U21))),MAX(0,MIN($L21,기준정보!$C$9)-MAX($L21-기준정보!$C$6,기준정보!$C$8)+1),IF(ISNUMBER(SEARCH("한국",$U21)),MAX(0,MIN($L21,기준정보!$C$11)-MAX($L21-기준정보!$C$6,기준정보!$C$10)+1),0)))</f>
        <v>0</v>
      </c>
      <c r="N21" s="29" t="n">
        <f aca="false">IF($L21="","",$L21-기준정보!$C$6-$M21)</f>
        <v>46291</v>
      </c>
      <c r="O21" s="31" t="n">
        <f aca="false">IF($N21="","",$N21-기준정보!$C$4)</f>
        <v>49</v>
      </c>
      <c r="P21" s="28" t="s">
        <v>82</v>
      </c>
      <c r="Q21" s="28" t="s">
        <v>83</v>
      </c>
      <c r="R21" s="32"/>
      <c r="S21" s="27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T21" s="27" t="s">
        <v>130</v>
      </c>
      <c r="U21" s="26" t="s">
        <v>85</v>
      </c>
      <c r="V21" s="33" t="n">
        <v>3700</v>
      </c>
      <c r="W21" s="27"/>
      <c r="X21" s="27" t="str">
        <f aca="false">IF($K21="","출고일 미정",IF($P21="X","작지 미발행",IF($P21="부분","작지 일부 미발행",IF(AND($R21&lt;&gt;"",$R21&gt;$N21),"소재입고 마감("&amp;TEXT($N21,"MM/DD")&amp;") 초과",IF($P21="","발행여부 확인 필요",IF($R21="","소재 입고일정 확인 필요","정상"))))))</f>
        <v>소재 입고일정 확인 필요</v>
      </c>
      <c r="Y21" s="25" t="str">
        <f aca="false">IF($K21="","",IF(OR(LEFT($X21,2)="작지",LEFT($X21,4)="소재입고"),IF(LEFT($G21,1)="S","★ 납기위험(S코드)","◆ 지연주의"),IF($X21="정상","✓ 정상","? 확인필요")))</f>
        <v>? 확인필요</v>
      </c>
      <c r="Z21" s="28"/>
      <c r="AA21" s="34"/>
    </row>
    <row r="22" customFormat="false" ht="15" hidden="false" customHeight="false" outlineLevel="0" collapsed="false">
      <c r="A22" s="25" t="n">
        <v>18</v>
      </c>
      <c r="B22" s="26" t="s">
        <v>124</v>
      </c>
      <c r="C22" s="26" t="s">
        <v>125</v>
      </c>
      <c r="D22" s="27" t="s">
        <v>139</v>
      </c>
      <c r="E22" s="26" t="s">
        <v>140</v>
      </c>
      <c r="F22" s="27" t="s">
        <v>141</v>
      </c>
      <c r="G22" s="25" t="str">
        <f aca="false">IF($D22="","",IF(MID($D22,5,1)="S","S(봄)",IF(MID($D22,5,1)="M","M(여름)",IF(MID($D22,5,1)="X","X(사계절)",MID($D22,5,1)))))</f>
        <v>S(봄)</v>
      </c>
      <c r="H22" s="26" t="s">
        <v>79</v>
      </c>
      <c r="I22" s="25"/>
      <c r="J22" s="28" t="s">
        <v>81</v>
      </c>
      <c r="K22" s="29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9" t="n">
        <f aca="false">IF($K22="","",IF(AND($K22-기준정보!$C$5&gt;=기준정보!$C$10,$K22-기준정보!$C$5&lt;=기준정보!$C$11),기준정보!$C$10-1,$K22-기준정보!$C$5))</f>
        <v>46381</v>
      </c>
      <c r="M22" s="30" t="n">
        <f aca="false">IF($L22="","",IF(OR(ISNUMBER(SEARCH("중국",$U22)),ISNUMBER(SEARCH("베트남",$U22))),MAX(0,MIN($L22,기준정보!$C$9)-MAX($L22-기준정보!$C$6,기준정보!$C$8)+1),IF(ISNUMBER(SEARCH("한국",$U22)),MAX(0,MIN($L22,기준정보!$C$11)-MAX($L22-기준정보!$C$6,기준정보!$C$10)+1),0)))</f>
        <v>0</v>
      </c>
      <c r="N22" s="29" t="n">
        <f aca="false">IF($L22="","",$L22-기준정보!$C$6-$M22)</f>
        <v>46291</v>
      </c>
      <c r="O22" s="31" t="n">
        <f aca="false">IF($N22="","",$N22-기준정보!$C$4)</f>
        <v>49</v>
      </c>
      <c r="P22" s="28" t="s">
        <v>82</v>
      </c>
      <c r="Q22" s="28" t="s">
        <v>83</v>
      </c>
      <c r="R22" s="32"/>
      <c r="S22" s="27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T22" s="26" t="s">
        <v>135</v>
      </c>
      <c r="U22" s="26" t="s">
        <v>85</v>
      </c>
      <c r="V22" s="33" t="n">
        <v>1200</v>
      </c>
      <c r="W22" s="27" t="s">
        <v>81</v>
      </c>
      <c r="X22" s="27" t="str">
        <f aca="false">IF($K22="","출고일 미정",IF($P22="X","작지 미발행",IF($P22="부분","작지 일부 미발행",IF(AND($R22&lt;&gt;"",$R22&gt;$N22),"소재입고 마감("&amp;TEXT($N22,"MM/DD")&amp;") 초과",IF($P22="","발행여부 확인 필요",IF($R22="","소재 입고일정 확인 필요","정상"))))))</f>
        <v>소재 입고일정 확인 필요</v>
      </c>
      <c r="Y22" s="25" t="str">
        <f aca="false">IF($K22="","",IF(OR(LEFT($X22,2)="작지",LEFT($X22,4)="소재입고"),IF(LEFT($G22,1)="S","★ 납기위험(S코드)","◆ 지연주의"),IF($X22="정상","✓ 정상","? 확인필요")))</f>
        <v>? 확인필요</v>
      </c>
      <c r="Z22" s="28"/>
      <c r="AA22" s="34"/>
    </row>
    <row r="23" customFormat="false" ht="15" hidden="false" customHeight="false" outlineLevel="0" collapsed="false">
      <c r="A23" s="25" t="n">
        <v>19</v>
      </c>
      <c r="B23" s="26" t="s">
        <v>142</v>
      </c>
      <c r="C23" s="26" t="s">
        <v>143</v>
      </c>
      <c r="D23" s="27" t="s">
        <v>144</v>
      </c>
      <c r="E23" s="27" t="s">
        <v>145</v>
      </c>
      <c r="F23" s="27" t="s">
        <v>146</v>
      </c>
      <c r="G23" s="25" t="str">
        <f aca="false">IF($D23="","",IF(MID($D23,5,1)="S","S(봄)",IF(MID($D23,5,1)="M","M(여름)",IF(MID($D23,5,1)="X","X(사계절)",MID($D23,5,1)))))</f>
        <v>S(봄)</v>
      </c>
      <c r="H23" s="26" t="s">
        <v>79</v>
      </c>
      <c r="I23" s="25" t="s">
        <v>147</v>
      </c>
      <c r="J23" s="28" t="s">
        <v>148</v>
      </c>
      <c r="K23" s="29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9" t="n">
        <f aca="false">IF($K23="","",IF(AND($K23-기준정보!$C$5&gt;=기준정보!$C$10,$K23-기준정보!$C$5&lt;=기준정보!$C$11),기준정보!$C$10-1,$K23-기준정보!$C$5))</f>
        <v>46388</v>
      </c>
      <c r="M23" s="30" t="n">
        <f aca="false">IF($L23="","",IF(OR(ISNUMBER(SEARCH("중국",$U23)),ISNUMBER(SEARCH("베트남",$U23))),MAX(0,MIN($L23,기준정보!$C$9)-MAX($L23-기준정보!$C$6,기준정보!$C$8)+1),IF(ISNUMBER(SEARCH("한국",$U23)),MAX(0,MIN($L23,기준정보!$C$11)-MAX($L23-기준정보!$C$6,기준정보!$C$10)+1),0)))</f>
        <v>0</v>
      </c>
      <c r="N23" s="29" t="n">
        <f aca="false">IF($L23="","",$L23-기준정보!$C$6-$M23)</f>
        <v>46298</v>
      </c>
      <c r="O23" s="31" t="n">
        <f aca="false">IF($N23="","",$N23-기준정보!$C$4)</f>
        <v>56</v>
      </c>
      <c r="P23" s="28" t="s">
        <v>83</v>
      </c>
      <c r="Q23" s="28" t="s">
        <v>83</v>
      </c>
      <c r="R23" s="32"/>
      <c r="S23" s="27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T23" s="27" t="s">
        <v>149</v>
      </c>
      <c r="U23" s="26" t="s">
        <v>85</v>
      </c>
      <c r="V23" s="33" t="n">
        <v>0</v>
      </c>
      <c r="W23" s="27"/>
      <c r="X23" s="27" t="str">
        <f aca="false">IF($K23="","출고일 미정",IF($P23="X","작지 미발행",IF($P23="부분","작지 일부 미발행",IF(AND($R23&lt;&gt;"",$R23&gt;$N23),"소재입고 마감("&amp;TEXT($N23,"MM/DD")&amp;") 초과",IF($P23="","발행여부 확인 필요",IF($R23="","소재 입고일정 확인 필요","정상"))))))</f>
        <v>작지 미발행</v>
      </c>
      <c r="Y23" s="25" t="str">
        <f aca="false">IF($K23="","",IF(OR(LEFT($X23,2)="작지",LEFT($X23,4)="소재입고"),IF(LEFT($G23,1)="S","★ 납기위험(S코드)","◆ 지연주의"),IF($X23="정상","✓ 정상","? 확인필요")))</f>
        <v>★ 납기위험(S코드)</v>
      </c>
      <c r="Z23" s="28"/>
      <c r="AA23" s="34"/>
    </row>
    <row r="24" customFormat="false" ht="15" hidden="false" customHeight="false" outlineLevel="0" collapsed="false">
      <c r="A24" s="25" t="n">
        <v>20</v>
      </c>
      <c r="B24" s="26" t="s">
        <v>142</v>
      </c>
      <c r="C24" s="26" t="s">
        <v>143</v>
      </c>
      <c r="D24" s="27" t="s">
        <v>150</v>
      </c>
      <c r="E24" s="27" t="s">
        <v>151</v>
      </c>
      <c r="F24" s="27" t="s">
        <v>146</v>
      </c>
      <c r="G24" s="25" t="str">
        <f aca="false">IF($D24="","",IF(MID($D24,5,1)="S","S(봄)",IF(MID($D24,5,1)="M","M(여름)",IF(MID($D24,5,1)="X","X(사계절)",MID($D24,5,1)))))</f>
        <v>S(봄)</v>
      </c>
      <c r="H24" s="26" t="s">
        <v>79</v>
      </c>
      <c r="I24" s="25" t="s">
        <v>147</v>
      </c>
      <c r="J24" s="28" t="s">
        <v>148</v>
      </c>
      <c r="K24" s="29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9" t="n">
        <f aca="false">IF($K24="","",IF(AND($K24-기준정보!$C$5&gt;=기준정보!$C$10,$K24-기준정보!$C$5&lt;=기준정보!$C$11),기준정보!$C$10-1,$K24-기준정보!$C$5))</f>
        <v>46388</v>
      </c>
      <c r="M24" s="30" t="n">
        <f aca="false">IF($L24="","",IF(OR(ISNUMBER(SEARCH("중국",$U24)),ISNUMBER(SEARCH("베트남",$U24))),MAX(0,MIN($L24,기준정보!$C$9)-MAX($L24-기준정보!$C$6,기준정보!$C$8)+1),IF(ISNUMBER(SEARCH("한국",$U24)),MAX(0,MIN($L24,기준정보!$C$11)-MAX($L24-기준정보!$C$6,기준정보!$C$10)+1),0)))</f>
        <v>0</v>
      </c>
      <c r="N24" s="29" t="n">
        <f aca="false">IF($L24="","",$L24-기준정보!$C$6-$M24)</f>
        <v>46298</v>
      </c>
      <c r="O24" s="31" t="n">
        <f aca="false">IF($N24="","",$N24-기준정보!$C$4)</f>
        <v>56</v>
      </c>
      <c r="P24" s="28" t="s">
        <v>83</v>
      </c>
      <c r="Q24" s="28" t="s">
        <v>83</v>
      </c>
      <c r="R24" s="32"/>
      <c r="S24" s="27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T24" s="27" t="s">
        <v>149</v>
      </c>
      <c r="U24" s="26" t="s">
        <v>85</v>
      </c>
      <c r="V24" s="33" t="n">
        <v>0</v>
      </c>
      <c r="W24" s="27"/>
      <c r="X24" s="27" t="str">
        <f aca="false">IF($K24="","출고일 미정",IF($P24="X","작지 미발행",IF($P24="부분","작지 일부 미발행",IF(AND($R24&lt;&gt;"",$R24&gt;$N24),"소재입고 마감("&amp;TEXT($N24,"MM/DD")&amp;") 초과",IF($P24="","발행여부 확인 필요",IF($R24="","소재 입고일정 확인 필요","정상"))))))</f>
        <v>작지 미발행</v>
      </c>
      <c r="Y24" s="25" t="str">
        <f aca="false">IF($K24="","",IF(OR(LEFT($X24,2)="작지",LEFT($X24,4)="소재입고"),IF(LEFT($G24,1)="S","★ 납기위험(S코드)","◆ 지연주의"),IF($X24="정상","✓ 정상","? 확인필요")))</f>
        <v>★ 납기위험(S코드)</v>
      </c>
      <c r="Z24" s="28"/>
      <c r="AA24" s="34"/>
    </row>
    <row r="25" customFormat="false" ht="15" hidden="false" customHeight="false" outlineLevel="0" collapsed="false">
      <c r="A25" s="25" t="n">
        <v>21</v>
      </c>
      <c r="B25" s="26" t="s">
        <v>142</v>
      </c>
      <c r="C25" s="26" t="s">
        <v>152</v>
      </c>
      <c r="D25" s="27" t="s">
        <v>153</v>
      </c>
      <c r="E25" s="27" t="s">
        <v>154</v>
      </c>
      <c r="F25" s="27" t="s">
        <v>155</v>
      </c>
      <c r="G25" s="25" t="str">
        <f aca="false">IF($D25="","",IF(MID($D25,5,1)="S","S(봄)",IF(MID($D25,5,1)="M","M(여름)",IF(MID($D25,5,1)="X","X(사계절)",MID($D25,5,1)))))</f>
        <v>S(봄)</v>
      </c>
      <c r="H25" s="26" t="s">
        <v>79</v>
      </c>
      <c r="I25" s="25" t="s">
        <v>147</v>
      </c>
      <c r="J25" s="28" t="s">
        <v>148</v>
      </c>
      <c r="K25" s="29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9" t="n">
        <f aca="false">IF($K25="","",IF(AND($K25-기준정보!$C$5&gt;=기준정보!$C$10,$K25-기준정보!$C$5&lt;=기준정보!$C$11),기준정보!$C$10-1,$K25-기준정보!$C$5))</f>
        <v>46388</v>
      </c>
      <c r="M25" s="30" t="n">
        <f aca="false">IF($L25="","",IF(OR(ISNUMBER(SEARCH("중국",$U25)),ISNUMBER(SEARCH("베트남",$U25))),MAX(0,MIN($L25,기준정보!$C$9)-MAX($L25-기준정보!$C$6,기준정보!$C$8)+1),IF(ISNUMBER(SEARCH("한국",$U25)),MAX(0,MIN($L25,기준정보!$C$11)-MAX($L25-기준정보!$C$6,기준정보!$C$10)+1),0)))</f>
        <v>0</v>
      </c>
      <c r="N25" s="29" t="n">
        <f aca="false">IF($L25="","",$L25-기준정보!$C$6-$M25)</f>
        <v>46298</v>
      </c>
      <c r="O25" s="31" t="n">
        <f aca="false">IF($N25="","",$N25-기준정보!$C$4)</f>
        <v>56</v>
      </c>
      <c r="P25" s="28" t="s">
        <v>83</v>
      </c>
      <c r="Q25" s="28" t="s">
        <v>83</v>
      </c>
      <c r="R25" s="32"/>
      <c r="S25" s="27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T25" s="27" t="s">
        <v>149</v>
      </c>
      <c r="U25" s="26" t="s">
        <v>85</v>
      </c>
      <c r="V25" s="33" t="n">
        <v>0</v>
      </c>
      <c r="W25" s="27"/>
      <c r="X25" s="27" t="str">
        <f aca="false">IF($K25="","출고일 미정",IF($P25="X","작지 미발행",IF($P25="부분","작지 일부 미발행",IF(AND($R25&lt;&gt;"",$R25&gt;$N25),"소재입고 마감("&amp;TEXT($N25,"MM/DD")&amp;") 초과",IF($P25="","발행여부 확인 필요",IF($R25="","소재 입고일정 확인 필요","정상"))))))</f>
        <v>작지 미발행</v>
      </c>
      <c r="Y25" s="25" t="str">
        <f aca="false">IF($K25="","",IF(OR(LEFT($X25,2)="작지",LEFT($X25,4)="소재입고"),IF(LEFT($G25,1)="S","★ 납기위험(S코드)","◆ 지연주의"),IF($X25="정상","✓ 정상","? 확인필요")))</f>
        <v>★ 납기위험(S코드)</v>
      </c>
      <c r="Z25" s="28"/>
      <c r="AA25" s="34"/>
    </row>
    <row r="26" customFormat="false" ht="15" hidden="false" customHeight="false" outlineLevel="0" collapsed="false">
      <c r="A26" s="25" t="n">
        <v>22</v>
      </c>
      <c r="B26" s="26" t="s">
        <v>142</v>
      </c>
      <c r="C26" s="26" t="s">
        <v>152</v>
      </c>
      <c r="D26" s="27" t="s">
        <v>156</v>
      </c>
      <c r="E26" s="27" t="s">
        <v>157</v>
      </c>
      <c r="F26" s="27" t="s">
        <v>155</v>
      </c>
      <c r="G26" s="25" t="str">
        <f aca="false">IF($D26="","",IF(MID($D26,5,1)="S","S(봄)",IF(MID($D26,5,1)="M","M(여름)",IF(MID($D26,5,1)="X","X(사계절)",MID($D26,5,1)))))</f>
        <v>S(봄)</v>
      </c>
      <c r="H26" s="26" t="s">
        <v>79</v>
      </c>
      <c r="I26" s="25" t="s">
        <v>147</v>
      </c>
      <c r="J26" s="28" t="s">
        <v>148</v>
      </c>
      <c r="K26" s="29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9" t="n">
        <f aca="false">IF($K26="","",IF(AND($K26-기준정보!$C$5&gt;=기준정보!$C$10,$K26-기준정보!$C$5&lt;=기준정보!$C$11),기준정보!$C$10-1,$K26-기준정보!$C$5))</f>
        <v>46388</v>
      </c>
      <c r="M26" s="30" t="n">
        <f aca="false">IF($L26="","",IF(OR(ISNUMBER(SEARCH("중국",$U26)),ISNUMBER(SEARCH("베트남",$U26))),MAX(0,MIN($L26,기준정보!$C$9)-MAX($L26-기준정보!$C$6,기준정보!$C$8)+1),IF(ISNUMBER(SEARCH("한국",$U26)),MAX(0,MIN($L26,기준정보!$C$11)-MAX($L26-기준정보!$C$6,기준정보!$C$10)+1),0)))</f>
        <v>0</v>
      </c>
      <c r="N26" s="29" t="n">
        <f aca="false">IF($L26="","",$L26-기준정보!$C$6-$M26)</f>
        <v>46298</v>
      </c>
      <c r="O26" s="31" t="n">
        <f aca="false">IF($N26="","",$N26-기준정보!$C$4)</f>
        <v>56</v>
      </c>
      <c r="P26" s="28" t="s">
        <v>83</v>
      </c>
      <c r="Q26" s="28" t="s">
        <v>83</v>
      </c>
      <c r="R26" s="32"/>
      <c r="S26" s="27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T26" s="27" t="s">
        <v>149</v>
      </c>
      <c r="U26" s="26" t="s">
        <v>85</v>
      </c>
      <c r="V26" s="33" t="n">
        <v>0</v>
      </c>
      <c r="W26" s="27"/>
      <c r="X26" s="27" t="str">
        <f aca="false">IF($K26="","출고일 미정",IF($P26="X","작지 미발행",IF($P26="부분","작지 일부 미발행",IF(AND($R26&lt;&gt;"",$R26&gt;$N26),"소재입고 마감("&amp;TEXT($N26,"MM/DD")&amp;") 초과",IF($P26="","발행여부 확인 필요",IF($R26="","소재 입고일정 확인 필요","정상"))))))</f>
        <v>작지 미발행</v>
      </c>
      <c r="Y26" s="25" t="str">
        <f aca="false">IF($K26="","",IF(OR(LEFT($X26,2)="작지",LEFT($X26,4)="소재입고"),IF(LEFT($G26,1)="S","★ 납기위험(S코드)","◆ 지연주의"),IF($X26="정상","✓ 정상","? 확인필요")))</f>
        <v>★ 납기위험(S코드)</v>
      </c>
      <c r="Z26" s="28"/>
      <c r="AA26" s="34"/>
    </row>
    <row r="27" customFormat="false" ht="15" hidden="false" customHeight="false" outlineLevel="0" collapsed="false">
      <c r="A27" s="25" t="n">
        <v>23</v>
      </c>
      <c r="B27" s="26" t="s">
        <v>142</v>
      </c>
      <c r="C27" s="26" t="s">
        <v>143</v>
      </c>
      <c r="D27" s="27" t="s">
        <v>158</v>
      </c>
      <c r="E27" s="27" t="s">
        <v>159</v>
      </c>
      <c r="F27" s="27" t="s">
        <v>160</v>
      </c>
      <c r="G27" s="25" t="str">
        <f aca="false">IF($D27="","",IF(MID($D27,5,1)="S","S(봄)",IF(MID($D27,5,1)="M","M(여름)",IF(MID($D27,5,1)="X","X(사계절)",MID($D27,5,1)))))</f>
        <v>S(봄)</v>
      </c>
      <c r="H27" s="26" t="s">
        <v>79</v>
      </c>
      <c r="I27" s="25" t="s">
        <v>147</v>
      </c>
      <c r="J27" s="28" t="s">
        <v>148</v>
      </c>
      <c r="K27" s="29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9" t="n">
        <f aca="false">IF($K27="","",IF(AND($K27-기준정보!$C$5&gt;=기준정보!$C$10,$K27-기준정보!$C$5&lt;=기준정보!$C$11),기준정보!$C$10-1,$K27-기준정보!$C$5))</f>
        <v>46388</v>
      </c>
      <c r="M27" s="30" t="n">
        <f aca="false">IF($L27="","",IF(OR(ISNUMBER(SEARCH("중국",$U27)),ISNUMBER(SEARCH("베트남",$U27))),MAX(0,MIN($L27,기준정보!$C$9)-MAX($L27-기준정보!$C$6,기준정보!$C$8)+1),IF(ISNUMBER(SEARCH("한국",$U27)),MAX(0,MIN($L27,기준정보!$C$11)-MAX($L27-기준정보!$C$6,기준정보!$C$10)+1),0)))</f>
        <v>0</v>
      </c>
      <c r="N27" s="29" t="n">
        <f aca="false">IF($L27="","",$L27-기준정보!$C$6-$M27)</f>
        <v>46298</v>
      </c>
      <c r="O27" s="31" t="n">
        <f aca="false">IF($N27="","",$N27-기준정보!$C$4)</f>
        <v>56</v>
      </c>
      <c r="P27" s="28" t="s">
        <v>83</v>
      </c>
      <c r="Q27" s="28" t="s">
        <v>83</v>
      </c>
      <c r="R27" s="32"/>
      <c r="S27" s="27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T27" s="26" t="s">
        <v>161</v>
      </c>
      <c r="U27" s="26" t="s">
        <v>85</v>
      </c>
      <c r="V27" s="33" t="n">
        <v>0</v>
      </c>
      <c r="W27" s="27"/>
      <c r="X27" s="27" t="str">
        <f aca="false">IF($K27="","출고일 미정",IF($P27="X","작지 미발행",IF($P27="부분","작지 일부 미발행",IF(AND($R27&lt;&gt;"",$R27&gt;$N27),"소재입고 마감("&amp;TEXT($N27,"MM/DD")&amp;") 초과",IF($P27="","발행여부 확인 필요",IF($R27="","소재 입고일정 확인 필요","정상"))))))</f>
        <v>작지 미발행</v>
      </c>
      <c r="Y27" s="25" t="str">
        <f aca="false">IF($K27="","",IF(OR(LEFT($X27,2)="작지",LEFT($X27,4)="소재입고"),IF(LEFT($G27,1)="S","★ 납기위험(S코드)","◆ 지연주의"),IF($X27="정상","✓ 정상","? 확인필요")))</f>
        <v>★ 납기위험(S코드)</v>
      </c>
      <c r="Z27" s="28"/>
      <c r="AA27" s="34"/>
    </row>
    <row r="28" customFormat="false" ht="15" hidden="false" customHeight="false" outlineLevel="0" collapsed="false">
      <c r="A28" s="25" t="n">
        <v>24</v>
      </c>
      <c r="B28" s="26" t="s">
        <v>142</v>
      </c>
      <c r="C28" s="26" t="s">
        <v>152</v>
      </c>
      <c r="D28" s="27" t="s">
        <v>162</v>
      </c>
      <c r="E28" s="27" t="s">
        <v>163</v>
      </c>
      <c r="F28" s="27" t="s">
        <v>164</v>
      </c>
      <c r="G28" s="25" t="str">
        <f aca="false">IF($D28="","",IF(MID($D28,5,1)="S","S(봄)",IF(MID($D28,5,1)="M","M(여름)",IF(MID($D28,5,1)="X","X(사계절)",MID($D28,5,1)))))</f>
        <v>S(봄)</v>
      </c>
      <c r="H28" s="26" t="s">
        <v>79</v>
      </c>
      <c r="I28" s="25" t="s">
        <v>147</v>
      </c>
      <c r="J28" s="28" t="s">
        <v>148</v>
      </c>
      <c r="K28" s="29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9" t="n">
        <f aca="false">IF($K28="","",IF(AND($K28-기준정보!$C$5&gt;=기준정보!$C$10,$K28-기준정보!$C$5&lt;=기준정보!$C$11),기준정보!$C$10-1,$K28-기준정보!$C$5))</f>
        <v>46388</v>
      </c>
      <c r="M28" s="30" t="n">
        <f aca="false">IF($L28="","",IF(OR(ISNUMBER(SEARCH("중국",$U28)),ISNUMBER(SEARCH("베트남",$U28))),MAX(0,MIN($L28,기준정보!$C$9)-MAX($L28-기준정보!$C$6,기준정보!$C$8)+1),IF(ISNUMBER(SEARCH("한국",$U28)),MAX(0,MIN($L28,기준정보!$C$11)-MAX($L28-기준정보!$C$6,기준정보!$C$10)+1),0)))</f>
        <v>0</v>
      </c>
      <c r="N28" s="29" t="n">
        <f aca="false">IF($L28="","",$L28-기준정보!$C$6-$M28)</f>
        <v>46298</v>
      </c>
      <c r="O28" s="31" t="n">
        <f aca="false">IF($N28="","",$N28-기준정보!$C$4)</f>
        <v>56</v>
      </c>
      <c r="P28" s="28" t="s">
        <v>83</v>
      </c>
      <c r="Q28" s="28" t="s">
        <v>83</v>
      </c>
      <c r="R28" s="32"/>
      <c r="S28" s="27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T28" s="26" t="s">
        <v>165</v>
      </c>
      <c r="U28" s="26" t="s">
        <v>166</v>
      </c>
      <c r="V28" s="33" t="n">
        <v>0</v>
      </c>
      <c r="W28" s="27"/>
      <c r="X28" s="27" t="str">
        <f aca="false">IF($K28="","출고일 미정",IF($P28="X","작지 미발행",IF($P28="부분","작지 일부 미발행",IF(AND($R28&lt;&gt;"",$R28&gt;$N28),"소재입고 마감("&amp;TEXT($N28,"MM/DD")&amp;") 초과",IF($P28="","발행여부 확인 필요",IF($R28="","소재 입고일정 확인 필요","정상"))))))</f>
        <v>작지 미발행</v>
      </c>
      <c r="Y28" s="25" t="str">
        <f aca="false">IF($K28="","",IF(OR(LEFT($X28,2)="작지",LEFT($X28,4)="소재입고"),IF(LEFT($G28,1)="S","★ 납기위험(S코드)","◆ 지연주의"),IF($X28="정상","✓ 정상","? 확인필요")))</f>
        <v>★ 납기위험(S코드)</v>
      </c>
      <c r="Z28" s="28"/>
      <c r="AA28" s="34"/>
    </row>
    <row r="29" customFormat="false" ht="15" hidden="false" customHeight="false" outlineLevel="0" collapsed="false">
      <c r="A29" s="25" t="n">
        <v>25</v>
      </c>
      <c r="B29" s="26" t="s">
        <v>142</v>
      </c>
      <c r="C29" s="26" t="s">
        <v>152</v>
      </c>
      <c r="D29" s="27" t="s">
        <v>167</v>
      </c>
      <c r="E29" s="27" t="s">
        <v>168</v>
      </c>
      <c r="F29" s="27" t="s">
        <v>169</v>
      </c>
      <c r="G29" s="25" t="str">
        <f aca="false">IF($D29="","",IF(MID($D29,5,1)="S","S(봄)",IF(MID($D29,5,1)="M","M(여름)",IF(MID($D29,5,1)="X","X(사계절)",MID($D29,5,1)))))</f>
        <v>S(봄)</v>
      </c>
      <c r="H29" s="26" t="s">
        <v>79</v>
      </c>
      <c r="I29" s="25" t="s">
        <v>147</v>
      </c>
      <c r="J29" s="28" t="s">
        <v>148</v>
      </c>
      <c r="K29" s="29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9" t="n">
        <f aca="false">IF($K29="","",IF(AND($K29-기준정보!$C$5&gt;=기준정보!$C$10,$K29-기준정보!$C$5&lt;=기준정보!$C$11),기준정보!$C$10-1,$K29-기준정보!$C$5))</f>
        <v>46388</v>
      </c>
      <c r="M29" s="30" t="n">
        <f aca="false">IF($L29="","",IF(OR(ISNUMBER(SEARCH("중국",$U29)),ISNUMBER(SEARCH("베트남",$U29))),MAX(0,MIN($L29,기준정보!$C$9)-MAX($L29-기준정보!$C$6,기준정보!$C$8)+1),IF(ISNUMBER(SEARCH("한국",$U29)),MAX(0,MIN($L29,기준정보!$C$11)-MAX($L29-기준정보!$C$6,기준정보!$C$10)+1),0)))</f>
        <v>0</v>
      </c>
      <c r="N29" s="29" t="n">
        <f aca="false">IF($L29="","",$L29-기준정보!$C$6-$M29)</f>
        <v>46298</v>
      </c>
      <c r="O29" s="31" t="n">
        <f aca="false">IF($N29="","",$N29-기준정보!$C$4)</f>
        <v>56</v>
      </c>
      <c r="P29" s="28" t="s">
        <v>83</v>
      </c>
      <c r="Q29" s="28" t="s">
        <v>83</v>
      </c>
      <c r="R29" s="32"/>
      <c r="S29" s="27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T29" s="26" t="s">
        <v>170</v>
      </c>
      <c r="U29" s="26" t="s">
        <v>85</v>
      </c>
      <c r="V29" s="33" t="n">
        <v>0</v>
      </c>
      <c r="W29" s="27"/>
      <c r="X29" s="27" t="str">
        <f aca="false">IF($K29="","출고일 미정",IF($P29="X","작지 미발행",IF($P29="부분","작지 일부 미발행",IF(AND($R29&lt;&gt;"",$R29&gt;$N29),"소재입고 마감("&amp;TEXT($N29,"MM/DD")&amp;") 초과",IF($P29="","발행여부 확인 필요",IF($R29="","소재 입고일정 확인 필요","정상"))))))</f>
        <v>작지 미발행</v>
      </c>
      <c r="Y29" s="25" t="str">
        <f aca="false">IF($K29="","",IF(OR(LEFT($X29,2)="작지",LEFT($X29,4)="소재입고"),IF(LEFT($G29,1)="S","★ 납기위험(S코드)","◆ 지연주의"),IF($X29="정상","✓ 정상","? 확인필요")))</f>
        <v>★ 납기위험(S코드)</v>
      </c>
      <c r="Z29" s="28"/>
      <c r="AA29" s="34"/>
    </row>
    <row r="30" customFormat="false" ht="15" hidden="false" customHeight="false" outlineLevel="0" collapsed="false">
      <c r="A30" s="25" t="n">
        <v>26</v>
      </c>
      <c r="B30" s="26" t="s">
        <v>142</v>
      </c>
      <c r="C30" s="26" t="s">
        <v>152</v>
      </c>
      <c r="D30" s="27" t="s">
        <v>171</v>
      </c>
      <c r="E30" s="27" t="s">
        <v>172</v>
      </c>
      <c r="F30" s="27" t="s">
        <v>173</v>
      </c>
      <c r="G30" s="25" t="str">
        <f aca="false">IF($D30="","",IF(MID($D30,5,1)="S","S(봄)",IF(MID($D30,5,1)="M","M(여름)",IF(MID($D30,5,1)="X","X(사계절)",MID($D30,5,1)))))</f>
        <v>S(봄)</v>
      </c>
      <c r="H30" s="26" t="s">
        <v>79</v>
      </c>
      <c r="I30" s="25" t="s">
        <v>147</v>
      </c>
      <c r="J30" s="28" t="s">
        <v>148</v>
      </c>
      <c r="K30" s="29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9" t="n">
        <f aca="false">IF($K30="","",IF(AND($K30-기준정보!$C$5&gt;=기준정보!$C$10,$K30-기준정보!$C$5&lt;=기준정보!$C$11),기준정보!$C$10-1,$K30-기준정보!$C$5))</f>
        <v>46388</v>
      </c>
      <c r="M30" s="30" t="n">
        <f aca="false">IF($L30="","",IF(OR(ISNUMBER(SEARCH("중국",$U30)),ISNUMBER(SEARCH("베트남",$U30))),MAX(0,MIN($L30,기준정보!$C$9)-MAX($L30-기준정보!$C$6,기준정보!$C$8)+1),IF(ISNUMBER(SEARCH("한국",$U30)),MAX(0,MIN($L30,기준정보!$C$11)-MAX($L30-기준정보!$C$6,기준정보!$C$10)+1),0)))</f>
        <v>0</v>
      </c>
      <c r="N30" s="29" t="n">
        <f aca="false">IF($L30="","",$L30-기준정보!$C$6-$M30)</f>
        <v>46298</v>
      </c>
      <c r="O30" s="31" t="n">
        <f aca="false">IF($N30="","",$N30-기준정보!$C$4)</f>
        <v>56</v>
      </c>
      <c r="P30" s="28" t="s">
        <v>83</v>
      </c>
      <c r="Q30" s="28" t="s">
        <v>83</v>
      </c>
      <c r="R30" s="32"/>
      <c r="S30" s="27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T30" s="26" t="s">
        <v>170</v>
      </c>
      <c r="U30" s="26" t="s">
        <v>85</v>
      </c>
      <c r="V30" s="33" t="n">
        <v>0</v>
      </c>
      <c r="W30" s="27"/>
      <c r="X30" s="27" t="str">
        <f aca="false">IF($K30="","출고일 미정",IF($P30="X","작지 미발행",IF($P30="부분","작지 일부 미발행",IF(AND($R30&lt;&gt;"",$R30&gt;$N30),"소재입고 마감("&amp;TEXT($N30,"MM/DD")&amp;") 초과",IF($P30="","발행여부 확인 필요",IF($R30="","소재 입고일정 확인 필요","정상"))))))</f>
        <v>작지 미발행</v>
      </c>
      <c r="Y30" s="25" t="str">
        <f aca="false">IF($K30="","",IF(OR(LEFT($X30,2)="작지",LEFT($X30,4)="소재입고"),IF(LEFT($G30,1)="S","★ 납기위험(S코드)","◆ 지연주의"),IF($X30="정상","✓ 정상","? 확인필요")))</f>
        <v>★ 납기위험(S코드)</v>
      </c>
      <c r="Z30" s="28"/>
      <c r="AA30" s="34"/>
    </row>
    <row r="31" customFormat="false" ht="15" hidden="false" customHeight="false" outlineLevel="0" collapsed="false">
      <c r="A31" s="25" t="n">
        <v>27</v>
      </c>
      <c r="B31" s="26" t="s">
        <v>142</v>
      </c>
      <c r="C31" s="26" t="s">
        <v>152</v>
      </c>
      <c r="D31" s="27" t="s">
        <v>174</v>
      </c>
      <c r="E31" s="27" t="s">
        <v>175</v>
      </c>
      <c r="F31" s="27" t="s">
        <v>176</v>
      </c>
      <c r="G31" s="25" t="str">
        <f aca="false">IF($D31="","",IF(MID($D31,5,1)="S","S(봄)",IF(MID($D31,5,1)="M","M(여름)",IF(MID($D31,5,1)="X","X(사계절)",MID($D31,5,1)))))</f>
        <v>S(봄)</v>
      </c>
      <c r="H31" s="26" t="s">
        <v>79</v>
      </c>
      <c r="I31" s="25" t="s">
        <v>147</v>
      </c>
      <c r="J31" s="28" t="s">
        <v>148</v>
      </c>
      <c r="K31" s="29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9" t="n">
        <f aca="false">IF($K31="","",IF(AND($K31-기준정보!$C$5&gt;=기준정보!$C$10,$K31-기준정보!$C$5&lt;=기준정보!$C$11),기준정보!$C$10-1,$K31-기준정보!$C$5))</f>
        <v>46388</v>
      </c>
      <c r="M31" s="30" t="n">
        <f aca="false">IF($L31="","",IF(OR(ISNUMBER(SEARCH("중국",$U31)),ISNUMBER(SEARCH("베트남",$U31))),MAX(0,MIN($L31,기준정보!$C$9)-MAX($L31-기준정보!$C$6,기준정보!$C$8)+1),IF(ISNUMBER(SEARCH("한국",$U31)),MAX(0,MIN($L31,기준정보!$C$11)-MAX($L31-기준정보!$C$6,기준정보!$C$10)+1),0)))</f>
        <v>0</v>
      </c>
      <c r="N31" s="29" t="n">
        <f aca="false">IF($L31="","",$L31-기준정보!$C$6-$M31)</f>
        <v>46298</v>
      </c>
      <c r="O31" s="31" t="n">
        <f aca="false">IF($N31="","",$N31-기준정보!$C$4)</f>
        <v>56</v>
      </c>
      <c r="P31" s="28" t="s">
        <v>83</v>
      </c>
      <c r="Q31" s="28" t="s">
        <v>83</v>
      </c>
      <c r="R31" s="32"/>
      <c r="S31" s="27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T31" s="26" t="s">
        <v>170</v>
      </c>
      <c r="U31" s="26" t="s">
        <v>85</v>
      </c>
      <c r="V31" s="33" t="n">
        <v>0</v>
      </c>
      <c r="W31" s="27"/>
      <c r="X31" s="27" t="str">
        <f aca="false">IF($K31="","출고일 미정",IF($P31="X","작지 미발행",IF($P31="부분","작지 일부 미발행",IF(AND($R31&lt;&gt;"",$R31&gt;$N31),"소재입고 마감("&amp;TEXT($N31,"MM/DD")&amp;") 초과",IF($P31="","발행여부 확인 필요",IF($R31="","소재 입고일정 확인 필요","정상"))))))</f>
        <v>작지 미발행</v>
      </c>
      <c r="Y31" s="25" t="str">
        <f aca="false">IF($K31="","",IF(OR(LEFT($X31,2)="작지",LEFT($X31,4)="소재입고"),IF(LEFT($G31,1)="S","★ 납기위험(S코드)","◆ 지연주의"),IF($X31="정상","✓ 정상","? 확인필요")))</f>
        <v>★ 납기위험(S코드)</v>
      </c>
      <c r="Z31" s="28"/>
      <c r="AA31" s="34"/>
    </row>
    <row r="32" customFormat="false" ht="15" hidden="false" customHeight="false" outlineLevel="0" collapsed="false">
      <c r="A32" s="25" t="n">
        <v>28</v>
      </c>
      <c r="B32" s="26" t="s">
        <v>142</v>
      </c>
      <c r="C32" s="26" t="s">
        <v>143</v>
      </c>
      <c r="D32" s="27" t="s">
        <v>177</v>
      </c>
      <c r="E32" s="27" t="s">
        <v>178</v>
      </c>
      <c r="F32" s="27" t="s">
        <v>179</v>
      </c>
      <c r="G32" s="25" t="str">
        <f aca="false">IF($D32="","",IF(MID($D32,5,1)="S","S(봄)",IF(MID($D32,5,1)="M","M(여름)",IF(MID($D32,5,1)="X","X(사계절)",MID($D32,5,1)))))</f>
        <v>S(봄)</v>
      </c>
      <c r="H32" s="26" t="s">
        <v>79</v>
      </c>
      <c r="I32" s="25" t="s">
        <v>147</v>
      </c>
      <c r="J32" s="28" t="s">
        <v>148</v>
      </c>
      <c r="K32" s="29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9" t="n">
        <f aca="false">IF($K32="","",IF(AND($K32-기준정보!$C$5&gt;=기준정보!$C$10,$K32-기준정보!$C$5&lt;=기준정보!$C$11),기준정보!$C$10-1,$K32-기준정보!$C$5))</f>
        <v>46388</v>
      </c>
      <c r="M32" s="30" t="n">
        <f aca="false">IF($L32="","",IF(OR(ISNUMBER(SEARCH("중국",$U32)),ISNUMBER(SEARCH("베트남",$U32))),MAX(0,MIN($L32,기준정보!$C$9)-MAX($L32-기준정보!$C$6,기준정보!$C$8)+1),IF(ISNUMBER(SEARCH("한국",$U32)),MAX(0,MIN($L32,기준정보!$C$11)-MAX($L32-기준정보!$C$6,기준정보!$C$10)+1),0)))</f>
        <v>0</v>
      </c>
      <c r="N32" s="29" t="n">
        <f aca="false">IF($L32="","",$L32-기준정보!$C$6-$M32)</f>
        <v>46298</v>
      </c>
      <c r="O32" s="31" t="n">
        <f aca="false">IF($N32="","",$N32-기준정보!$C$4)</f>
        <v>56</v>
      </c>
      <c r="P32" s="28" t="s">
        <v>83</v>
      </c>
      <c r="Q32" s="28" t="s">
        <v>83</v>
      </c>
      <c r="R32" s="32"/>
      <c r="S32" s="27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T32" s="26" t="s">
        <v>170</v>
      </c>
      <c r="U32" s="26" t="s">
        <v>85</v>
      </c>
      <c r="V32" s="33" t="n">
        <v>0</v>
      </c>
      <c r="W32" s="27"/>
      <c r="X32" s="27" t="str">
        <f aca="false">IF($K32="","출고일 미정",IF($P32="X","작지 미발행",IF($P32="부분","작지 일부 미발행",IF(AND($R32&lt;&gt;"",$R32&gt;$N32),"소재입고 마감("&amp;TEXT($N32,"MM/DD")&amp;") 초과",IF($P32="","발행여부 확인 필요",IF($R32="","소재 입고일정 확인 필요","정상"))))))</f>
        <v>작지 미발행</v>
      </c>
      <c r="Y32" s="25" t="str">
        <f aca="false">IF($K32="","",IF(OR(LEFT($X32,2)="작지",LEFT($X32,4)="소재입고"),IF(LEFT($G32,1)="S","★ 납기위험(S코드)","◆ 지연주의"),IF($X32="정상","✓ 정상","? 확인필요")))</f>
        <v>★ 납기위험(S코드)</v>
      </c>
      <c r="Z32" s="28"/>
      <c r="AA32" s="34"/>
    </row>
    <row r="33" customFormat="false" ht="15" hidden="false" customHeight="false" outlineLevel="0" collapsed="false">
      <c r="A33" s="25" t="n">
        <v>29</v>
      </c>
      <c r="B33" s="26" t="s">
        <v>142</v>
      </c>
      <c r="C33" s="26" t="s">
        <v>152</v>
      </c>
      <c r="D33" s="27" t="s">
        <v>180</v>
      </c>
      <c r="E33" s="27" t="s">
        <v>181</v>
      </c>
      <c r="F33" s="27" t="s">
        <v>160</v>
      </c>
      <c r="G33" s="25" t="str">
        <f aca="false">IF($D33="","",IF(MID($D33,5,1)="S","S(봄)",IF(MID($D33,5,1)="M","M(여름)",IF(MID($D33,5,1)="X","X(사계절)",MID($D33,5,1)))))</f>
        <v>S(봄)</v>
      </c>
      <c r="H33" s="26" t="s">
        <v>79</v>
      </c>
      <c r="I33" s="25" t="s">
        <v>147</v>
      </c>
      <c r="J33" s="28" t="s">
        <v>148</v>
      </c>
      <c r="K33" s="29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9" t="n">
        <f aca="false">IF($K33="","",IF(AND($K33-기준정보!$C$5&gt;=기준정보!$C$10,$K33-기준정보!$C$5&lt;=기준정보!$C$11),기준정보!$C$10-1,$K33-기준정보!$C$5))</f>
        <v>46388</v>
      </c>
      <c r="M33" s="30" t="n">
        <f aca="false">IF($L33="","",IF(OR(ISNUMBER(SEARCH("중국",$U33)),ISNUMBER(SEARCH("베트남",$U33))),MAX(0,MIN($L33,기준정보!$C$9)-MAX($L33-기준정보!$C$6,기준정보!$C$8)+1),IF(ISNUMBER(SEARCH("한국",$U33)),MAX(0,MIN($L33,기준정보!$C$11)-MAX($L33-기준정보!$C$6,기준정보!$C$10)+1),0)))</f>
        <v>0</v>
      </c>
      <c r="N33" s="29" t="n">
        <f aca="false">IF($L33="","",$L33-기준정보!$C$6-$M33)</f>
        <v>46298</v>
      </c>
      <c r="O33" s="31" t="n">
        <f aca="false">IF($N33="","",$N33-기준정보!$C$4)</f>
        <v>56</v>
      </c>
      <c r="P33" s="28" t="s">
        <v>83</v>
      </c>
      <c r="Q33" s="28"/>
      <c r="R33" s="32"/>
      <c r="S33" s="27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T33" s="26" t="s">
        <v>89</v>
      </c>
      <c r="U33" s="26" t="s">
        <v>85</v>
      </c>
      <c r="V33" s="33" t="n">
        <v>0</v>
      </c>
      <c r="W33" s="27"/>
      <c r="X33" s="27" t="str">
        <f aca="false">IF($K33="","출고일 미정",IF($P33="X","작지 미발행",IF($P33="부분","작지 일부 미발행",IF(AND($R33&lt;&gt;"",$R33&gt;$N33),"소재입고 마감("&amp;TEXT($N33,"MM/DD")&amp;") 초과",IF($P33="","발행여부 확인 필요",IF($R33="","소재 입고일정 확인 필요","정상"))))))</f>
        <v>작지 미발행</v>
      </c>
      <c r="Y33" s="25" t="str">
        <f aca="false">IF($K33="","",IF(OR(LEFT($X33,2)="작지",LEFT($X33,4)="소재입고"),IF(LEFT($G33,1)="S","★ 납기위험(S코드)","◆ 지연주의"),IF($X33="정상","✓ 정상","? 확인필요")))</f>
        <v>★ 납기위험(S코드)</v>
      </c>
      <c r="Z33" s="28"/>
      <c r="AA33" s="34"/>
    </row>
    <row r="34" customFormat="false" ht="15" hidden="false" customHeight="false" outlineLevel="0" collapsed="false">
      <c r="A34" s="25" t="n">
        <v>30</v>
      </c>
      <c r="B34" s="26" t="s">
        <v>142</v>
      </c>
      <c r="C34" s="26" t="s">
        <v>152</v>
      </c>
      <c r="D34" s="27" t="s">
        <v>182</v>
      </c>
      <c r="E34" s="27" t="s">
        <v>183</v>
      </c>
      <c r="F34" s="27" t="s">
        <v>169</v>
      </c>
      <c r="G34" s="25" t="str">
        <f aca="false">IF($D34="","",IF(MID($D34,5,1)="S","S(봄)",IF(MID($D34,5,1)="M","M(여름)",IF(MID($D34,5,1)="X","X(사계절)",MID($D34,5,1)))))</f>
        <v>S(봄)</v>
      </c>
      <c r="H34" s="26" t="s">
        <v>79</v>
      </c>
      <c r="I34" s="25" t="s">
        <v>147</v>
      </c>
      <c r="J34" s="28" t="s">
        <v>148</v>
      </c>
      <c r="K34" s="29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9" t="n">
        <f aca="false">IF($K34="","",IF(AND($K34-기준정보!$C$5&gt;=기준정보!$C$10,$K34-기준정보!$C$5&lt;=기준정보!$C$11),기준정보!$C$10-1,$K34-기준정보!$C$5))</f>
        <v>46388</v>
      </c>
      <c r="M34" s="30" t="n">
        <f aca="false">IF($L34="","",IF(OR(ISNUMBER(SEARCH("중국",$U34)),ISNUMBER(SEARCH("베트남",$U34))),MAX(0,MIN($L34,기준정보!$C$9)-MAX($L34-기준정보!$C$6,기준정보!$C$8)+1),IF(ISNUMBER(SEARCH("한국",$U34)),MAX(0,MIN($L34,기준정보!$C$11)-MAX($L34-기준정보!$C$6,기준정보!$C$10)+1),0)))</f>
        <v>0</v>
      </c>
      <c r="N34" s="29" t="n">
        <f aca="false">IF($L34="","",$L34-기준정보!$C$6-$M34)</f>
        <v>46298</v>
      </c>
      <c r="O34" s="31" t="n">
        <f aca="false">IF($N34="","",$N34-기준정보!$C$4)</f>
        <v>56</v>
      </c>
      <c r="P34" s="28" t="s">
        <v>83</v>
      </c>
      <c r="Q34" s="28" t="s">
        <v>83</v>
      </c>
      <c r="R34" s="32"/>
      <c r="S34" s="27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T34" s="26" t="s">
        <v>89</v>
      </c>
      <c r="U34" s="26" t="s">
        <v>85</v>
      </c>
      <c r="V34" s="33" t="n">
        <v>0</v>
      </c>
      <c r="W34" s="27"/>
      <c r="X34" s="27" t="str">
        <f aca="false">IF($K34="","출고일 미정",IF($P34="X","작지 미발행",IF($P34="부분","작지 일부 미발행",IF(AND($R34&lt;&gt;"",$R34&gt;$N34),"소재입고 마감("&amp;TEXT($N34,"MM/DD")&amp;") 초과",IF($P34="","발행여부 확인 필요",IF($R34="","소재 입고일정 확인 필요","정상"))))))</f>
        <v>작지 미발행</v>
      </c>
      <c r="Y34" s="25" t="str">
        <f aca="false">IF($K34="","",IF(OR(LEFT($X34,2)="작지",LEFT($X34,4)="소재입고"),IF(LEFT($G34,1)="S","★ 납기위험(S코드)","◆ 지연주의"),IF($X34="정상","✓ 정상","? 확인필요")))</f>
        <v>★ 납기위험(S코드)</v>
      </c>
      <c r="Z34" s="28"/>
      <c r="AA34" s="34"/>
    </row>
    <row r="35" customFormat="false" ht="15" hidden="false" customHeight="false" outlineLevel="0" collapsed="false">
      <c r="A35" s="25" t="n">
        <v>31</v>
      </c>
      <c r="B35" s="26" t="s">
        <v>142</v>
      </c>
      <c r="C35" s="26" t="s">
        <v>152</v>
      </c>
      <c r="D35" s="27" t="s">
        <v>184</v>
      </c>
      <c r="E35" s="27" t="s">
        <v>185</v>
      </c>
      <c r="F35" s="27" t="s">
        <v>186</v>
      </c>
      <c r="G35" s="25" t="str">
        <f aca="false">IF($D35="","",IF(MID($D35,5,1)="S","S(봄)",IF(MID($D35,5,1)="M","M(여름)",IF(MID($D35,5,1)="X","X(사계절)",MID($D35,5,1)))))</f>
        <v>S(봄)</v>
      </c>
      <c r="H35" s="26" t="s">
        <v>79</v>
      </c>
      <c r="I35" s="25" t="s">
        <v>147</v>
      </c>
      <c r="J35" s="28" t="s">
        <v>148</v>
      </c>
      <c r="K35" s="29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9" t="n">
        <f aca="false">IF($K35="","",IF(AND($K35-기준정보!$C$5&gt;=기준정보!$C$10,$K35-기준정보!$C$5&lt;=기준정보!$C$11),기준정보!$C$10-1,$K35-기준정보!$C$5))</f>
        <v>46388</v>
      </c>
      <c r="M35" s="30" t="n">
        <f aca="false">IF($L35="","",IF(OR(ISNUMBER(SEARCH("중국",$U35)),ISNUMBER(SEARCH("베트남",$U35))),MAX(0,MIN($L35,기준정보!$C$9)-MAX($L35-기준정보!$C$6,기준정보!$C$8)+1),IF(ISNUMBER(SEARCH("한국",$U35)),MAX(0,MIN($L35,기준정보!$C$11)-MAX($L35-기준정보!$C$6,기준정보!$C$10)+1),0)))</f>
        <v>0</v>
      </c>
      <c r="N35" s="29" t="n">
        <f aca="false">IF($L35="","",$L35-기준정보!$C$6-$M35)</f>
        <v>46298</v>
      </c>
      <c r="O35" s="31" t="n">
        <f aca="false">IF($N35="","",$N35-기준정보!$C$4)</f>
        <v>56</v>
      </c>
      <c r="P35" s="28" t="s">
        <v>83</v>
      </c>
      <c r="Q35" s="28" t="s">
        <v>83</v>
      </c>
      <c r="R35" s="32"/>
      <c r="S35" s="27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T35" s="26" t="s">
        <v>89</v>
      </c>
      <c r="U35" s="26" t="s">
        <v>85</v>
      </c>
      <c r="V35" s="33" t="n">
        <v>0</v>
      </c>
      <c r="W35" s="27"/>
      <c r="X35" s="27" t="str">
        <f aca="false">IF($K35="","출고일 미정",IF($P35="X","작지 미발행",IF($P35="부분","작지 일부 미발행",IF(AND($R35&lt;&gt;"",$R35&gt;$N35),"소재입고 마감("&amp;TEXT($N35,"MM/DD")&amp;") 초과",IF($P35="","발행여부 확인 필요",IF($R35="","소재 입고일정 확인 필요","정상"))))))</f>
        <v>작지 미발행</v>
      </c>
      <c r="Y35" s="25" t="str">
        <f aca="false">IF($K35="","",IF(OR(LEFT($X35,2)="작지",LEFT($X35,4)="소재입고"),IF(LEFT($G35,1)="S","★ 납기위험(S코드)","◆ 지연주의"),IF($X35="정상","✓ 정상","? 확인필요")))</f>
        <v>★ 납기위험(S코드)</v>
      </c>
      <c r="Z35" s="28"/>
      <c r="AA35" s="34"/>
    </row>
    <row r="36" customFormat="false" ht="15" hidden="false" customHeight="false" outlineLevel="0" collapsed="false">
      <c r="A36" s="25" t="n">
        <v>32</v>
      </c>
      <c r="B36" s="26" t="s">
        <v>142</v>
      </c>
      <c r="C36" s="26" t="s">
        <v>152</v>
      </c>
      <c r="D36" s="27" t="s">
        <v>187</v>
      </c>
      <c r="E36" s="27" t="s">
        <v>188</v>
      </c>
      <c r="F36" s="27" t="s">
        <v>189</v>
      </c>
      <c r="G36" s="25" t="str">
        <f aca="false">IF($D36="","",IF(MID($D36,5,1)="S","S(봄)",IF(MID($D36,5,1)="M","M(여름)",IF(MID($D36,5,1)="X","X(사계절)",MID($D36,5,1)))))</f>
        <v>S(봄)</v>
      </c>
      <c r="H36" s="26" t="s">
        <v>79</v>
      </c>
      <c r="I36" s="25" t="s">
        <v>147</v>
      </c>
      <c r="J36" s="28" t="s">
        <v>148</v>
      </c>
      <c r="K36" s="29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9" t="n">
        <f aca="false">IF($K36="","",IF(AND($K36-기준정보!$C$5&gt;=기준정보!$C$10,$K36-기준정보!$C$5&lt;=기준정보!$C$11),기준정보!$C$10-1,$K36-기준정보!$C$5))</f>
        <v>46388</v>
      </c>
      <c r="M36" s="30" t="n">
        <f aca="false">IF($L36="","",IF(OR(ISNUMBER(SEARCH("중국",$U36)),ISNUMBER(SEARCH("베트남",$U36))),MAX(0,MIN($L36,기준정보!$C$9)-MAX($L36-기준정보!$C$6,기준정보!$C$8)+1),IF(ISNUMBER(SEARCH("한국",$U36)),MAX(0,MIN($L36,기준정보!$C$11)-MAX($L36-기준정보!$C$6,기준정보!$C$10)+1),0)))</f>
        <v>0</v>
      </c>
      <c r="N36" s="29" t="n">
        <f aca="false">IF($L36="","",$L36-기준정보!$C$6-$M36)</f>
        <v>46298</v>
      </c>
      <c r="O36" s="31" t="n">
        <f aca="false">IF($N36="","",$N36-기준정보!$C$4)</f>
        <v>56</v>
      </c>
      <c r="P36" s="28" t="s">
        <v>83</v>
      </c>
      <c r="Q36" s="28"/>
      <c r="R36" s="32"/>
      <c r="S36" s="27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T36" s="26" t="s">
        <v>89</v>
      </c>
      <c r="U36" s="26" t="s">
        <v>85</v>
      </c>
      <c r="V36" s="33" t="n">
        <v>0</v>
      </c>
      <c r="W36" s="27"/>
      <c r="X36" s="27" t="str">
        <f aca="false">IF($K36="","출고일 미정",IF($P36="X","작지 미발행",IF($P36="부분","작지 일부 미발행",IF(AND($R36&lt;&gt;"",$R36&gt;$N36),"소재입고 마감("&amp;TEXT($N36,"MM/DD")&amp;") 초과",IF($P36="","발행여부 확인 필요",IF($R36="","소재 입고일정 확인 필요","정상"))))))</f>
        <v>작지 미발행</v>
      </c>
      <c r="Y36" s="25" t="str">
        <f aca="false">IF($K36="","",IF(OR(LEFT($X36,2)="작지",LEFT($X36,4)="소재입고"),IF(LEFT($G36,1)="S","★ 납기위험(S코드)","◆ 지연주의"),IF($X36="정상","✓ 정상","? 확인필요")))</f>
        <v>★ 납기위험(S코드)</v>
      </c>
      <c r="Z36" s="28"/>
      <c r="AA36" s="34"/>
    </row>
    <row r="37" customFormat="false" ht="15" hidden="false" customHeight="false" outlineLevel="0" collapsed="false">
      <c r="A37" s="25" t="n">
        <v>33</v>
      </c>
      <c r="B37" s="26" t="s">
        <v>142</v>
      </c>
      <c r="C37" s="26" t="s">
        <v>152</v>
      </c>
      <c r="D37" s="27" t="s">
        <v>190</v>
      </c>
      <c r="E37" s="27" t="s">
        <v>191</v>
      </c>
      <c r="F37" s="27" t="s">
        <v>186</v>
      </c>
      <c r="G37" s="25" t="str">
        <f aca="false">IF($D37="","",IF(MID($D37,5,1)="S","S(봄)",IF(MID($D37,5,1)="M","M(여름)",IF(MID($D37,5,1)="X","X(사계절)",MID($D37,5,1)))))</f>
        <v>S(봄)</v>
      </c>
      <c r="H37" s="26" t="s">
        <v>79</v>
      </c>
      <c r="I37" s="25" t="s">
        <v>147</v>
      </c>
      <c r="J37" s="28" t="s">
        <v>148</v>
      </c>
      <c r="K37" s="29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9" t="n">
        <f aca="false">IF($K37="","",IF(AND($K37-기준정보!$C$5&gt;=기준정보!$C$10,$K37-기준정보!$C$5&lt;=기준정보!$C$11),기준정보!$C$10-1,$K37-기준정보!$C$5))</f>
        <v>46388</v>
      </c>
      <c r="M37" s="30" t="n">
        <f aca="false">IF($L37="","",IF(OR(ISNUMBER(SEARCH("중국",$U37)),ISNUMBER(SEARCH("베트남",$U37))),MAX(0,MIN($L37,기준정보!$C$9)-MAX($L37-기준정보!$C$6,기준정보!$C$8)+1),IF(ISNUMBER(SEARCH("한국",$U37)),MAX(0,MIN($L37,기준정보!$C$11)-MAX($L37-기준정보!$C$6,기준정보!$C$10)+1),0)))</f>
        <v>0</v>
      </c>
      <c r="N37" s="29" t="n">
        <f aca="false">IF($L37="","",$L37-기준정보!$C$6-$M37)</f>
        <v>46298</v>
      </c>
      <c r="O37" s="31" t="n">
        <f aca="false">IF($N37="","",$N37-기준정보!$C$4)</f>
        <v>56</v>
      </c>
      <c r="P37" s="28" t="s">
        <v>83</v>
      </c>
      <c r="Q37" s="28" t="s">
        <v>83</v>
      </c>
      <c r="R37" s="32"/>
      <c r="S37" s="27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T37" s="26" t="s">
        <v>89</v>
      </c>
      <c r="U37" s="26" t="s">
        <v>85</v>
      </c>
      <c r="V37" s="33" t="n">
        <v>0</v>
      </c>
      <c r="W37" s="27"/>
      <c r="X37" s="27" t="str">
        <f aca="false">IF($K37="","출고일 미정",IF($P37="X","작지 미발행",IF($P37="부분","작지 일부 미발행",IF(AND($R37&lt;&gt;"",$R37&gt;$N37),"소재입고 마감("&amp;TEXT($N37,"MM/DD")&amp;") 초과",IF($P37="","발행여부 확인 필요",IF($R37="","소재 입고일정 확인 필요","정상"))))))</f>
        <v>작지 미발행</v>
      </c>
      <c r="Y37" s="25" t="str">
        <f aca="false">IF($K37="","",IF(OR(LEFT($X37,2)="작지",LEFT($X37,4)="소재입고"),IF(LEFT($G37,1)="S","★ 납기위험(S코드)","◆ 지연주의"),IF($X37="정상","✓ 정상","? 확인필요")))</f>
        <v>★ 납기위험(S코드)</v>
      </c>
      <c r="Z37" s="28"/>
      <c r="AA37" s="34"/>
    </row>
    <row r="38" customFormat="false" ht="15" hidden="false" customHeight="false" outlineLevel="0" collapsed="false">
      <c r="A38" s="25" t="n">
        <v>34</v>
      </c>
      <c r="B38" s="26" t="s">
        <v>142</v>
      </c>
      <c r="C38" s="26" t="s">
        <v>143</v>
      </c>
      <c r="D38" s="27" t="s">
        <v>192</v>
      </c>
      <c r="E38" s="27" t="s">
        <v>193</v>
      </c>
      <c r="F38" s="27" t="s">
        <v>194</v>
      </c>
      <c r="G38" s="25" t="str">
        <f aca="false">IF($D38="","",IF(MID($D38,5,1)="S","S(봄)",IF(MID($D38,5,1)="M","M(여름)",IF(MID($D38,5,1)="X","X(사계절)",MID($D38,5,1)))))</f>
        <v>S(봄)</v>
      </c>
      <c r="H38" s="26" t="s">
        <v>79</v>
      </c>
      <c r="I38" s="25" t="s">
        <v>147</v>
      </c>
      <c r="J38" s="28" t="s">
        <v>148</v>
      </c>
      <c r="K38" s="29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9" t="n">
        <f aca="false">IF($K38="","",IF(AND($K38-기준정보!$C$5&gt;=기준정보!$C$10,$K38-기준정보!$C$5&lt;=기준정보!$C$11),기준정보!$C$10-1,$K38-기준정보!$C$5))</f>
        <v>46388</v>
      </c>
      <c r="M38" s="30" t="n">
        <f aca="false">IF($L38="","",IF(OR(ISNUMBER(SEARCH("중국",$U38)),ISNUMBER(SEARCH("베트남",$U38))),MAX(0,MIN($L38,기준정보!$C$9)-MAX($L38-기준정보!$C$6,기준정보!$C$8)+1),IF(ISNUMBER(SEARCH("한국",$U38)),MAX(0,MIN($L38,기준정보!$C$11)-MAX($L38-기준정보!$C$6,기준정보!$C$10)+1),0)))</f>
        <v>0</v>
      </c>
      <c r="N38" s="29" t="n">
        <f aca="false">IF($L38="","",$L38-기준정보!$C$6-$M38)</f>
        <v>46298</v>
      </c>
      <c r="O38" s="31" t="n">
        <f aca="false">IF($N38="","",$N38-기준정보!$C$4)</f>
        <v>56</v>
      </c>
      <c r="P38" s="28" t="s">
        <v>83</v>
      </c>
      <c r="Q38" s="28" t="s">
        <v>83</v>
      </c>
      <c r="R38" s="32"/>
      <c r="S38" s="27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T38" s="26" t="s">
        <v>195</v>
      </c>
      <c r="U38" s="26" t="s">
        <v>85</v>
      </c>
      <c r="V38" s="33" t="n">
        <v>0</v>
      </c>
      <c r="W38" s="27"/>
      <c r="X38" s="27" t="str">
        <f aca="false">IF($K38="","출고일 미정",IF($P38="X","작지 미발행",IF($P38="부분","작지 일부 미발행",IF(AND($R38&lt;&gt;"",$R38&gt;$N38),"소재입고 마감("&amp;TEXT($N38,"MM/DD")&amp;") 초과",IF($P38="","발행여부 확인 필요",IF($R38="","소재 입고일정 확인 필요","정상"))))))</f>
        <v>작지 미발행</v>
      </c>
      <c r="Y38" s="25" t="str">
        <f aca="false">IF($K38="","",IF(OR(LEFT($X38,2)="작지",LEFT($X38,4)="소재입고"),IF(LEFT($G38,1)="S","★ 납기위험(S코드)","◆ 지연주의"),IF($X38="정상","✓ 정상","? 확인필요")))</f>
        <v>★ 납기위험(S코드)</v>
      </c>
      <c r="Z38" s="28"/>
      <c r="AA38" s="34"/>
    </row>
    <row r="39" customFormat="false" ht="15" hidden="false" customHeight="false" outlineLevel="0" collapsed="false">
      <c r="A39" s="25" t="n">
        <v>35</v>
      </c>
      <c r="B39" s="26" t="s">
        <v>142</v>
      </c>
      <c r="C39" s="26" t="s">
        <v>152</v>
      </c>
      <c r="D39" s="27" t="s">
        <v>196</v>
      </c>
      <c r="E39" s="27" t="s">
        <v>197</v>
      </c>
      <c r="F39" s="27" t="s">
        <v>198</v>
      </c>
      <c r="G39" s="25" t="str">
        <f aca="false">IF($D39="","",IF(MID($D39,5,1)="S","S(봄)",IF(MID($D39,5,1)="M","M(여름)",IF(MID($D39,5,1)="X","X(사계절)",MID($D39,5,1)))))</f>
        <v>S(봄)</v>
      </c>
      <c r="H39" s="26" t="s">
        <v>79</v>
      </c>
      <c r="I39" s="25" t="s">
        <v>147</v>
      </c>
      <c r="J39" s="28" t="s">
        <v>148</v>
      </c>
      <c r="K39" s="29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9" t="n">
        <f aca="false">IF($K39="","",IF(AND($K39-기준정보!$C$5&gt;=기준정보!$C$10,$K39-기준정보!$C$5&lt;=기준정보!$C$11),기준정보!$C$10-1,$K39-기준정보!$C$5))</f>
        <v>46388</v>
      </c>
      <c r="M39" s="30" t="n">
        <f aca="false">IF($L39="","",IF(OR(ISNUMBER(SEARCH("중국",$U39)),ISNUMBER(SEARCH("베트남",$U39))),MAX(0,MIN($L39,기준정보!$C$9)-MAX($L39-기준정보!$C$6,기준정보!$C$8)+1),IF(ISNUMBER(SEARCH("한국",$U39)),MAX(0,MIN($L39,기준정보!$C$11)-MAX($L39-기준정보!$C$6,기준정보!$C$10)+1),0)))</f>
        <v>0</v>
      </c>
      <c r="N39" s="29" t="n">
        <f aca="false">IF($L39="","",$L39-기준정보!$C$6-$M39)</f>
        <v>46298</v>
      </c>
      <c r="O39" s="31" t="n">
        <f aca="false">IF($N39="","",$N39-기준정보!$C$4)</f>
        <v>56</v>
      </c>
      <c r="P39" s="28" t="s">
        <v>83</v>
      </c>
      <c r="Q39" s="28" t="s">
        <v>83</v>
      </c>
      <c r="R39" s="32"/>
      <c r="S39" s="27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T39" s="26" t="s">
        <v>195</v>
      </c>
      <c r="U39" s="26" t="s">
        <v>131</v>
      </c>
      <c r="V39" s="33" t="n">
        <v>0</v>
      </c>
      <c r="W39" s="27"/>
      <c r="X39" s="27" t="str">
        <f aca="false">IF($K39="","출고일 미정",IF($P39="X","작지 미발행",IF($P39="부분","작지 일부 미발행",IF(AND($R39&lt;&gt;"",$R39&gt;$N39),"소재입고 마감("&amp;TEXT($N39,"MM/DD")&amp;") 초과",IF($P39="","발행여부 확인 필요",IF($R39="","소재 입고일정 확인 필요","정상"))))))</f>
        <v>작지 미발행</v>
      </c>
      <c r="Y39" s="25" t="str">
        <f aca="false">IF($K39="","",IF(OR(LEFT($X39,2)="작지",LEFT($X39,4)="소재입고"),IF(LEFT($G39,1)="S","★ 납기위험(S코드)","◆ 지연주의"),IF($X39="정상","✓ 정상","? 확인필요")))</f>
        <v>★ 납기위험(S코드)</v>
      </c>
      <c r="Z39" s="28"/>
      <c r="AA39" s="34"/>
    </row>
    <row r="40" customFormat="false" ht="15" hidden="false" customHeight="false" outlineLevel="0" collapsed="false">
      <c r="A40" s="25" t="n">
        <v>36</v>
      </c>
      <c r="B40" s="26" t="s">
        <v>199</v>
      </c>
      <c r="C40" s="26" t="s">
        <v>200</v>
      </c>
      <c r="D40" s="27" t="s">
        <v>201</v>
      </c>
      <c r="E40" s="26" t="s">
        <v>202</v>
      </c>
      <c r="F40" s="27" t="s">
        <v>203</v>
      </c>
      <c r="G40" s="25" t="str">
        <f aca="false">IF($D40="","",IF(MID($D40,5,1)="S","S(봄)",IF(MID($D40,5,1)="M","M(여름)",IF(MID($D40,5,1)="X","X(사계절)",MID($D40,5,1)))))</f>
        <v>S(봄)</v>
      </c>
      <c r="H40" s="26" t="s">
        <v>79</v>
      </c>
      <c r="I40" s="25"/>
      <c r="J40" s="28" t="s">
        <v>148</v>
      </c>
      <c r="K40" s="29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9" t="n">
        <f aca="false">IF($K40="","",IF(AND($K40-기준정보!$C$5&gt;=기준정보!$C$10,$K40-기준정보!$C$5&lt;=기준정보!$C$11),기준정보!$C$10-1,$K40-기준정보!$C$5))</f>
        <v>46388</v>
      </c>
      <c r="M40" s="30" t="n">
        <f aca="false">IF($L40="","",IF(OR(ISNUMBER(SEARCH("중국",$U40)),ISNUMBER(SEARCH("베트남",$U40))),MAX(0,MIN($L40,기준정보!$C$9)-MAX($L40-기준정보!$C$6,기준정보!$C$8)+1),IF(ISNUMBER(SEARCH("한국",$U40)),MAX(0,MIN($L40,기준정보!$C$11)-MAX($L40-기준정보!$C$6,기준정보!$C$10)+1),0)))</f>
        <v>0</v>
      </c>
      <c r="N40" s="29" t="n">
        <f aca="false">IF($L40="","",$L40-기준정보!$C$6-$M40)</f>
        <v>46298</v>
      </c>
      <c r="O40" s="31" t="n">
        <f aca="false">IF($N40="","",$N40-기준정보!$C$4)</f>
        <v>56</v>
      </c>
      <c r="P40" s="28" t="s">
        <v>82</v>
      </c>
      <c r="Q40" s="28" t="s">
        <v>83</v>
      </c>
      <c r="R40" s="32"/>
      <c r="S40" s="27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T40" s="26" t="s">
        <v>89</v>
      </c>
      <c r="U40" s="27"/>
      <c r="V40" s="33" t="n">
        <v>2000</v>
      </c>
      <c r="W40" s="27" t="s">
        <v>148</v>
      </c>
      <c r="X40" s="27" t="str">
        <f aca="false">IF($K40="","출고일 미정",IF($P40="X","작지 미발행",IF($P40="부분","작지 일부 미발행",IF(AND($R40&lt;&gt;"",$R40&gt;$N40),"소재입고 마감("&amp;TEXT($N40,"MM/DD")&amp;") 초과",IF($P40="","발행여부 확인 필요",IF($R40="","소재 입고일정 확인 필요","정상"))))))</f>
        <v>소재 입고일정 확인 필요</v>
      </c>
      <c r="Y40" s="25" t="str">
        <f aca="false">IF($K40="","",IF(OR(LEFT($X40,2)="작지",LEFT($X40,4)="소재입고"),IF(LEFT($G40,1)="S","★ 납기위험(S코드)","◆ 지연주의"),IF($X40="정상","✓ 정상","? 확인필요")))</f>
        <v>? 확인필요</v>
      </c>
      <c r="Z40" s="28"/>
      <c r="AA40" s="34"/>
    </row>
    <row r="41" customFormat="false" ht="15" hidden="false" customHeight="false" outlineLevel="0" collapsed="false">
      <c r="A41" s="25" t="n">
        <v>37</v>
      </c>
      <c r="B41" s="26" t="s">
        <v>204</v>
      </c>
      <c r="C41" s="26" t="s">
        <v>205</v>
      </c>
      <c r="D41" s="27" t="s">
        <v>206</v>
      </c>
      <c r="E41" s="26" t="s">
        <v>207</v>
      </c>
      <c r="F41" s="27" t="s">
        <v>208</v>
      </c>
      <c r="G41" s="25" t="str">
        <f aca="false">IF($D41="","",IF(MID($D41,5,1)="S","S(봄)",IF(MID($D41,5,1)="M","M(여름)",IF(MID($D41,5,1)="X","X(사계절)",MID($D41,5,1)))))</f>
        <v>S(봄)</v>
      </c>
      <c r="H41" s="27" t="s">
        <v>209</v>
      </c>
      <c r="I41" s="25"/>
      <c r="J41" s="28" t="s">
        <v>148</v>
      </c>
      <c r="K41" s="29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9" t="n">
        <f aca="false">IF($K41="","",IF(AND($K41-기준정보!$C$5&gt;=기준정보!$C$10,$K41-기준정보!$C$5&lt;=기준정보!$C$11),기준정보!$C$10-1,$K41-기준정보!$C$5))</f>
        <v>46388</v>
      </c>
      <c r="M41" s="30" t="n">
        <f aca="false">IF($L41="","",IF(OR(ISNUMBER(SEARCH("중국",$U41)),ISNUMBER(SEARCH("베트남",$U41))),MAX(0,MIN($L41,기준정보!$C$9)-MAX($L41-기준정보!$C$6,기준정보!$C$8)+1),IF(ISNUMBER(SEARCH("한국",$U41)),MAX(0,MIN($L41,기준정보!$C$11)-MAX($L41-기준정보!$C$6,기준정보!$C$10)+1),0)))</f>
        <v>0</v>
      </c>
      <c r="N41" s="29" t="n">
        <f aca="false">IF($L41="","",$L41-기준정보!$C$6-$M41)</f>
        <v>46298</v>
      </c>
      <c r="O41" s="31" t="n">
        <f aca="false">IF($N41="","",$N41-기준정보!$C$4)</f>
        <v>56</v>
      </c>
      <c r="P41" s="28" t="s">
        <v>82</v>
      </c>
      <c r="Q41" s="28" t="s">
        <v>83</v>
      </c>
      <c r="R41" s="32"/>
      <c r="S41" s="27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T41" s="26" t="s">
        <v>210</v>
      </c>
      <c r="U41" s="26" t="s">
        <v>85</v>
      </c>
      <c r="V41" s="33" t="n">
        <v>4000</v>
      </c>
      <c r="W41" s="27" t="s">
        <v>148</v>
      </c>
      <c r="X41" s="27" t="str">
        <f aca="false">IF($K41="","출고일 미정",IF($P41="X","작지 미발행",IF($P41="부분","작지 일부 미발행",IF(AND($R41&lt;&gt;"",$R41&gt;$N41),"소재입고 마감("&amp;TEXT($N41,"MM/DD")&amp;") 초과",IF($P41="","발행여부 확인 필요",IF($R41="","소재 입고일정 확인 필요","정상"))))))</f>
        <v>소재 입고일정 확인 필요</v>
      </c>
      <c r="Y41" s="25" t="str">
        <f aca="false">IF($K41="","",IF(OR(LEFT($X41,2)="작지",LEFT($X41,4)="소재입고"),IF(LEFT($G41,1)="S","★ 납기위험(S코드)","◆ 지연주의"),IF($X41="정상","✓ 정상","? 확인필요")))</f>
        <v>? 확인필요</v>
      </c>
      <c r="Z41" s="28"/>
      <c r="AA41" s="34"/>
    </row>
    <row r="42" customFormat="false" ht="15" hidden="false" customHeight="false" outlineLevel="0" collapsed="false">
      <c r="A42" s="25" t="n">
        <v>38</v>
      </c>
      <c r="B42" s="26" t="s">
        <v>204</v>
      </c>
      <c r="C42" s="26" t="s">
        <v>205</v>
      </c>
      <c r="D42" s="27" t="s">
        <v>211</v>
      </c>
      <c r="E42" s="26" t="s">
        <v>212</v>
      </c>
      <c r="F42" s="27" t="s">
        <v>213</v>
      </c>
      <c r="G42" s="25" t="str">
        <f aca="false">IF($D42="","",IF(MID($D42,5,1)="S","S(봄)",IF(MID($D42,5,1)="M","M(여름)",IF(MID($D42,5,1)="X","X(사계절)",MID($D42,5,1)))))</f>
        <v>S(봄)</v>
      </c>
      <c r="H42" s="26" t="s">
        <v>79</v>
      </c>
      <c r="I42" s="25"/>
      <c r="J42" s="28" t="s">
        <v>148</v>
      </c>
      <c r="K42" s="29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9" t="n">
        <f aca="false">IF($K42="","",IF(AND($K42-기준정보!$C$5&gt;=기준정보!$C$10,$K42-기준정보!$C$5&lt;=기준정보!$C$11),기준정보!$C$10-1,$K42-기준정보!$C$5))</f>
        <v>46388</v>
      </c>
      <c r="M42" s="30" t="n">
        <f aca="false">IF($L42="","",IF(OR(ISNUMBER(SEARCH("중국",$U42)),ISNUMBER(SEARCH("베트남",$U42))),MAX(0,MIN($L42,기준정보!$C$9)-MAX($L42-기준정보!$C$6,기준정보!$C$8)+1),IF(ISNUMBER(SEARCH("한국",$U42)),MAX(0,MIN($L42,기준정보!$C$11)-MAX($L42-기준정보!$C$6,기준정보!$C$10)+1),0)))</f>
        <v>0</v>
      </c>
      <c r="N42" s="29" t="n">
        <f aca="false">IF($L42="","",$L42-기준정보!$C$6-$M42)</f>
        <v>46298</v>
      </c>
      <c r="O42" s="31" t="n">
        <f aca="false">IF($N42="","",$N42-기준정보!$C$4)</f>
        <v>56</v>
      </c>
      <c r="P42" s="28" t="s">
        <v>82</v>
      </c>
      <c r="Q42" s="28" t="s">
        <v>83</v>
      </c>
      <c r="R42" s="32"/>
      <c r="S42" s="27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T42" s="26" t="s">
        <v>106</v>
      </c>
      <c r="U42" s="26" t="s">
        <v>85</v>
      </c>
      <c r="V42" s="33" t="n">
        <v>2500</v>
      </c>
      <c r="W42" s="27" t="s">
        <v>148</v>
      </c>
      <c r="X42" s="27" t="str">
        <f aca="false">IF($K42="","출고일 미정",IF($P42="X","작지 미발행",IF($P42="부분","작지 일부 미발행",IF(AND($R42&lt;&gt;"",$R42&gt;$N42),"소재입고 마감("&amp;TEXT($N42,"MM/DD")&amp;") 초과",IF($P42="","발행여부 확인 필요",IF($R42="","소재 입고일정 확인 필요","정상"))))))</f>
        <v>소재 입고일정 확인 필요</v>
      </c>
      <c r="Y42" s="25" t="str">
        <f aca="false">IF($K42="","",IF(OR(LEFT($X42,2)="작지",LEFT($X42,4)="소재입고"),IF(LEFT($G42,1)="S","★ 납기위험(S코드)","◆ 지연주의"),IF($X42="정상","✓ 정상","? 확인필요")))</f>
        <v>? 확인필요</v>
      </c>
      <c r="Z42" s="28"/>
      <c r="AA42" s="34"/>
    </row>
    <row r="43" customFormat="false" ht="15" hidden="false" customHeight="false" outlineLevel="0" collapsed="false">
      <c r="A43" s="25" t="n">
        <v>39</v>
      </c>
      <c r="B43" s="26" t="s">
        <v>204</v>
      </c>
      <c r="C43" s="26" t="s">
        <v>205</v>
      </c>
      <c r="D43" s="27" t="s">
        <v>214</v>
      </c>
      <c r="E43" s="26" t="s">
        <v>215</v>
      </c>
      <c r="F43" s="27" t="s">
        <v>216</v>
      </c>
      <c r="G43" s="25" t="str">
        <f aca="false">IF($D43="","",IF(MID($D43,5,1)="S","S(봄)",IF(MID($D43,5,1)="M","M(여름)",IF(MID($D43,5,1)="X","X(사계절)",MID($D43,5,1)))))</f>
        <v>S(봄)</v>
      </c>
      <c r="H43" s="26" t="s">
        <v>79</v>
      </c>
      <c r="I43" s="25"/>
      <c r="J43" s="28" t="s">
        <v>148</v>
      </c>
      <c r="K43" s="29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9" t="n">
        <f aca="false">IF($K43="","",IF(AND($K43-기준정보!$C$5&gt;=기준정보!$C$10,$K43-기준정보!$C$5&lt;=기준정보!$C$11),기준정보!$C$10-1,$K43-기준정보!$C$5))</f>
        <v>46388</v>
      </c>
      <c r="M43" s="30" t="n">
        <f aca="false">IF($L43="","",IF(OR(ISNUMBER(SEARCH("중국",$U43)),ISNUMBER(SEARCH("베트남",$U43))),MAX(0,MIN($L43,기준정보!$C$9)-MAX($L43-기준정보!$C$6,기준정보!$C$8)+1),IF(ISNUMBER(SEARCH("한국",$U43)),MAX(0,MIN($L43,기준정보!$C$11)-MAX($L43-기준정보!$C$6,기준정보!$C$10)+1),0)))</f>
        <v>0</v>
      </c>
      <c r="N43" s="29" t="n">
        <f aca="false">IF($L43="","",$L43-기준정보!$C$6-$M43)</f>
        <v>46298</v>
      </c>
      <c r="O43" s="31" t="n">
        <f aca="false">IF($N43="","",$N43-기준정보!$C$4)</f>
        <v>56</v>
      </c>
      <c r="P43" s="28" t="s">
        <v>82</v>
      </c>
      <c r="Q43" s="28" t="s">
        <v>83</v>
      </c>
      <c r="R43" s="32"/>
      <c r="S43" s="27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T43" s="26" t="s">
        <v>106</v>
      </c>
      <c r="U43" s="26" t="s">
        <v>85</v>
      </c>
      <c r="V43" s="33" t="n">
        <v>1400</v>
      </c>
      <c r="W43" s="27" t="s">
        <v>148</v>
      </c>
      <c r="X43" s="27" t="str">
        <f aca="false">IF($K43="","출고일 미정",IF($P43="X","작지 미발행",IF($P43="부분","작지 일부 미발행",IF(AND($R43&lt;&gt;"",$R43&gt;$N43),"소재입고 마감("&amp;TEXT($N43,"MM/DD")&amp;") 초과",IF($P43="","발행여부 확인 필요",IF($R43="","소재 입고일정 확인 필요","정상"))))))</f>
        <v>소재 입고일정 확인 필요</v>
      </c>
      <c r="Y43" s="25" t="str">
        <f aca="false">IF($K43="","",IF(OR(LEFT($X43,2)="작지",LEFT($X43,4)="소재입고"),IF(LEFT($G43,1)="S","★ 납기위험(S코드)","◆ 지연주의"),IF($X43="정상","✓ 정상","? 확인필요")))</f>
        <v>? 확인필요</v>
      </c>
      <c r="Z43" s="28"/>
      <c r="AA43" s="34"/>
    </row>
    <row r="44" customFormat="false" ht="15" hidden="false" customHeight="false" outlineLevel="0" collapsed="false">
      <c r="A44" s="25" t="n">
        <v>40</v>
      </c>
      <c r="B44" s="26" t="s">
        <v>199</v>
      </c>
      <c r="C44" s="26" t="s">
        <v>205</v>
      </c>
      <c r="D44" s="27" t="s">
        <v>217</v>
      </c>
      <c r="E44" s="26" t="s">
        <v>218</v>
      </c>
      <c r="F44" s="27" t="s">
        <v>219</v>
      </c>
      <c r="G44" s="25" t="str">
        <f aca="false">IF($D44="","",IF(MID($D44,5,1)="S","S(봄)",IF(MID($D44,5,1)="M","M(여름)",IF(MID($D44,5,1)="X","X(사계절)",MID($D44,5,1)))))</f>
        <v>S(봄)</v>
      </c>
      <c r="H44" s="26" t="s">
        <v>79</v>
      </c>
      <c r="I44" s="25"/>
      <c r="J44" s="28" t="s">
        <v>148</v>
      </c>
      <c r="K44" s="29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9" t="n">
        <f aca="false">IF($K44="","",IF(AND($K44-기준정보!$C$5&gt;=기준정보!$C$10,$K44-기준정보!$C$5&lt;=기준정보!$C$11),기준정보!$C$10-1,$K44-기준정보!$C$5))</f>
        <v>46388</v>
      </c>
      <c r="M44" s="30" t="n">
        <f aca="false">IF($L44="","",IF(OR(ISNUMBER(SEARCH("중국",$U44)),ISNUMBER(SEARCH("베트남",$U44))),MAX(0,MIN($L44,기준정보!$C$9)-MAX($L44-기준정보!$C$6,기준정보!$C$8)+1),IF(ISNUMBER(SEARCH("한국",$U44)),MAX(0,MIN($L44,기준정보!$C$11)-MAX($L44-기준정보!$C$6,기준정보!$C$10)+1),0)))</f>
        <v>0</v>
      </c>
      <c r="N44" s="29" t="n">
        <f aca="false">IF($L44="","",$L44-기준정보!$C$6-$M44)</f>
        <v>46298</v>
      </c>
      <c r="O44" s="31" t="n">
        <f aca="false">IF($N44="","",$N44-기준정보!$C$4)</f>
        <v>56</v>
      </c>
      <c r="P44" s="28" t="s">
        <v>82</v>
      </c>
      <c r="Q44" s="28" t="s">
        <v>83</v>
      </c>
      <c r="R44" s="32"/>
      <c r="S44" s="27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T44" s="26" t="s">
        <v>89</v>
      </c>
      <c r="U44" s="27"/>
      <c r="V44" s="33" t="n">
        <v>1000</v>
      </c>
      <c r="W44" s="27" t="s">
        <v>148</v>
      </c>
      <c r="X44" s="27" t="str">
        <f aca="false">IF($K44="","출고일 미정",IF($P44="X","작지 미발행",IF($P44="부분","작지 일부 미발행",IF(AND($R44&lt;&gt;"",$R44&gt;$N44),"소재입고 마감("&amp;TEXT($N44,"MM/DD")&amp;") 초과",IF($P44="","발행여부 확인 필요",IF($R44="","소재 입고일정 확인 필요","정상"))))))</f>
        <v>소재 입고일정 확인 필요</v>
      </c>
      <c r="Y44" s="25" t="str">
        <f aca="false">IF($K44="","",IF(OR(LEFT($X44,2)="작지",LEFT($X44,4)="소재입고"),IF(LEFT($G44,1)="S","★ 납기위험(S코드)","◆ 지연주의"),IF($X44="정상","✓ 정상","? 확인필요")))</f>
        <v>? 확인필요</v>
      </c>
      <c r="Z44" s="28"/>
      <c r="AA44" s="34"/>
    </row>
    <row r="45" customFormat="false" ht="15" hidden="false" customHeight="false" outlineLevel="0" collapsed="false">
      <c r="A45" s="25" t="n">
        <v>41</v>
      </c>
      <c r="B45" s="26" t="s">
        <v>220</v>
      </c>
      <c r="C45" s="26" t="s">
        <v>200</v>
      </c>
      <c r="D45" s="27" t="s">
        <v>221</v>
      </c>
      <c r="E45" s="26" t="s">
        <v>222</v>
      </c>
      <c r="F45" s="27" t="s">
        <v>223</v>
      </c>
      <c r="G45" s="25" t="str">
        <f aca="false">IF($D45="","",IF(MID($D45,5,1)="S","S(봄)",IF(MID($D45,5,1)="M","M(여름)",IF(MID($D45,5,1)="X","X(사계절)",MID($D45,5,1)))))</f>
        <v>S(봄)</v>
      </c>
      <c r="H45" s="26" t="s">
        <v>79</v>
      </c>
      <c r="I45" s="25"/>
      <c r="J45" s="28" t="s">
        <v>148</v>
      </c>
      <c r="K45" s="29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9" t="n">
        <f aca="false">IF($K45="","",IF(AND($K45-기준정보!$C$5&gt;=기준정보!$C$10,$K45-기준정보!$C$5&lt;=기준정보!$C$11),기준정보!$C$10-1,$K45-기준정보!$C$5))</f>
        <v>46388</v>
      </c>
      <c r="M45" s="30" t="n">
        <f aca="false">IF($L45="","",IF(OR(ISNUMBER(SEARCH("중국",$U45)),ISNUMBER(SEARCH("베트남",$U45))),MAX(0,MIN($L45,기준정보!$C$9)-MAX($L45-기준정보!$C$6,기준정보!$C$8)+1),IF(ISNUMBER(SEARCH("한국",$U45)),MAX(0,MIN($L45,기준정보!$C$11)-MAX($L45-기준정보!$C$6,기준정보!$C$10)+1),0)))</f>
        <v>0</v>
      </c>
      <c r="N45" s="29" t="n">
        <f aca="false">IF($L45="","",$L45-기준정보!$C$6-$M45)</f>
        <v>46298</v>
      </c>
      <c r="O45" s="31" t="n">
        <f aca="false">IF($N45="","",$N45-기준정보!$C$4)</f>
        <v>56</v>
      </c>
      <c r="P45" s="28" t="s">
        <v>82</v>
      </c>
      <c r="Q45" s="28" t="s">
        <v>83</v>
      </c>
      <c r="R45" s="32"/>
      <c r="S45" s="27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T45" s="26" t="s">
        <v>89</v>
      </c>
      <c r="U45" s="26" t="s">
        <v>90</v>
      </c>
      <c r="V45" s="33" t="n">
        <v>2500</v>
      </c>
      <c r="W45" s="27"/>
      <c r="X45" s="27" t="str">
        <f aca="false">IF($K45="","출고일 미정",IF($P45="X","작지 미발행",IF($P45="부분","작지 일부 미발행",IF(AND($R45&lt;&gt;"",$R45&gt;$N45),"소재입고 마감("&amp;TEXT($N45,"MM/DD")&amp;") 초과",IF($P45="","발행여부 확인 필요",IF($R45="","소재 입고일정 확인 필요","정상"))))))</f>
        <v>소재 입고일정 확인 필요</v>
      </c>
      <c r="Y45" s="25" t="str">
        <f aca="false">IF($K45="","",IF(OR(LEFT($X45,2)="작지",LEFT($X45,4)="소재입고"),IF(LEFT($G45,1)="S","★ 납기위험(S코드)","◆ 지연주의"),IF($X45="정상","✓ 정상","? 확인필요")))</f>
        <v>? 확인필요</v>
      </c>
      <c r="Z45" s="28"/>
      <c r="AA45" s="34"/>
    </row>
    <row r="46" customFormat="false" ht="15" hidden="false" customHeight="false" outlineLevel="0" collapsed="false">
      <c r="A46" s="25" t="n">
        <v>42</v>
      </c>
      <c r="B46" s="26" t="s">
        <v>224</v>
      </c>
      <c r="C46" s="26" t="s">
        <v>225</v>
      </c>
      <c r="D46" s="27" t="s">
        <v>226</v>
      </c>
      <c r="E46" s="26" t="s">
        <v>227</v>
      </c>
      <c r="F46" s="27" t="s">
        <v>105</v>
      </c>
      <c r="G46" s="25" t="str">
        <f aca="false">IF($D46="","",IF(MID($D46,5,1)="S","S(봄)",IF(MID($D46,5,1)="M","M(여름)",IF(MID($D46,5,1)="X","X(사계절)",MID($D46,5,1)))))</f>
        <v>S(봄)</v>
      </c>
      <c r="H46" s="27" t="s">
        <v>209</v>
      </c>
      <c r="I46" s="25" t="s">
        <v>228</v>
      </c>
      <c r="J46" s="28" t="s">
        <v>148</v>
      </c>
      <c r="K46" s="29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9" t="n">
        <f aca="false">IF($K46="","",IF(AND($K46-기준정보!$C$5&gt;=기준정보!$C$10,$K46-기준정보!$C$5&lt;=기준정보!$C$11),기준정보!$C$10-1,$K46-기준정보!$C$5))</f>
        <v>46388</v>
      </c>
      <c r="M46" s="30" t="n">
        <f aca="false">IF($L46="","",IF(OR(ISNUMBER(SEARCH("중국",$U46)),ISNUMBER(SEARCH("베트남",$U46))),MAX(0,MIN($L46,기준정보!$C$9)-MAX($L46-기준정보!$C$6,기준정보!$C$8)+1),IF(ISNUMBER(SEARCH("한국",$U46)),MAX(0,MIN($L46,기준정보!$C$11)-MAX($L46-기준정보!$C$6,기준정보!$C$10)+1),0)))</f>
        <v>0</v>
      </c>
      <c r="N46" s="29" t="n">
        <f aca="false">IF($L46="","",$L46-기준정보!$C$6-$M46)</f>
        <v>46298</v>
      </c>
      <c r="O46" s="31" t="n">
        <f aca="false">IF($N46="","",$N46-기준정보!$C$4)</f>
        <v>56</v>
      </c>
      <c r="P46" s="28" t="s">
        <v>82</v>
      </c>
      <c r="Q46" s="28" t="s">
        <v>83</v>
      </c>
      <c r="R46" s="32"/>
      <c r="S46" s="27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T46" s="26" t="s">
        <v>210</v>
      </c>
      <c r="U46" s="26" t="s">
        <v>85</v>
      </c>
      <c r="V46" s="33" t="n">
        <v>5500</v>
      </c>
      <c r="W46" s="27"/>
      <c r="X46" s="27" t="str">
        <f aca="false">IF($K46="","출고일 미정",IF($P46="X","작지 미발행",IF($P46="부분","작지 일부 미발행",IF(AND($R46&lt;&gt;"",$R46&gt;$N46),"소재입고 마감("&amp;TEXT($N46,"MM/DD")&amp;") 초과",IF($P46="","발행여부 확인 필요",IF($R46="","소재 입고일정 확인 필요","정상"))))))</f>
        <v>소재 입고일정 확인 필요</v>
      </c>
      <c r="Y46" s="25" t="str">
        <f aca="false">IF($K46="","",IF(OR(LEFT($X46,2)="작지",LEFT($X46,4)="소재입고"),IF(LEFT($G46,1)="S","★ 납기위험(S코드)","◆ 지연주의"),IF($X46="정상","✓ 정상","? 확인필요")))</f>
        <v>? 확인필요</v>
      </c>
      <c r="Z46" s="28"/>
      <c r="AA46" s="34"/>
    </row>
    <row r="47" customFormat="false" ht="15" hidden="false" customHeight="false" outlineLevel="0" collapsed="false">
      <c r="A47" s="25" t="n">
        <v>43</v>
      </c>
      <c r="B47" s="26" t="s">
        <v>224</v>
      </c>
      <c r="C47" s="26" t="s">
        <v>225</v>
      </c>
      <c r="D47" s="27" t="s">
        <v>229</v>
      </c>
      <c r="E47" s="26" t="s">
        <v>230</v>
      </c>
      <c r="F47" s="27" t="s">
        <v>231</v>
      </c>
      <c r="G47" s="25" t="str">
        <f aca="false">IF($D47="","",IF(MID($D47,5,1)="S","S(봄)",IF(MID($D47,5,1)="M","M(여름)",IF(MID($D47,5,1)="X","X(사계절)",MID($D47,5,1)))))</f>
        <v>S(봄)</v>
      </c>
      <c r="H47" s="27" t="s">
        <v>209</v>
      </c>
      <c r="I47" s="25" t="s">
        <v>228</v>
      </c>
      <c r="J47" s="28" t="s">
        <v>148</v>
      </c>
      <c r="K47" s="29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9" t="n">
        <f aca="false">IF($K47="","",IF(AND($K47-기준정보!$C$5&gt;=기준정보!$C$10,$K47-기준정보!$C$5&lt;=기준정보!$C$11),기준정보!$C$10-1,$K47-기준정보!$C$5))</f>
        <v>46388</v>
      </c>
      <c r="M47" s="30" t="n">
        <f aca="false">IF($L47="","",IF(OR(ISNUMBER(SEARCH("중국",$U47)),ISNUMBER(SEARCH("베트남",$U47))),MAX(0,MIN($L47,기준정보!$C$9)-MAX($L47-기준정보!$C$6,기준정보!$C$8)+1),IF(ISNUMBER(SEARCH("한국",$U47)),MAX(0,MIN($L47,기준정보!$C$11)-MAX($L47-기준정보!$C$6,기준정보!$C$10)+1),0)))</f>
        <v>0</v>
      </c>
      <c r="N47" s="29" t="n">
        <f aca="false">IF($L47="","",$L47-기준정보!$C$6-$M47)</f>
        <v>46298</v>
      </c>
      <c r="O47" s="31" t="n">
        <f aca="false">IF($N47="","",$N47-기준정보!$C$4)</f>
        <v>56</v>
      </c>
      <c r="P47" s="28" t="s">
        <v>82</v>
      </c>
      <c r="Q47" s="28" t="s">
        <v>83</v>
      </c>
      <c r="R47" s="32"/>
      <c r="S47" s="27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T47" s="26" t="s">
        <v>210</v>
      </c>
      <c r="U47" s="26" t="s">
        <v>85</v>
      </c>
      <c r="V47" s="33" t="n">
        <v>8000</v>
      </c>
      <c r="W47" s="27"/>
      <c r="X47" s="27" t="str">
        <f aca="false">IF($K47="","출고일 미정",IF($P47="X","작지 미발행",IF($P47="부분","작지 일부 미발행",IF(AND($R47&lt;&gt;"",$R47&gt;$N47),"소재입고 마감("&amp;TEXT($N47,"MM/DD")&amp;") 초과",IF($P47="","발행여부 확인 필요",IF($R47="","소재 입고일정 확인 필요","정상"))))))</f>
        <v>소재 입고일정 확인 필요</v>
      </c>
      <c r="Y47" s="25" t="str">
        <f aca="false">IF($K47="","",IF(OR(LEFT($X47,2)="작지",LEFT($X47,4)="소재입고"),IF(LEFT($G47,1)="S","★ 납기위험(S코드)","◆ 지연주의"),IF($X47="정상","✓ 정상","? 확인필요")))</f>
        <v>? 확인필요</v>
      </c>
      <c r="Z47" s="28"/>
      <c r="AA47" s="34"/>
    </row>
    <row r="48" customFormat="false" ht="15" hidden="false" customHeight="false" outlineLevel="0" collapsed="false">
      <c r="A48" s="25" t="n">
        <v>44</v>
      </c>
      <c r="B48" s="26" t="s">
        <v>224</v>
      </c>
      <c r="C48" s="26" t="s">
        <v>225</v>
      </c>
      <c r="D48" s="27" t="s">
        <v>232</v>
      </c>
      <c r="E48" s="26" t="s">
        <v>233</v>
      </c>
      <c r="F48" s="27" t="s">
        <v>234</v>
      </c>
      <c r="G48" s="25" t="str">
        <f aca="false">IF($D48="","",IF(MID($D48,5,1)="S","S(봄)",IF(MID($D48,5,1)="M","M(여름)",IF(MID($D48,5,1)="X","X(사계절)",MID($D48,5,1)))))</f>
        <v>S(봄)</v>
      </c>
      <c r="H48" s="26" t="s">
        <v>79</v>
      </c>
      <c r="I48" s="25" t="s">
        <v>228</v>
      </c>
      <c r="J48" s="28" t="s">
        <v>148</v>
      </c>
      <c r="K48" s="29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9" t="n">
        <f aca="false">IF($K48="","",IF(AND($K48-기준정보!$C$5&gt;=기준정보!$C$10,$K48-기준정보!$C$5&lt;=기준정보!$C$11),기준정보!$C$10-1,$K48-기준정보!$C$5))</f>
        <v>46388</v>
      </c>
      <c r="M48" s="30" t="n">
        <f aca="false">IF($L48="","",IF(OR(ISNUMBER(SEARCH("중국",$U48)),ISNUMBER(SEARCH("베트남",$U48))),MAX(0,MIN($L48,기준정보!$C$9)-MAX($L48-기준정보!$C$6,기준정보!$C$8)+1),IF(ISNUMBER(SEARCH("한국",$U48)),MAX(0,MIN($L48,기준정보!$C$11)-MAX($L48-기준정보!$C$6,기준정보!$C$10)+1),0)))</f>
        <v>0</v>
      </c>
      <c r="N48" s="29" t="n">
        <f aca="false">IF($L48="","",$L48-기준정보!$C$6-$M48)</f>
        <v>46298</v>
      </c>
      <c r="O48" s="31" t="n">
        <f aca="false">IF($N48="","",$N48-기준정보!$C$4)</f>
        <v>56</v>
      </c>
      <c r="P48" s="28" t="s">
        <v>82</v>
      </c>
      <c r="Q48" s="28" t="s">
        <v>83</v>
      </c>
      <c r="R48" s="32"/>
      <c r="S48" s="27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T48" s="27" t="s">
        <v>235</v>
      </c>
      <c r="U48" s="26" t="s">
        <v>85</v>
      </c>
      <c r="V48" s="33" t="n">
        <v>1800</v>
      </c>
      <c r="W48" s="27" t="s">
        <v>148</v>
      </c>
      <c r="X48" s="27" t="str">
        <f aca="false">IF($K48="","출고일 미정",IF($P48="X","작지 미발행",IF($P48="부분","작지 일부 미발행",IF(AND($R48&lt;&gt;"",$R48&gt;$N48),"소재입고 마감("&amp;TEXT($N48,"MM/DD")&amp;") 초과",IF($P48="","발행여부 확인 필요",IF($R48="","소재 입고일정 확인 필요","정상"))))))</f>
        <v>소재 입고일정 확인 필요</v>
      </c>
      <c r="Y48" s="25" t="str">
        <f aca="false">IF($K48="","",IF(OR(LEFT($X48,2)="작지",LEFT($X48,4)="소재입고"),IF(LEFT($G48,1)="S","★ 납기위험(S코드)","◆ 지연주의"),IF($X48="정상","✓ 정상","? 확인필요")))</f>
        <v>? 확인필요</v>
      </c>
      <c r="Z48" s="28"/>
      <c r="AA48" s="34"/>
    </row>
    <row r="49" customFormat="false" ht="15" hidden="false" customHeight="false" outlineLevel="0" collapsed="false">
      <c r="A49" s="25" t="n">
        <v>45</v>
      </c>
      <c r="B49" s="26" t="s">
        <v>224</v>
      </c>
      <c r="C49" s="26" t="s">
        <v>225</v>
      </c>
      <c r="D49" s="27" t="s">
        <v>236</v>
      </c>
      <c r="E49" s="26" t="s">
        <v>237</v>
      </c>
      <c r="F49" s="27" t="s">
        <v>238</v>
      </c>
      <c r="G49" s="25" t="str">
        <f aca="false">IF($D49="","",IF(MID($D49,5,1)="S","S(봄)",IF(MID($D49,5,1)="M","M(여름)",IF(MID($D49,5,1)="X","X(사계절)",MID($D49,5,1)))))</f>
        <v>S(봄)</v>
      </c>
      <c r="H49" s="26" t="s">
        <v>79</v>
      </c>
      <c r="I49" s="25" t="s">
        <v>228</v>
      </c>
      <c r="J49" s="28" t="s">
        <v>148</v>
      </c>
      <c r="K49" s="29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9" t="n">
        <f aca="false">IF($K49="","",IF(AND($K49-기준정보!$C$5&gt;=기준정보!$C$10,$K49-기준정보!$C$5&lt;=기준정보!$C$11),기준정보!$C$10-1,$K49-기준정보!$C$5))</f>
        <v>46388</v>
      </c>
      <c r="M49" s="30" t="n">
        <f aca="false">IF($L49="","",IF(OR(ISNUMBER(SEARCH("중국",$U49)),ISNUMBER(SEARCH("베트남",$U49))),MAX(0,MIN($L49,기준정보!$C$9)-MAX($L49-기준정보!$C$6,기준정보!$C$8)+1),IF(ISNUMBER(SEARCH("한국",$U49)),MAX(0,MIN($L49,기준정보!$C$11)-MAX($L49-기준정보!$C$6,기준정보!$C$10)+1),0)))</f>
        <v>0</v>
      </c>
      <c r="N49" s="29" t="n">
        <f aca="false">IF($L49="","",$L49-기준정보!$C$6-$M49)</f>
        <v>46298</v>
      </c>
      <c r="O49" s="31" t="n">
        <f aca="false">IF($N49="","",$N49-기준정보!$C$4)</f>
        <v>56</v>
      </c>
      <c r="P49" s="28" t="s">
        <v>82</v>
      </c>
      <c r="Q49" s="28" t="s">
        <v>83</v>
      </c>
      <c r="R49" s="32"/>
      <c r="S49" s="27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T49" s="26" t="s">
        <v>239</v>
      </c>
      <c r="U49" s="26" t="s">
        <v>85</v>
      </c>
      <c r="V49" s="33" t="n">
        <v>1600</v>
      </c>
      <c r="W49" s="27"/>
      <c r="X49" s="27" t="str">
        <f aca="false">IF($K49="","출고일 미정",IF($P49="X","작지 미발행",IF($P49="부분","작지 일부 미발행",IF(AND($R49&lt;&gt;"",$R49&gt;$N49),"소재입고 마감("&amp;TEXT($N49,"MM/DD")&amp;") 초과",IF($P49="","발행여부 확인 필요",IF($R49="","소재 입고일정 확인 필요","정상"))))))</f>
        <v>소재 입고일정 확인 필요</v>
      </c>
      <c r="Y49" s="25" t="str">
        <f aca="false">IF($K49="","",IF(OR(LEFT($X49,2)="작지",LEFT($X49,4)="소재입고"),IF(LEFT($G49,1)="S","★ 납기위험(S코드)","◆ 지연주의"),IF($X49="정상","✓ 정상","? 확인필요")))</f>
        <v>? 확인필요</v>
      </c>
      <c r="Z49" s="28"/>
      <c r="AA49" s="34"/>
    </row>
    <row r="50" customFormat="false" ht="15" hidden="false" customHeight="false" outlineLevel="0" collapsed="false">
      <c r="A50" s="25" t="n">
        <v>46</v>
      </c>
      <c r="B50" s="26" t="s">
        <v>220</v>
      </c>
      <c r="C50" s="26" t="s">
        <v>225</v>
      </c>
      <c r="D50" s="27" t="s">
        <v>240</v>
      </c>
      <c r="E50" s="26" t="s">
        <v>241</v>
      </c>
      <c r="F50" s="27" t="s">
        <v>242</v>
      </c>
      <c r="G50" s="25" t="str">
        <f aca="false">IF($D50="","",IF(MID($D50,5,1)="S","S(봄)",IF(MID($D50,5,1)="M","M(여름)",IF(MID($D50,5,1)="X","X(사계절)",MID($D50,5,1)))))</f>
        <v>S(봄)</v>
      </c>
      <c r="H50" s="26" t="s">
        <v>79</v>
      </c>
      <c r="I50" s="25"/>
      <c r="J50" s="28" t="s">
        <v>148</v>
      </c>
      <c r="K50" s="29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9" t="n">
        <f aca="false">IF($K50="","",IF(AND($K50-기준정보!$C$5&gt;=기준정보!$C$10,$K50-기준정보!$C$5&lt;=기준정보!$C$11),기준정보!$C$10-1,$K50-기준정보!$C$5))</f>
        <v>46388</v>
      </c>
      <c r="M50" s="30" t="n">
        <f aca="false">IF($L50="","",IF(OR(ISNUMBER(SEARCH("중국",$U50)),ISNUMBER(SEARCH("베트남",$U50))),MAX(0,MIN($L50,기준정보!$C$9)-MAX($L50-기준정보!$C$6,기준정보!$C$8)+1),IF(ISNUMBER(SEARCH("한국",$U50)),MAX(0,MIN($L50,기준정보!$C$11)-MAX($L50-기준정보!$C$6,기준정보!$C$10)+1),0)))</f>
        <v>0</v>
      </c>
      <c r="N50" s="29" t="n">
        <f aca="false">IF($L50="","",$L50-기준정보!$C$6-$M50)</f>
        <v>46298</v>
      </c>
      <c r="O50" s="31" t="n">
        <f aca="false">IF($N50="","",$N50-기준정보!$C$4)</f>
        <v>56</v>
      </c>
      <c r="P50" s="28" t="s">
        <v>82</v>
      </c>
      <c r="Q50" s="28" t="s">
        <v>83</v>
      </c>
      <c r="R50" s="32"/>
      <c r="S50" s="27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T50" s="27" t="s">
        <v>243</v>
      </c>
      <c r="U50" s="26" t="s">
        <v>90</v>
      </c>
      <c r="V50" s="33" t="n">
        <v>3000</v>
      </c>
      <c r="W50" s="27"/>
      <c r="X50" s="27" t="str">
        <f aca="false">IF($K50="","출고일 미정",IF($P50="X","작지 미발행",IF($P50="부분","작지 일부 미발행",IF(AND($R50&lt;&gt;"",$R50&gt;$N50),"소재입고 마감("&amp;TEXT($N50,"MM/DD")&amp;") 초과",IF($P50="","발행여부 확인 필요",IF($R50="","소재 입고일정 확인 필요","정상"))))))</f>
        <v>소재 입고일정 확인 필요</v>
      </c>
      <c r="Y50" s="25" t="str">
        <f aca="false">IF($K50="","",IF(OR(LEFT($X50,2)="작지",LEFT($X50,4)="소재입고"),IF(LEFT($G50,1)="S","★ 납기위험(S코드)","◆ 지연주의"),IF($X50="정상","✓ 정상","? 확인필요")))</f>
        <v>? 확인필요</v>
      </c>
      <c r="Z50" s="28"/>
      <c r="AA50" s="34"/>
    </row>
    <row r="51" customFormat="false" ht="15" hidden="false" customHeight="false" outlineLevel="0" collapsed="false">
      <c r="A51" s="25" t="n">
        <v>47</v>
      </c>
      <c r="B51" s="26" t="s">
        <v>220</v>
      </c>
      <c r="C51" s="26" t="s">
        <v>225</v>
      </c>
      <c r="D51" s="27" t="s">
        <v>244</v>
      </c>
      <c r="E51" s="26" t="s">
        <v>245</v>
      </c>
      <c r="F51" s="27" t="s">
        <v>246</v>
      </c>
      <c r="G51" s="25" t="str">
        <f aca="false">IF($D51="","",IF(MID($D51,5,1)="S","S(봄)",IF(MID($D51,5,1)="M","M(여름)",IF(MID($D51,5,1)="X","X(사계절)",MID($D51,5,1)))))</f>
        <v>S(봄)</v>
      </c>
      <c r="H51" s="26" t="s">
        <v>79</v>
      </c>
      <c r="I51" s="25"/>
      <c r="J51" s="28" t="s">
        <v>148</v>
      </c>
      <c r="K51" s="29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9" t="n">
        <f aca="false">IF($K51="","",IF(AND($K51-기준정보!$C$5&gt;=기준정보!$C$10,$K51-기준정보!$C$5&lt;=기준정보!$C$11),기준정보!$C$10-1,$K51-기준정보!$C$5))</f>
        <v>46388</v>
      </c>
      <c r="M51" s="30" t="n">
        <f aca="false">IF($L51="","",IF(OR(ISNUMBER(SEARCH("중국",$U51)),ISNUMBER(SEARCH("베트남",$U51))),MAX(0,MIN($L51,기준정보!$C$9)-MAX($L51-기준정보!$C$6,기준정보!$C$8)+1),IF(ISNUMBER(SEARCH("한국",$U51)),MAX(0,MIN($L51,기준정보!$C$11)-MAX($L51-기준정보!$C$6,기준정보!$C$10)+1),0)))</f>
        <v>0</v>
      </c>
      <c r="N51" s="29" t="n">
        <f aca="false">IF($L51="","",$L51-기준정보!$C$6-$M51)</f>
        <v>46298</v>
      </c>
      <c r="O51" s="31" t="n">
        <f aca="false">IF($N51="","",$N51-기준정보!$C$4)</f>
        <v>56</v>
      </c>
      <c r="P51" s="28" t="s">
        <v>82</v>
      </c>
      <c r="Q51" s="28" t="s">
        <v>83</v>
      </c>
      <c r="R51" s="32"/>
      <c r="S51" s="27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T51" s="27" t="s">
        <v>243</v>
      </c>
      <c r="U51" s="26" t="s">
        <v>90</v>
      </c>
      <c r="V51" s="33" t="n">
        <v>2000</v>
      </c>
      <c r="W51" s="27"/>
      <c r="X51" s="27" t="str">
        <f aca="false">IF($K51="","출고일 미정",IF($P51="X","작지 미발행",IF($P51="부분","작지 일부 미발행",IF(AND($R51&lt;&gt;"",$R51&gt;$N51),"소재입고 마감("&amp;TEXT($N51,"MM/DD")&amp;") 초과",IF($P51="","발행여부 확인 필요",IF($R51="","소재 입고일정 확인 필요","정상"))))))</f>
        <v>소재 입고일정 확인 필요</v>
      </c>
      <c r="Y51" s="25" t="str">
        <f aca="false">IF($K51="","",IF(OR(LEFT($X51,2)="작지",LEFT($X51,4)="소재입고"),IF(LEFT($G51,1)="S","★ 납기위험(S코드)","◆ 지연주의"),IF($X51="정상","✓ 정상","? 확인필요")))</f>
        <v>? 확인필요</v>
      </c>
      <c r="Z51" s="28"/>
      <c r="AA51" s="34"/>
    </row>
    <row r="52" customFormat="false" ht="15" hidden="false" customHeight="false" outlineLevel="0" collapsed="false">
      <c r="A52" s="25" t="n">
        <v>48</v>
      </c>
      <c r="B52" s="26" t="s">
        <v>220</v>
      </c>
      <c r="C52" s="26" t="s">
        <v>225</v>
      </c>
      <c r="D52" s="27" t="s">
        <v>247</v>
      </c>
      <c r="E52" s="26" t="s">
        <v>248</v>
      </c>
      <c r="F52" s="27" t="s">
        <v>249</v>
      </c>
      <c r="G52" s="25" t="str">
        <f aca="false">IF($D52="","",IF(MID($D52,5,1)="S","S(봄)",IF(MID($D52,5,1)="M","M(여름)",IF(MID($D52,5,1)="X","X(사계절)",MID($D52,5,1)))))</f>
        <v>S(봄)</v>
      </c>
      <c r="H52" s="26" t="s">
        <v>79</v>
      </c>
      <c r="I52" s="25"/>
      <c r="J52" s="28" t="s">
        <v>148</v>
      </c>
      <c r="K52" s="29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9" t="n">
        <f aca="false">IF($K52="","",IF(AND($K52-기준정보!$C$5&gt;=기준정보!$C$10,$K52-기준정보!$C$5&lt;=기준정보!$C$11),기준정보!$C$10-1,$K52-기준정보!$C$5))</f>
        <v>46388</v>
      </c>
      <c r="M52" s="30" t="n">
        <f aca="false">IF($L52="","",IF(OR(ISNUMBER(SEARCH("중국",$U52)),ISNUMBER(SEARCH("베트남",$U52))),MAX(0,MIN($L52,기준정보!$C$9)-MAX($L52-기준정보!$C$6,기준정보!$C$8)+1),IF(ISNUMBER(SEARCH("한국",$U52)),MAX(0,MIN($L52,기준정보!$C$11)-MAX($L52-기준정보!$C$6,기준정보!$C$10)+1),0)))</f>
        <v>0</v>
      </c>
      <c r="N52" s="29" t="n">
        <f aca="false">IF($L52="","",$L52-기준정보!$C$6-$M52)</f>
        <v>46298</v>
      </c>
      <c r="O52" s="31" t="n">
        <f aca="false">IF($N52="","",$N52-기준정보!$C$4)</f>
        <v>56</v>
      </c>
      <c r="P52" s="28" t="s">
        <v>82</v>
      </c>
      <c r="Q52" s="28" t="s">
        <v>83</v>
      </c>
      <c r="R52" s="32"/>
      <c r="S52" s="27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T52" s="27" t="s">
        <v>243</v>
      </c>
      <c r="U52" s="26" t="s">
        <v>90</v>
      </c>
      <c r="V52" s="33" t="n">
        <v>2000</v>
      </c>
      <c r="W52" s="27"/>
      <c r="X52" s="27" t="str">
        <f aca="false">IF($K52="","출고일 미정",IF($P52="X","작지 미발행",IF($P52="부분","작지 일부 미발행",IF(AND($R52&lt;&gt;"",$R52&gt;$N52),"소재입고 마감("&amp;TEXT($N52,"MM/DD")&amp;") 초과",IF($P52="","발행여부 확인 필요",IF($R52="","소재 입고일정 확인 필요","정상"))))))</f>
        <v>소재 입고일정 확인 필요</v>
      </c>
      <c r="Y52" s="25" t="str">
        <f aca="false">IF($K52="","",IF(OR(LEFT($X52,2)="작지",LEFT($X52,4)="소재입고"),IF(LEFT($G52,1)="S","★ 납기위험(S코드)","◆ 지연주의"),IF($X52="정상","✓ 정상","? 확인필요")))</f>
        <v>? 확인필요</v>
      </c>
      <c r="Z52" s="28"/>
      <c r="AA52" s="34"/>
    </row>
    <row r="53" customFormat="false" ht="15" hidden="false" customHeight="false" outlineLevel="0" collapsed="false">
      <c r="A53" s="25" t="n">
        <v>49</v>
      </c>
      <c r="B53" s="26" t="s">
        <v>220</v>
      </c>
      <c r="C53" s="26" t="s">
        <v>225</v>
      </c>
      <c r="D53" s="27" t="s">
        <v>250</v>
      </c>
      <c r="E53" s="26" t="s">
        <v>251</v>
      </c>
      <c r="F53" s="27" t="s">
        <v>252</v>
      </c>
      <c r="G53" s="25" t="str">
        <f aca="false">IF($D53="","",IF(MID($D53,5,1)="S","S(봄)",IF(MID($D53,5,1)="M","M(여름)",IF(MID($D53,5,1)="X","X(사계절)",MID($D53,5,1)))))</f>
        <v>S(봄)</v>
      </c>
      <c r="H53" s="26" t="s">
        <v>79</v>
      </c>
      <c r="I53" s="25"/>
      <c r="J53" s="28" t="s">
        <v>148</v>
      </c>
      <c r="K53" s="29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9" t="n">
        <f aca="false">IF($K53="","",IF(AND($K53-기준정보!$C$5&gt;=기준정보!$C$10,$K53-기준정보!$C$5&lt;=기준정보!$C$11),기준정보!$C$10-1,$K53-기준정보!$C$5))</f>
        <v>46388</v>
      </c>
      <c r="M53" s="30" t="n">
        <f aca="false">IF($L53="","",IF(OR(ISNUMBER(SEARCH("중국",$U53)),ISNUMBER(SEARCH("베트남",$U53))),MAX(0,MIN($L53,기준정보!$C$9)-MAX($L53-기준정보!$C$6,기준정보!$C$8)+1),IF(ISNUMBER(SEARCH("한국",$U53)),MAX(0,MIN($L53,기준정보!$C$11)-MAX($L53-기준정보!$C$6,기준정보!$C$10)+1),0)))</f>
        <v>0</v>
      </c>
      <c r="N53" s="29" t="n">
        <f aca="false">IF($L53="","",$L53-기준정보!$C$6-$M53)</f>
        <v>46298</v>
      </c>
      <c r="O53" s="31" t="n">
        <f aca="false">IF($N53="","",$N53-기준정보!$C$4)</f>
        <v>56</v>
      </c>
      <c r="P53" s="28" t="s">
        <v>82</v>
      </c>
      <c r="Q53" s="28" t="s">
        <v>83</v>
      </c>
      <c r="R53" s="32"/>
      <c r="S53" s="27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T53" s="26" t="s">
        <v>89</v>
      </c>
      <c r="U53" s="26" t="s">
        <v>90</v>
      </c>
      <c r="V53" s="33" t="n">
        <v>1200</v>
      </c>
      <c r="W53" s="27"/>
      <c r="X53" s="27" t="str">
        <f aca="false">IF($K53="","출고일 미정",IF($P53="X","작지 미발행",IF($P53="부분","작지 일부 미발행",IF(AND($R53&lt;&gt;"",$R53&gt;$N53),"소재입고 마감("&amp;TEXT($N53,"MM/DD")&amp;") 초과",IF($P53="","발행여부 확인 필요",IF($R53="","소재 입고일정 확인 필요","정상"))))))</f>
        <v>소재 입고일정 확인 필요</v>
      </c>
      <c r="Y53" s="25" t="str">
        <f aca="false">IF($K53="","",IF(OR(LEFT($X53,2)="작지",LEFT($X53,4)="소재입고"),IF(LEFT($G53,1)="S","★ 납기위험(S코드)","◆ 지연주의"),IF($X53="정상","✓ 정상","? 확인필요")))</f>
        <v>? 확인필요</v>
      </c>
      <c r="Z53" s="28"/>
      <c r="AA53" s="34"/>
    </row>
    <row r="54" customFormat="false" ht="15" hidden="false" customHeight="false" outlineLevel="0" collapsed="false">
      <c r="A54" s="25" t="n">
        <v>50</v>
      </c>
      <c r="B54" s="26" t="s">
        <v>253</v>
      </c>
      <c r="C54" s="26" t="s">
        <v>254</v>
      </c>
      <c r="D54" s="27" t="s">
        <v>255</v>
      </c>
      <c r="E54" s="26" t="s">
        <v>256</v>
      </c>
      <c r="F54" s="27" t="s">
        <v>257</v>
      </c>
      <c r="G54" s="25" t="str">
        <f aca="false">IF($D54="","",IF(MID($D54,5,1)="S","S(봄)",IF(MID($D54,5,1)="M","M(여름)",IF(MID($D54,5,1)="X","X(사계절)",MID($D54,5,1)))))</f>
        <v>S(봄)</v>
      </c>
      <c r="H54" s="26" t="s">
        <v>79</v>
      </c>
      <c r="I54" s="25"/>
      <c r="J54" s="28" t="s">
        <v>148</v>
      </c>
      <c r="K54" s="29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9" t="n">
        <f aca="false">IF($K54="","",IF(AND($K54-기준정보!$C$5&gt;=기준정보!$C$10,$K54-기준정보!$C$5&lt;=기준정보!$C$11),기준정보!$C$10-1,$K54-기준정보!$C$5))</f>
        <v>46388</v>
      </c>
      <c r="M54" s="30" t="n">
        <f aca="false">IF($L54="","",IF(OR(ISNUMBER(SEARCH("중국",$U54)),ISNUMBER(SEARCH("베트남",$U54))),MAX(0,MIN($L54,기준정보!$C$9)-MAX($L54-기준정보!$C$6,기준정보!$C$8)+1),IF(ISNUMBER(SEARCH("한국",$U54)),MAX(0,MIN($L54,기준정보!$C$11)-MAX($L54-기준정보!$C$6,기준정보!$C$10)+1),0)))</f>
        <v>0</v>
      </c>
      <c r="N54" s="29" t="n">
        <f aca="false">IF($L54="","",$L54-기준정보!$C$6-$M54)</f>
        <v>46298</v>
      </c>
      <c r="O54" s="31" t="n">
        <f aca="false">IF($N54="","",$N54-기준정보!$C$4)</f>
        <v>56</v>
      </c>
      <c r="P54" s="28" t="s">
        <v>82</v>
      </c>
      <c r="Q54" s="28" t="s">
        <v>83</v>
      </c>
      <c r="R54" s="32"/>
      <c r="S54" s="27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T54" s="26" t="s">
        <v>258</v>
      </c>
      <c r="U54" s="26" t="s">
        <v>85</v>
      </c>
      <c r="V54" s="33" t="n">
        <v>3000</v>
      </c>
      <c r="W54" s="27" t="s">
        <v>148</v>
      </c>
      <c r="X54" s="27" t="str">
        <f aca="false">IF($K54="","출고일 미정",IF($P54="X","작지 미발행",IF($P54="부분","작지 일부 미발행",IF(AND($R54&lt;&gt;"",$R54&gt;$N54),"소재입고 마감("&amp;TEXT($N54,"MM/DD")&amp;") 초과",IF($P54="","발행여부 확인 필요",IF($R54="","소재 입고일정 확인 필요","정상"))))))</f>
        <v>소재 입고일정 확인 필요</v>
      </c>
      <c r="Y54" s="25" t="str">
        <f aca="false">IF($K54="","",IF(OR(LEFT($X54,2)="작지",LEFT($X54,4)="소재입고"),IF(LEFT($G54,1)="S","★ 납기위험(S코드)","◆ 지연주의"),IF($X54="정상","✓ 정상","? 확인필요")))</f>
        <v>? 확인필요</v>
      </c>
      <c r="Z54" s="28"/>
      <c r="AA54" s="34"/>
    </row>
    <row r="55" customFormat="false" ht="15" hidden="false" customHeight="false" outlineLevel="0" collapsed="false">
      <c r="A55" s="25" t="n">
        <v>51</v>
      </c>
      <c r="B55" s="26" t="s">
        <v>253</v>
      </c>
      <c r="C55" s="26" t="s">
        <v>254</v>
      </c>
      <c r="D55" s="27" t="s">
        <v>259</v>
      </c>
      <c r="E55" s="26" t="s">
        <v>260</v>
      </c>
      <c r="F55" s="27" t="s">
        <v>261</v>
      </c>
      <c r="G55" s="25" t="str">
        <f aca="false">IF($D55="","",IF(MID($D55,5,1)="S","S(봄)",IF(MID($D55,5,1)="M","M(여름)",IF(MID($D55,5,1)="X","X(사계절)",MID($D55,5,1)))))</f>
        <v>S(봄)</v>
      </c>
      <c r="H55" s="26" t="s">
        <v>79</v>
      </c>
      <c r="I55" s="25"/>
      <c r="J55" s="28" t="s">
        <v>148</v>
      </c>
      <c r="K55" s="29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9" t="n">
        <f aca="false">IF($K55="","",IF(AND($K55-기준정보!$C$5&gt;=기준정보!$C$10,$K55-기준정보!$C$5&lt;=기준정보!$C$11),기준정보!$C$10-1,$K55-기준정보!$C$5))</f>
        <v>46388</v>
      </c>
      <c r="M55" s="30" t="n">
        <f aca="false">IF($L55="","",IF(OR(ISNUMBER(SEARCH("중국",$U55)),ISNUMBER(SEARCH("베트남",$U55))),MAX(0,MIN($L55,기준정보!$C$9)-MAX($L55-기준정보!$C$6,기준정보!$C$8)+1),IF(ISNUMBER(SEARCH("한국",$U55)),MAX(0,MIN($L55,기준정보!$C$11)-MAX($L55-기준정보!$C$6,기준정보!$C$10)+1),0)))</f>
        <v>0</v>
      </c>
      <c r="N55" s="29" t="n">
        <f aca="false">IF($L55="","",$L55-기준정보!$C$6-$M55)</f>
        <v>46298</v>
      </c>
      <c r="O55" s="31" t="n">
        <f aca="false">IF($N55="","",$N55-기준정보!$C$4)</f>
        <v>56</v>
      </c>
      <c r="P55" s="28" t="s">
        <v>82</v>
      </c>
      <c r="Q55" s="28" t="s">
        <v>83</v>
      </c>
      <c r="R55" s="32"/>
      <c r="S55" s="27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T55" s="26" t="s">
        <v>258</v>
      </c>
      <c r="U55" s="26" t="s">
        <v>85</v>
      </c>
      <c r="V55" s="33" t="n">
        <v>1700</v>
      </c>
      <c r="W55" s="27" t="s">
        <v>148</v>
      </c>
      <c r="X55" s="27" t="str">
        <f aca="false">IF($K55="","출고일 미정",IF($P55="X","작지 미발행",IF($P55="부분","작지 일부 미발행",IF(AND($R55&lt;&gt;"",$R55&gt;$N55),"소재입고 마감("&amp;TEXT($N55,"MM/DD")&amp;") 초과",IF($P55="","발행여부 확인 필요",IF($R55="","소재 입고일정 확인 필요","정상"))))))</f>
        <v>소재 입고일정 확인 필요</v>
      </c>
      <c r="Y55" s="25" t="str">
        <f aca="false">IF($K55="","",IF(OR(LEFT($X55,2)="작지",LEFT($X55,4)="소재입고"),IF(LEFT($G55,1)="S","★ 납기위험(S코드)","◆ 지연주의"),IF($X55="정상","✓ 정상","? 확인필요")))</f>
        <v>? 확인필요</v>
      </c>
      <c r="Z55" s="28"/>
      <c r="AA55" s="34"/>
    </row>
    <row r="56" customFormat="false" ht="15" hidden="false" customHeight="false" outlineLevel="0" collapsed="false">
      <c r="A56" s="25" t="n">
        <v>52</v>
      </c>
      <c r="B56" s="26" t="s">
        <v>253</v>
      </c>
      <c r="C56" s="26" t="s">
        <v>262</v>
      </c>
      <c r="D56" s="27" t="s">
        <v>263</v>
      </c>
      <c r="E56" s="26" t="s">
        <v>264</v>
      </c>
      <c r="F56" s="27" t="s">
        <v>265</v>
      </c>
      <c r="G56" s="25" t="str">
        <f aca="false">IF($D56="","",IF(MID($D56,5,1)="S","S(봄)",IF(MID($D56,5,1)="M","M(여름)",IF(MID($D56,5,1)="X","X(사계절)",MID($D56,5,1)))))</f>
        <v>S(봄)</v>
      </c>
      <c r="H56" s="26" t="s">
        <v>79</v>
      </c>
      <c r="I56" s="25"/>
      <c r="J56" s="28" t="s">
        <v>148</v>
      </c>
      <c r="K56" s="29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9" t="n">
        <f aca="false">IF($K56="","",IF(AND($K56-기준정보!$C$5&gt;=기준정보!$C$10,$K56-기준정보!$C$5&lt;=기준정보!$C$11),기준정보!$C$10-1,$K56-기준정보!$C$5))</f>
        <v>46388</v>
      </c>
      <c r="M56" s="30" t="n">
        <f aca="false">IF($L56="","",IF(OR(ISNUMBER(SEARCH("중국",$U56)),ISNUMBER(SEARCH("베트남",$U56))),MAX(0,MIN($L56,기준정보!$C$9)-MAX($L56-기준정보!$C$6,기준정보!$C$8)+1),IF(ISNUMBER(SEARCH("한국",$U56)),MAX(0,MIN($L56,기준정보!$C$11)-MAX($L56-기준정보!$C$6,기준정보!$C$10)+1),0)))</f>
        <v>0</v>
      </c>
      <c r="N56" s="29" t="n">
        <f aca="false">IF($L56="","",$L56-기준정보!$C$6-$M56)</f>
        <v>46298</v>
      </c>
      <c r="O56" s="31" t="n">
        <f aca="false">IF($N56="","",$N56-기준정보!$C$4)</f>
        <v>56</v>
      </c>
      <c r="P56" s="28" t="s">
        <v>82</v>
      </c>
      <c r="Q56" s="28" t="s">
        <v>83</v>
      </c>
      <c r="R56" s="32"/>
      <c r="S56" s="27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T56" s="26" t="s">
        <v>266</v>
      </c>
      <c r="U56" s="26" t="s">
        <v>85</v>
      </c>
      <c r="V56" s="33" t="n">
        <v>2600</v>
      </c>
      <c r="W56" s="27"/>
      <c r="X56" s="27" t="str">
        <f aca="false">IF($K56="","출고일 미정",IF($P56="X","작지 미발행",IF($P56="부분","작지 일부 미발행",IF(AND($R56&lt;&gt;"",$R56&gt;$N56),"소재입고 마감("&amp;TEXT($N56,"MM/DD")&amp;") 초과",IF($P56="","발행여부 확인 필요",IF($R56="","소재 입고일정 확인 필요","정상"))))))</f>
        <v>소재 입고일정 확인 필요</v>
      </c>
      <c r="Y56" s="25" t="str">
        <f aca="false">IF($K56="","",IF(OR(LEFT($X56,2)="작지",LEFT($X56,4)="소재입고"),IF(LEFT($G56,1)="S","★ 납기위험(S코드)","◆ 지연주의"),IF($X56="정상","✓ 정상","? 확인필요")))</f>
        <v>? 확인필요</v>
      </c>
      <c r="Z56" s="28"/>
      <c r="AA56" s="34"/>
    </row>
    <row r="57" customFormat="false" ht="15" hidden="false" customHeight="false" outlineLevel="0" collapsed="false">
      <c r="A57" s="25" t="n">
        <v>53</v>
      </c>
      <c r="B57" s="26" t="s">
        <v>267</v>
      </c>
      <c r="C57" s="26" t="s">
        <v>268</v>
      </c>
      <c r="D57" s="27" t="s">
        <v>269</v>
      </c>
      <c r="E57" s="26" t="s">
        <v>270</v>
      </c>
      <c r="F57" s="27" t="s">
        <v>271</v>
      </c>
      <c r="G57" s="25" t="str">
        <f aca="false">IF($D57="","",IF(MID($D57,5,1)="S","S(봄)",IF(MID($D57,5,1)="M","M(여름)",IF(MID($D57,5,1)="X","X(사계절)",MID($D57,5,1)))))</f>
        <v>S(봄)</v>
      </c>
      <c r="H57" s="27" t="s">
        <v>209</v>
      </c>
      <c r="I57" s="25" t="s">
        <v>272</v>
      </c>
      <c r="J57" s="28" t="s">
        <v>148</v>
      </c>
      <c r="K57" s="29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9" t="n">
        <f aca="false">IF($K57="","",IF(AND($K57-기준정보!$C$5&gt;=기준정보!$C$10,$K57-기준정보!$C$5&lt;=기준정보!$C$11),기준정보!$C$10-1,$K57-기준정보!$C$5))</f>
        <v>46388</v>
      </c>
      <c r="M57" s="30" t="n">
        <f aca="false">IF($L57="","",IF(OR(ISNUMBER(SEARCH("중국",$U57)),ISNUMBER(SEARCH("베트남",$U57))),MAX(0,MIN($L57,기준정보!$C$9)-MAX($L57-기준정보!$C$6,기준정보!$C$8)+1),IF(ISNUMBER(SEARCH("한국",$U57)),MAX(0,MIN($L57,기준정보!$C$11)-MAX($L57-기준정보!$C$6,기준정보!$C$10)+1),0)))</f>
        <v>0</v>
      </c>
      <c r="N57" s="29" t="n">
        <f aca="false">IF($L57="","",$L57-기준정보!$C$6-$M57)</f>
        <v>46298</v>
      </c>
      <c r="O57" s="31" t="n">
        <f aca="false">IF($N57="","",$N57-기준정보!$C$4)</f>
        <v>56</v>
      </c>
      <c r="P57" s="28" t="s">
        <v>82</v>
      </c>
      <c r="Q57" s="28" t="s">
        <v>83</v>
      </c>
      <c r="R57" s="32"/>
      <c r="S57" s="27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T57" s="26" t="s">
        <v>99</v>
      </c>
      <c r="U57" s="26" t="s">
        <v>85</v>
      </c>
      <c r="V57" s="33" t="n">
        <v>2500</v>
      </c>
      <c r="W57" s="27"/>
      <c r="X57" s="27" t="str">
        <f aca="false">IF($K57="","출고일 미정",IF($P57="X","작지 미발행",IF($P57="부분","작지 일부 미발행",IF(AND($R57&lt;&gt;"",$R57&gt;$N57),"소재입고 마감("&amp;TEXT($N57,"MM/DD")&amp;") 초과",IF($P57="","발행여부 확인 필요",IF($R57="","소재 입고일정 확인 필요","정상"))))))</f>
        <v>소재 입고일정 확인 필요</v>
      </c>
      <c r="Y57" s="25" t="str">
        <f aca="false">IF($K57="","",IF(OR(LEFT($X57,2)="작지",LEFT($X57,4)="소재입고"),IF(LEFT($G57,1)="S","★ 납기위험(S코드)","◆ 지연주의"),IF($X57="정상","✓ 정상","? 확인필요")))</f>
        <v>? 확인필요</v>
      </c>
      <c r="Z57" s="28"/>
      <c r="AA57" s="34"/>
    </row>
    <row r="58" customFormat="false" ht="15" hidden="false" customHeight="false" outlineLevel="0" collapsed="false">
      <c r="A58" s="25" t="n">
        <v>54</v>
      </c>
      <c r="B58" s="26" t="s">
        <v>267</v>
      </c>
      <c r="C58" s="26" t="s">
        <v>268</v>
      </c>
      <c r="D58" s="27" t="s">
        <v>273</v>
      </c>
      <c r="E58" s="26" t="s">
        <v>274</v>
      </c>
      <c r="F58" s="27" t="s">
        <v>275</v>
      </c>
      <c r="G58" s="25" t="str">
        <f aca="false">IF($D58="","",IF(MID($D58,5,1)="S","S(봄)",IF(MID($D58,5,1)="M","M(여름)",IF(MID($D58,5,1)="X","X(사계절)",MID($D58,5,1)))))</f>
        <v>S(봄)</v>
      </c>
      <c r="H58" s="27" t="s">
        <v>209</v>
      </c>
      <c r="I58" s="25" t="s">
        <v>272</v>
      </c>
      <c r="J58" s="28" t="s">
        <v>148</v>
      </c>
      <c r="K58" s="29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9" t="n">
        <f aca="false">IF($K58="","",IF(AND($K58-기준정보!$C$5&gt;=기준정보!$C$10,$K58-기준정보!$C$5&lt;=기준정보!$C$11),기준정보!$C$10-1,$K58-기준정보!$C$5))</f>
        <v>46388</v>
      </c>
      <c r="M58" s="30" t="n">
        <f aca="false">IF($L58="","",IF(OR(ISNUMBER(SEARCH("중국",$U58)),ISNUMBER(SEARCH("베트남",$U58))),MAX(0,MIN($L58,기준정보!$C$9)-MAX($L58-기준정보!$C$6,기준정보!$C$8)+1),IF(ISNUMBER(SEARCH("한국",$U58)),MAX(0,MIN($L58,기준정보!$C$11)-MAX($L58-기준정보!$C$6,기준정보!$C$10)+1),0)))</f>
        <v>0</v>
      </c>
      <c r="N58" s="29" t="n">
        <f aca="false">IF($L58="","",$L58-기준정보!$C$6-$M58)</f>
        <v>46298</v>
      </c>
      <c r="O58" s="31" t="n">
        <f aca="false">IF($N58="","",$N58-기준정보!$C$4)</f>
        <v>56</v>
      </c>
      <c r="P58" s="28" t="s">
        <v>82</v>
      </c>
      <c r="Q58" s="28" t="s">
        <v>83</v>
      </c>
      <c r="R58" s="32"/>
      <c r="S58" s="27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T58" s="27" t="s">
        <v>243</v>
      </c>
      <c r="U58" s="26" t="s">
        <v>85</v>
      </c>
      <c r="V58" s="33" t="n">
        <v>1400</v>
      </c>
      <c r="W58" s="27"/>
      <c r="X58" s="27" t="str">
        <f aca="false">IF($K58="","출고일 미정",IF($P58="X","작지 미발행",IF($P58="부분","작지 일부 미발행",IF(AND($R58&lt;&gt;"",$R58&gt;$N58),"소재입고 마감("&amp;TEXT($N58,"MM/DD")&amp;") 초과",IF($P58="","발행여부 확인 필요",IF($R58="","소재 입고일정 확인 필요","정상"))))))</f>
        <v>소재 입고일정 확인 필요</v>
      </c>
      <c r="Y58" s="25" t="str">
        <f aca="false">IF($K58="","",IF(OR(LEFT($X58,2)="작지",LEFT($X58,4)="소재입고"),IF(LEFT($G58,1)="S","★ 납기위험(S코드)","◆ 지연주의"),IF($X58="정상","✓ 정상","? 확인필요")))</f>
        <v>? 확인필요</v>
      </c>
      <c r="Z58" s="28"/>
      <c r="AA58" s="34"/>
    </row>
    <row r="59" customFormat="false" ht="15" hidden="false" customHeight="false" outlineLevel="0" collapsed="false">
      <c r="A59" s="25" t="n">
        <v>55</v>
      </c>
      <c r="B59" s="26" t="s">
        <v>267</v>
      </c>
      <c r="C59" s="26" t="s">
        <v>254</v>
      </c>
      <c r="D59" s="27" t="s">
        <v>276</v>
      </c>
      <c r="E59" s="26" t="s">
        <v>277</v>
      </c>
      <c r="F59" s="27" t="s">
        <v>271</v>
      </c>
      <c r="G59" s="25" t="str">
        <f aca="false">IF($D59="","",IF(MID($D59,5,1)="S","S(봄)",IF(MID($D59,5,1)="M","M(여름)",IF(MID($D59,5,1)="X","X(사계절)",MID($D59,5,1)))))</f>
        <v>S(봄)</v>
      </c>
      <c r="H59" s="26" t="s">
        <v>79</v>
      </c>
      <c r="I59" s="25" t="s">
        <v>272</v>
      </c>
      <c r="J59" s="28" t="s">
        <v>148</v>
      </c>
      <c r="K59" s="29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9" t="n">
        <f aca="false">IF($K59="","",IF(AND($K59-기준정보!$C$5&gt;=기준정보!$C$10,$K59-기준정보!$C$5&lt;=기준정보!$C$11),기준정보!$C$10-1,$K59-기준정보!$C$5))</f>
        <v>46388</v>
      </c>
      <c r="M59" s="30" t="n">
        <f aca="false">IF($L59="","",IF(OR(ISNUMBER(SEARCH("중국",$U59)),ISNUMBER(SEARCH("베트남",$U59))),MAX(0,MIN($L59,기준정보!$C$9)-MAX($L59-기준정보!$C$6,기준정보!$C$8)+1),IF(ISNUMBER(SEARCH("한국",$U59)),MAX(0,MIN($L59,기준정보!$C$11)-MAX($L59-기준정보!$C$6,기준정보!$C$10)+1),0)))</f>
        <v>0</v>
      </c>
      <c r="N59" s="29" t="n">
        <f aca="false">IF($L59="","",$L59-기준정보!$C$6-$M59)</f>
        <v>46298</v>
      </c>
      <c r="O59" s="31" t="n">
        <f aca="false">IF($N59="","",$N59-기준정보!$C$4)</f>
        <v>56</v>
      </c>
      <c r="P59" s="28" t="s">
        <v>82</v>
      </c>
      <c r="Q59" s="28" t="s">
        <v>83</v>
      </c>
      <c r="R59" s="32"/>
      <c r="S59" s="27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T59" s="26" t="s">
        <v>266</v>
      </c>
      <c r="U59" s="26" t="s">
        <v>85</v>
      </c>
      <c r="V59" s="33" t="n">
        <v>2200</v>
      </c>
      <c r="W59" s="27"/>
      <c r="X59" s="27" t="str">
        <f aca="false">IF($K59="","출고일 미정",IF($P59="X","작지 미발행",IF($P59="부분","작지 일부 미발행",IF(AND($R59&lt;&gt;"",$R59&gt;$N59),"소재입고 마감("&amp;TEXT($N59,"MM/DD")&amp;") 초과",IF($P59="","발행여부 확인 필요",IF($R59="","소재 입고일정 확인 필요","정상"))))))</f>
        <v>소재 입고일정 확인 필요</v>
      </c>
      <c r="Y59" s="25" t="str">
        <f aca="false">IF($K59="","",IF(OR(LEFT($X59,2)="작지",LEFT($X59,4)="소재입고"),IF(LEFT($G59,1)="S","★ 납기위험(S코드)","◆ 지연주의"),IF($X59="정상","✓ 정상","? 확인필요")))</f>
        <v>? 확인필요</v>
      </c>
      <c r="Z59" s="28"/>
      <c r="AA59" s="34"/>
    </row>
    <row r="60" customFormat="false" ht="15" hidden="false" customHeight="false" outlineLevel="0" collapsed="false">
      <c r="A60" s="25" t="n">
        <v>56</v>
      </c>
      <c r="B60" s="26" t="s">
        <v>199</v>
      </c>
      <c r="C60" s="26" t="s">
        <v>254</v>
      </c>
      <c r="D60" s="27" t="s">
        <v>278</v>
      </c>
      <c r="E60" s="26" t="s">
        <v>279</v>
      </c>
      <c r="F60" s="27" t="s">
        <v>280</v>
      </c>
      <c r="G60" s="25" t="str">
        <f aca="false">IF($D60="","",IF(MID($D60,5,1)="S","S(봄)",IF(MID($D60,5,1)="M","M(여름)",IF(MID($D60,5,1)="X","X(사계절)",MID($D60,5,1)))))</f>
        <v>S(봄)</v>
      </c>
      <c r="H60" s="26" t="s">
        <v>79</v>
      </c>
      <c r="I60" s="25"/>
      <c r="J60" s="28" t="s">
        <v>148</v>
      </c>
      <c r="K60" s="29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9" t="n">
        <f aca="false">IF($K60="","",IF(AND($K60-기준정보!$C$5&gt;=기준정보!$C$10,$K60-기준정보!$C$5&lt;=기준정보!$C$11),기준정보!$C$10-1,$K60-기준정보!$C$5))</f>
        <v>46388</v>
      </c>
      <c r="M60" s="30" t="n">
        <f aca="false">IF($L60="","",IF(OR(ISNUMBER(SEARCH("중국",$U60)),ISNUMBER(SEARCH("베트남",$U60))),MAX(0,MIN($L60,기준정보!$C$9)-MAX($L60-기준정보!$C$6,기준정보!$C$8)+1),IF(ISNUMBER(SEARCH("한국",$U60)),MAX(0,MIN($L60,기준정보!$C$11)-MAX($L60-기준정보!$C$6,기준정보!$C$10)+1),0)))</f>
        <v>0</v>
      </c>
      <c r="N60" s="29" t="n">
        <f aca="false">IF($L60="","",$L60-기준정보!$C$6-$M60)</f>
        <v>46298</v>
      </c>
      <c r="O60" s="31" t="n">
        <f aca="false">IF($N60="","",$N60-기준정보!$C$4)</f>
        <v>56</v>
      </c>
      <c r="P60" s="28" t="s">
        <v>82</v>
      </c>
      <c r="Q60" s="28"/>
      <c r="R60" s="32"/>
      <c r="S60" s="27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T60" s="26" t="s">
        <v>266</v>
      </c>
      <c r="U60" s="27"/>
      <c r="V60" s="33" t="n">
        <v>3000</v>
      </c>
      <c r="W60" s="27" t="s">
        <v>148</v>
      </c>
      <c r="X60" s="27" t="str">
        <f aca="false">IF($K60="","출고일 미정",IF($P60="X","작지 미발행",IF($P60="부분","작지 일부 미발행",IF(AND($R60&lt;&gt;"",$R60&gt;$N60),"소재입고 마감("&amp;TEXT($N60,"MM/DD")&amp;") 초과",IF($P60="","발행여부 확인 필요",IF($R60="","소재 입고일정 확인 필요","정상"))))))</f>
        <v>소재 입고일정 확인 필요</v>
      </c>
      <c r="Y60" s="25" t="str">
        <f aca="false">IF($K60="","",IF(OR(LEFT($X60,2)="작지",LEFT($X60,4)="소재입고"),IF(LEFT($G60,1)="S","★ 납기위험(S코드)","◆ 지연주의"),IF($X60="정상","✓ 정상","? 확인필요")))</f>
        <v>? 확인필요</v>
      </c>
      <c r="Z60" s="28"/>
      <c r="AA60" s="34"/>
    </row>
    <row r="61" customFormat="false" ht="15" hidden="false" customHeight="false" outlineLevel="0" collapsed="false">
      <c r="A61" s="25" t="n">
        <v>57</v>
      </c>
      <c r="B61" s="26" t="s">
        <v>267</v>
      </c>
      <c r="C61" s="26" t="s">
        <v>254</v>
      </c>
      <c r="D61" s="27" t="s">
        <v>281</v>
      </c>
      <c r="E61" s="26" t="s">
        <v>282</v>
      </c>
      <c r="F61" s="27" t="s">
        <v>283</v>
      </c>
      <c r="G61" s="25" t="str">
        <f aca="false">IF($D61="","",IF(MID($D61,5,1)="S","S(봄)",IF(MID($D61,5,1)="M","M(여름)",IF(MID($D61,5,1)="X","X(사계절)",MID($D61,5,1)))))</f>
        <v>S(봄)</v>
      </c>
      <c r="H61" s="26" t="s">
        <v>79</v>
      </c>
      <c r="I61" s="25" t="s">
        <v>272</v>
      </c>
      <c r="J61" s="28" t="s">
        <v>148</v>
      </c>
      <c r="K61" s="29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9" t="n">
        <f aca="false">IF($K61="","",IF(AND($K61-기준정보!$C$5&gt;=기준정보!$C$10,$K61-기준정보!$C$5&lt;=기준정보!$C$11),기준정보!$C$10-1,$K61-기준정보!$C$5))</f>
        <v>46388</v>
      </c>
      <c r="M61" s="30" t="n">
        <f aca="false">IF($L61="","",IF(OR(ISNUMBER(SEARCH("중국",$U61)),ISNUMBER(SEARCH("베트남",$U61))),MAX(0,MIN($L61,기준정보!$C$9)-MAX($L61-기준정보!$C$6,기준정보!$C$8)+1),IF(ISNUMBER(SEARCH("한국",$U61)),MAX(0,MIN($L61,기준정보!$C$11)-MAX($L61-기준정보!$C$6,기준정보!$C$10)+1),0)))</f>
        <v>0</v>
      </c>
      <c r="N61" s="29" t="n">
        <f aca="false">IF($L61="","",$L61-기준정보!$C$6-$M61)</f>
        <v>46298</v>
      </c>
      <c r="O61" s="31" t="n">
        <f aca="false">IF($N61="","",$N61-기준정보!$C$4)</f>
        <v>56</v>
      </c>
      <c r="P61" s="28" t="s">
        <v>82</v>
      </c>
      <c r="Q61" s="28" t="s">
        <v>83</v>
      </c>
      <c r="R61" s="32"/>
      <c r="S61" s="27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T61" s="26" t="s">
        <v>84</v>
      </c>
      <c r="U61" s="26" t="s">
        <v>85</v>
      </c>
      <c r="V61" s="33" t="n">
        <v>2500</v>
      </c>
      <c r="W61" s="27"/>
      <c r="X61" s="27" t="str">
        <f aca="false">IF($K61="","출고일 미정",IF($P61="X","작지 미발행",IF($P61="부분","작지 일부 미발행",IF(AND($R61&lt;&gt;"",$R61&gt;$N61),"소재입고 마감("&amp;TEXT($N61,"MM/DD")&amp;") 초과",IF($P61="","발행여부 확인 필요",IF($R61="","소재 입고일정 확인 필요","정상"))))))</f>
        <v>소재 입고일정 확인 필요</v>
      </c>
      <c r="Y61" s="25" t="str">
        <f aca="false">IF($K61="","",IF(OR(LEFT($X61,2)="작지",LEFT($X61,4)="소재입고"),IF(LEFT($G61,1)="S","★ 납기위험(S코드)","◆ 지연주의"),IF($X61="정상","✓ 정상","? 확인필요")))</f>
        <v>? 확인필요</v>
      </c>
      <c r="Z61" s="28"/>
      <c r="AA61" s="34"/>
    </row>
    <row r="62" customFormat="false" ht="15" hidden="false" customHeight="false" outlineLevel="0" collapsed="false">
      <c r="A62" s="25" t="n">
        <v>58</v>
      </c>
      <c r="B62" s="26" t="s">
        <v>267</v>
      </c>
      <c r="C62" s="26" t="s">
        <v>254</v>
      </c>
      <c r="D62" s="27" t="s">
        <v>284</v>
      </c>
      <c r="E62" s="26" t="s">
        <v>285</v>
      </c>
      <c r="F62" s="27" t="s">
        <v>286</v>
      </c>
      <c r="G62" s="25" t="str">
        <f aca="false">IF($D62="","",IF(MID($D62,5,1)="S","S(봄)",IF(MID($D62,5,1)="M","M(여름)",IF(MID($D62,5,1)="X","X(사계절)",MID($D62,5,1)))))</f>
        <v>S(봄)</v>
      </c>
      <c r="H62" s="26" t="s">
        <v>79</v>
      </c>
      <c r="I62" s="25" t="s">
        <v>80</v>
      </c>
      <c r="J62" s="28" t="s">
        <v>148</v>
      </c>
      <c r="K62" s="29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9" t="n">
        <f aca="false">IF($K62="","",IF(AND($K62-기준정보!$C$5&gt;=기준정보!$C$10,$K62-기준정보!$C$5&lt;=기준정보!$C$11),기준정보!$C$10-1,$K62-기준정보!$C$5))</f>
        <v>46388</v>
      </c>
      <c r="M62" s="30" t="n">
        <f aca="false">IF($L62="","",IF(OR(ISNUMBER(SEARCH("중국",$U62)),ISNUMBER(SEARCH("베트남",$U62))),MAX(0,MIN($L62,기준정보!$C$9)-MAX($L62-기준정보!$C$6,기준정보!$C$8)+1),IF(ISNUMBER(SEARCH("한국",$U62)),MAX(0,MIN($L62,기준정보!$C$11)-MAX($L62-기준정보!$C$6,기준정보!$C$10)+1),0)))</f>
        <v>0</v>
      </c>
      <c r="N62" s="29" t="n">
        <f aca="false">IF($L62="","",$L62-기준정보!$C$6-$M62)</f>
        <v>46298</v>
      </c>
      <c r="O62" s="31" t="n">
        <f aca="false">IF($N62="","",$N62-기준정보!$C$4)</f>
        <v>56</v>
      </c>
      <c r="P62" s="28" t="s">
        <v>82</v>
      </c>
      <c r="Q62" s="28" t="s">
        <v>83</v>
      </c>
      <c r="R62" s="32"/>
      <c r="S62" s="27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T62" s="26" t="s">
        <v>258</v>
      </c>
      <c r="U62" s="26" t="s">
        <v>85</v>
      </c>
      <c r="V62" s="33" t="n">
        <v>1800</v>
      </c>
      <c r="W62" s="27"/>
      <c r="X62" s="27" t="str">
        <f aca="false">IF($K62="","출고일 미정",IF($P62="X","작지 미발행",IF($P62="부분","작지 일부 미발행",IF(AND($R62&lt;&gt;"",$R62&gt;$N62),"소재입고 마감("&amp;TEXT($N62,"MM/DD")&amp;") 초과",IF($P62="","발행여부 확인 필요",IF($R62="","소재 입고일정 확인 필요","정상"))))))</f>
        <v>소재 입고일정 확인 필요</v>
      </c>
      <c r="Y62" s="25" t="str">
        <f aca="false">IF($K62="","",IF(OR(LEFT($X62,2)="작지",LEFT($X62,4)="소재입고"),IF(LEFT($G62,1)="S","★ 납기위험(S코드)","◆ 지연주의"),IF($X62="정상","✓ 정상","? 확인필요")))</f>
        <v>? 확인필요</v>
      </c>
      <c r="Z62" s="28"/>
      <c r="AA62" s="34"/>
    </row>
    <row r="63" customFormat="false" ht="15" hidden="false" customHeight="false" outlineLevel="0" collapsed="false">
      <c r="A63" s="25" t="n">
        <v>59</v>
      </c>
      <c r="B63" s="26" t="s">
        <v>267</v>
      </c>
      <c r="C63" s="26" t="s">
        <v>254</v>
      </c>
      <c r="D63" s="27" t="s">
        <v>287</v>
      </c>
      <c r="E63" s="26" t="s">
        <v>288</v>
      </c>
      <c r="F63" s="27" t="s">
        <v>289</v>
      </c>
      <c r="G63" s="25" t="str">
        <f aca="false">IF($D63="","",IF(MID($D63,5,1)="S","S(봄)",IF(MID($D63,5,1)="M","M(여름)",IF(MID($D63,5,1)="X","X(사계절)",MID($D63,5,1)))))</f>
        <v>S(봄)</v>
      </c>
      <c r="H63" s="26" t="s">
        <v>79</v>
      </c>
      <c r="I63" s="25" t="s">
        <v>80</v>
      </c>
      <c r="J63" s="28" t="s">
        <v>148</v>
      </c>
      <c r="K63" s="29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9" t="n">
        <f aca="false">IF($K63="","",IF(AND($K63-기준정보!$C$5&gt;=기준정보!$C$10,$K63-기준정보!$C$5&lt;=기준정보!$C$11),기준정보!$C$10-1,$K63-기준정보!$C$5))</f>
        <v>46388</v>
      </c>
      <c r="M63" s="30" t="n">
        <f aca="false">IF($L63="","",IF(OR(ISNUMBER(SEARCH("중국",$U63)),ISNUMBER(SEARCH("베트남",$U63))),MAX(0,MIN($L63,기준정보!$C$9)-MAX($L63-기준정보!$C$6,기준정보!$C$8)+1),IF(ISNUMBER(SEARCH("한국",$U63)),MAX(0,MIN($L63,기준정보!$C$11)-MAX($L63-기준정보!$C$6,기준정보!$C$10)+1),0)))</f>
        <v>0</v>
      </c>
      <c r="N63" s="29" t="n">
        <f aca="false">IF($L63="","",$L63-기준정보!$C$6-$M63)</f>
        <v>46298</v>
      </c>
      <c r="O63" s="31" t="n">
        <f aca="false">IF($N63="","",$N63-기준정보!$C$4)</f>
        <v>56</v>
      </c>
      <c r="P63" s="28" t="s">
        <v>82</v>
      </c>
      <c r="Q63" s="28" t="s">
        <v>83</v>
      </c>
      <c r="R63" s="32"/>
      <c r="S63" s="27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T63" s="26" t="s">
        <v>266</v>
      </c>
      <c r="U63" s="26" t="s">
        <v>85</v>
      </c>
      <c r="V63" s="33" t="n">
        <v>4000</v>
      </c>
      <c r="W63" s="27"/>
      <c r="X63" s="27" t="str">
        <f aca="false">IF($K63="","출고일 미정",IF($P63="X","작지 미발행",IF($P63="부분","작지 일부 미발행",IF(AND($R63&lt;&gt;"",$R63&gt;$N63),"소재입고 마감("&amp;TEXT($N63,"MM/DD")&amp;") 초과",IF($P63="","발행여부 확인 필요",IF($R63="","소재 입고일정 확인 필요","정상"))))))</f>
        <v>소재 입고일정 확인 필요</v>
      </c>
      <c r="Y63" s="25" t="str">
        <f aca="false">IF($K63="","",IF(OR(LEFT($X63,2)="작지",LEFT($X63,4)="소재입고"),IF(LEFT($G63,1)="S","★ 납기위험(S코드)","◆ 지연주의"),IF($X63="정상","✓ 정상","? 확인필요")))</f>
        <v>? 확인필요</v>
      </c>
      <c r="Z63" s="28"/>
      <c r="AA63" s="34"/>
    </row>
    <row r="64" customFormat="false" ht="15" hidden="false" customHeight="false" outlineLevel="0" collapsed="false">
      <c r="A64" s="25" t="n">
        <v>60</v>
      </c>
      <c r="B64" s="26" t="s">
        <v>267</v>
      </c>
      <c r="C64" s="26" t="s">
        <v>254</v>
      </c>
      <c r="D64" s="27" t="s">
        <v>290</v>
      </c>
      <c r="E64" s="26" t="s">
        <v>291</v>
      </c>
      <c r="F64" s="27" t="s">
        <v>292</v>
      </c>
      <c r="G64" s="25" t="str">
        <f aca="false">IF($D64="","",IF(MID($D64,5,1)="S","S(봄)",IF(MID($D64,5,1)="M","M(여름)",IF(MID($D64,5,1)="X","X(사계절)",MID($D64,5,1)))))</f>
        <v>S(봄)</v>
      </c>
      <c r="H64" s="26" t="s">
        <v>79</v>
      </c>
      <c r="I64" s="25" t="s">
        <v>80</v>
      </c>
      <c r="J64" s="28" t="s">
        <v>148</v>
      </c>
      <c r="K64" s="29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9" t="n">
        <f aca="false">IF($K64="","",IF(AND($K64-기준정보!$C$5&gt;=기준정보!$C$10,$K64-기준정보!$C$5&lt;=기준정보!$C$11),기준정보!$C$10-1,$K64-기준정보!$C$5))</f>
        <v>46388</v>
      </c>
      <c r="M64" s="30" t="n">
        <f aca="false">IF($L64="","",IF(OR(ISNUMBER(SEARCH("중국",$U64)),ISNUMBER(SEARCH("베트남",$U64))),MAX(0,MIN($L64,기준정보!$C$9)-MAX($L64-기준정보!$C$6,기준정보!$C$8)+1),IF(ISNUMBER(SEARCH("한국",$U64)),MAX(0,MIN($L64,기준정보!$C$11)-MAX($L64-기준정보!$C$6,기준정보!$C$10)+1),0)))</f>
        <v>0</v>
      </c>
      <c r="N64" s="29" t="n">
        <f aca="false">IF($L64="","",$L64-기준정보!$C$6-$M64)</f>
        <v>46298</v>
      </c>
      <c r="O64" s="31" t="n">
        <f aca="false">IF($N64="","",$N64-기준정보!$C$4)</f>
        <v>56</v>
      </c>
      <c r="P64" s="28" t="s">
        <v>82</v>
      </c>
      <c r="Q64" s="28" t="s">
        <v>83</v>
      </c>
      <c r="R64" s="32"/>
      <c r="S64" s="27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T64" s="26" t="s">
        <v>266</v>
      </c>
      <c r="U64" s="26" t="s">
        <v>85</v>
      </c>
      <c r="V64" s="33" t="n">
        <v>2100</v>
      </c>
      <c r="W64" s="27"/>
      <c r="X64" s="27" t="str">
        <f aca="false">IF($K64="","출고일 미정",IF($P64="X","작지 미발행",IF($P64="부분","작지 일부 미발행",IF(AND($R64&lt;&gt;"",$R64&gt;$N64),"소재입고 마감("&amp;TEXT($N64,"MM/DD")&amp;") 초과",IF($P64="","발행여부 확인 필요",IF($R64="","소재 입고일정 확인 필요","정상"))))))</f>
        <v>소재 입고일정 확인 필요</v>
      </c>
      <c r="Y64" s="25" t="str">
        <f aca="false">IF($K64="","",IF(OR(LEFT($X64,2)="작지",LEFT($X64,4)="소재입고"),IF(LEFT($G64,1)="S","★ 납기위험(S코드)","◆ 지연주의"),IF($X64="정상","✓ 정상","? 확인필요")))</f>
        <v>? 확인필요</v>
      </c>
      <c r="Z64" s="28"/>
      <c r="AA64" s="34"/>
    </row>
    <row r="65" customFormat="false" ht="15" hidden="false" customHeight="false" outlineLevel="0" collapsed="false">
      <c r="A65" s="25" t="n">
        <v>61</v>
      </c>
      <c r="B65" s="26" t="s">
        <v>253</v>
      </c>
      <c r="C65" s="26" t="s">
        <v>262</v>
      </c>
      <c r="D65" s="27" t="s">
        <v>293</v>
      </c>
      <c r="E65" s="26" t="s">
        <v>294</v>
      </c>
      <c r="F65" s="27" t="s">
        <v>257</v>
      </c>
      <c r="G65" s="25" t="str">
        <f aca="false">IF($D65="","",IF(MID($D65,5,1)="S","S(봄)",IF(MID($D65,5,1)="M","M(여름)",IF(MID($D65,5,1)="X","X(사계절)",MID($D65,5,1)))))</f>
        <v>S(봄)</v>
      </c>
      <c r="H65" s="27" t="s">
        <v>209</v>
      </c>
      <c r="I65" s="25"/>
      <c r="J65" s="28" t="s">
        <v>148</v>
      </c>
      <c r="K65" s="29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9" t="n">
        <f aca="false">IF($K65="","",IF(AND($K65-기준정보!$C$5&gt;=기준정보!$C$10,$K65-기준정보!$C$5&lt;=기준정보!$C$11),기준정보!$C$10-1,$K65-기준정보!$C$5))</f>
        <v>46388</v>
      </c>
      <c r="M65" s="30" t="n">
        <f aca="false">IF($L65="","",IF(OR(ISNUMBER(SEARCH("중국",$U65)),ISNUMBER(SEARCH("베트남",$U65))),MAX(0,MIN($L65,기준정보!$C$9)-MAX($L65-기준정보!$C$6,기준정보!$C$8)+1),IF(ISNUMBER(SEARCH("한국",$U65)),MAX(0,MIN($L65,기준정보!$C$11)-MAX($L65-기준정보!$C$6,기준정보!$C$10)+1),0)))</f>
        <v>0</v>
      </c>
      <c r="N65" s="29" t="n">
        <f aca="false">IF($L65="","",$L65-기준정보!$C$6-$M65)</f>
        <v>46298</v>
      </c>
      <c r="O65" s="31" t="n">
        <f aca="false">IF($N65="","",$N65-기준정보!$C$4)</f>
        <v>56</v>
      </c>
      <c r="P65" s="28" t="s">
        <v>82</v>
      </c>
      <c r="Q65" s="28" t="s">
        <v>83</v>
      </c>
      <c r="R65" s="32"/>
      <c r="S65" s="27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T65" s="27" t="s">
        <v>149</v>
      </c>
      <c r="U65" s="26" t="s">
        <v>85</v>
      </c>
      <c r="V65" s="33" t="n">
        <v>2200</v>
      </c>
      <c r="W65" s="27" t="s">
        <v>148</v>
      </c>
      <c r="X65" s="27" t="str">
        <f aca="false">IF($K65="","출고일 미정",IF($P65="X","작지 미발행",IF($P65="부분","작지 일부 미발행",IF(AND($R65&lt;&gt;"",$R65&gt;$N65),"소재입고 마감("&amp;TEXT($N65,"MM/DD")&amp;") 초과",IF($P65="","발행여부 확인 필요",IF($R65="","소재 입고일정 확인 필요","정상"))))))</f>
        <v>소재 입고일정 확인 필요</v>
      </c>
      <c r="Y65" s="25" t="str">
        <f aca="false">IF($K65="","",IF(OR(LEFT($X65,2)="작지",LEFT($X65,4)="소재입고"),IF(LEFT($G65,1)="S","★ 납기위험(S코드)","◆ 지연주의"),IF($X65="정상","✓ 정상","? 확인필요")))</f>
        <v>? 확인필요</v>
      </c>
      <c r="Z65" s="28"/>
      <c r="AA65" s="34"/>
    </row>
    <row r="66" customFormat="false" ht="15" hidden="false" customHeight="false" outlineLevel="0" collapsed="false">
      <c r="A66" s="25" t="n">
        <v>62</v>
      </c>
      <c r="B66" s="26" t="s">
        <v>253</v>
      </c>
      <c r="C66" s="26" t="s">
        <v>262</v>
      </c>
      <c r="D66" s="27" t="s">
        <v>295</v>
      </c>
      <c r="E66" s="26" t="s">
        <v>296</v>
      </c>
      <c r="F66" s="27" t="s">
        <v>297</v>
      </c>
      <c r="G66" s="25" t="str">
        <f aca="false">IF($D66="","",IF(MID($D66,5,1)="S","S(봄)",IF(MID($D66,5,1)="M","M(여름)",IF(MID($D66,5,1)="X","X(사계절)",MID($D66,5,1)))))</f>
        <v>S(봄)</v>
      </c>
      <c r="H66" s="27" t="s">
        <v>209</v>
      </c>
      <c r="I66" s="25"/>
      <c r="J66" s="28" t="s">
        <v>148</v>
      </c>
      <c r="K66" s="29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9" t="n">
        <f aca="false">IF($K66="","",IF(AND($K66-기준정보!$C$5&gt;=기준정보!$C$10,$K66-기준정보!$C$5&lt;=기준정보!$C$11),기준정보!$C$10-1,$K66-기준정보!$C$5))</f>
        <v>46388</v>
      </c>
      <c r="M66" s="30" t="n">
        <f aca="false">IF($L66="","",IF(OR(ISNUMBER(SEARCH("중국",$U66)),ISNUMBER(SEARCH("베트남",$U66))),MAX(0,MIN($L66,기준정보!$C$9)-MAX($L66-기준정보!$C$6,기준정보!$C$8)+1),IF(ISNUMBER(SEARCH("한국",$U66)),MAX(0,MIN($L66,기준정보!$C$11)-MAX($L66-기준정보!$C$6,기준정보!$C$10)+1),0)))</f>
        <v>0</v>
      </c>
      <c r="N66" s="29" t="n">
        <f aca="false">IF($L66="","",$L66-기준정보!$C$6-$M66)</f>
        <v>46298</v>
      </c>
      <c r="O66" s="31" t="n">
        <f aca="false">IF($N66="","",$N66-기준정보!$C$4)</f>
        <v>56</v>
      </c>
      <c r="P66" s="28" t="s">
        <v>82</v>
      </c>
      <c r="Q66" s="28" t="s">
        <v>83</v>
      </c>
      <c r="R66" s="32"/>
      <c r="S66" s="27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T66" s="26" t="s">
        <v>99</v>
      </c>
      <c r="U66" s="26" t="s">
        <v>85</v>
      </c>
      <c r="V66" s="33" t="n">
        <v>1800</v>
      </c>
      <c r="W66" s="27" t="s">
        <v>148</v>
      </c>
      <c r="X66" s="27" t="str">
        <f aca="false">IF($K66="","출고일 미정",IF($P66="X","작지 미발행",IF($P66="부분","작지 일부 미발행",IF(AND($R66&lt;&gt;"",$R66&gt;$N66),"소재입고 마감("&amp;TEXT($N66,"MM/DD")&amp;") 초과",IF($P66="","발행여부 확인 필요",IF($R66="","소재 입고일정 확인 필요","정상"))))))</f>
        <v>소재 입고일정 확인 필요</v>
      </c>
      <c r="Y66" s="25" t="str">
        <f aca="false">IF($K66="","",IF(OR(LEFT($X66,2)="작지",LEFT($X66,4)="소재입고"),IF(LEFT($G66,1)="S","★ 납기위험(S코드)","◆ 지연주의"),IF($X66="정상","✓ 정상","? 확인필요")))</f>
        <v>? 확인필요</v>
      </c>
      <c r="Z66" s="28"/>
      <c r="AA66" s="34"/>
    </row>
    <row r="67" customFormat="false" ht="15" hidden="false" customHeight="false" outlineLevel="0" collapsed="false">
      <c r="A67" s="25" t="n">
        <v>63</v>
      </c>
      <c r="B67" s="26" t="s">
        <v>253</v>
      </c>
      <c r="C67" s="26" t="s">
        <v>262</v>
      </c>
      <c r="D67" s="27" t="s">
        <v>298</v>
      </c>
      <c r="E67" s="26" t="s">
        <v>299</v>
      </c>
      <c r="F67" s="27" t="s">
        <v>257</v>
      </c>
      <c r="G67" s="25" t="str">
        <f aca="false">IF($D67="","",IF(MID($D67,5,1)="S","S(봄)",IF(MID($D67,5,1)="M","M(여름)",IF(MID($D67,5,1)="X","X(사계절)",MID($D67,5,1)))))</f>
        <v>S(봄)</v>
      </c>
      <c r="H67" s="27" t="s">
        <v>209</v>
      </c>
      <c r="I67" s="25"/>
      <c r="J67" s="28" t="s">
        <v>148</v>
      </c>
      <c r="K67" s="29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9" t="n">
        <f aca="false">IF($K67="","",IF(AND($K67-기준정보!$C$5&gt;=기준정보!$C$10,$K67-기준정보!$C$5&lt;=기준정보!$C$11),기준정보!$C$10-1,$K67-기준정보!$C$5))</f>
        <v>46388</v>
      </c>
      <c r="M67" s="30" t="n">
        <f aca="false">IF($L67="","",IF(OR(ISNUMBER(SEARCH("중국",$U67)),ISNUMBER(SEARCH("베트남",$U67))),MAX(0,MIN($L67,기준정보!$C$9)-MAX($L67-기준정보!$C$6,기준정보!$C$8)+1),IF(ISNUMBER(SEARCH("한국",$U67)),MAX(0,MIN($L67,기준정보!$C$11)-MAX($L67-기준정보!$C$6,기준정보!$C$10)+1),0)))</f>
        <v>0</v>
      </c>
      <c r="N67" s="29" t="n">
        <f aca="false">IF($L67="","",$L67-기준정보!$C$6-$M67)</f>
        <v>46298</v>
      </c>
      <c r="O67" s="31" t="n">
        <f aca="false">IF($N67="","",$N67-기준정보!$C$4)</f>
        <v>56</v>
      </c>
      <c r="P67" s="28" t="s">
        <v>82</v>
      </c>
      <c r="Q67" s="28" t="s">
        <v>83</v>
      </c>
      <c r="R67" s="32"/>
      <c r="S67" s="27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T67" s="27" t="s">
        <v>235</v>
      </c>
      <c r="U67" s="26" t="s">
        <v>85</v>
      </c>
      <c r="V67" s="33" t="n">
        <v>1800</v>
      </c>
      <c r="W67" s="27" t="s">
        <v>148</v>
      </c>
      <c r="X67" s="27" t="str">
        <f aca="false">IF($K67="","출고일 미정",IF($P67="X","작지 미발행",IF($P67="부분","작지 일부 미발행",IF(AND($R67&lt;&gt;"",$R67&gt;$N67),"소재입고 마감("&amp;TEXT($N67,"MM/DD")&amp;") 초과",IF($P67="","발행여부 확인 필요",IF($R67="","소재 입고일정 확인 필요","정상"))))))</f>
        <v>소재 입고일정 확인 필요</v>
      </c>
      <c r="Y67" s="25" t="str">
        <f aca="false">IF($K67="","",IF(OR(LEFT($X67,2)="작지",LEFT($X67,4)="소재입고"),IF(LEFT($G67,1)="S","★ 납기위험(S코드)","◆ 지연주의"),IF($X67="정상","✓ 정상","? 확인필요")))</f>
        <v>? 확인필요</v>
      </c>
      <c r="Z67" s="28"/>
      <c r="AA67" s="34"/>
    </row>
    <row r="68" customFormat="false" ht="15" hidden="false" customHeight="false" outlineLevel="0" collapsed="false">
      <c r="A68" s="25" t="n">
        <v>64</v>
      </c>
      <c r="B68" s="26" t="s">
        <v>253</v>
      </c>
      <c r="C68" s="26" t="s">
        <v>262</v>
      </c>
      <c r="D68" s="27" t="s">
        <v>300</v>
      </c>
      <c r="E68" s="26" t="s">
        <v>301</v>
      </c>
      <c r="F68" s="27" t="s">
        <v>302</v>
      </c>
      <c r="G68" s="25" t="str">
        <f aca="false">IF($D68="","",IF(MID($D68,5,1)="S","S(봄)",IF(MID($D68,5,1)="M","M(여름)",IF(MID($D68,5,1)="X","X(사계절)",MID($D68,5,1)))))</f>
        <v>S(봄)</v>
      </c>
      <c r="H68" s="27" t="s">
        <v>209</v>
      </c>
      <c r="I68" s="25"/>
      <c r="J68" s="28" t="s">
        <v>148</v>
      </c>
      <c r="K68" s="29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9" t="n">
        <f aca="false">IF($K68="","",IF(AND($K68-기준정보!$C$5&gt;=기준정보!$C$10,$K68-기준정보!$C$5&lt;=기준정보!$C$11),기준정보!$C$10-1,$K68-기준정보!$C$5))</f>
        <v>46388</v>
      </c>
      <c r="M68" s="30" t="n">
        <f aca="false">IF($L68="","",IF(OR(ISNUMBER(SEARCH("중국",$U68)),ISNUMBER(SEARCH("베트남",$U68))),MAX(0,MIN($L68,기준정보!$C$9)-MAX($L68-기준정보!$C$6,기준정보!$C$8)+1),IF(ISNUMBER(SEARCH("한국",$U68)),MAX(0,MIN($L68,기준정보!$C$11)-MAX($L68-기준정보!$C$6,기준정보!$C$10)+1),0)))</f>
        <v>0</v>
      </c>
      <c r="N68" s="29" t="n">
        <f aca="false">IF($L68="","",$L68-기준정보!$C$6-$M68)</f>
        <v>46298</v>
      </c>
      <c r="O68" s="31" t="n">
        <f aca="false">IF($N68="","",$N68-기준정보!$C$4)</f>
        <v>56</v>
      </c>
      <c r="P68" s="28" t="s">
        <v>82</v>
      </c>
      <c r="Q68" s="28" t="s">
        <v>83</v>
      </c>
      <c r="R68" s="32"/>
      <c r="S68" s="27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T68" s="26" t="s">
        <v>99</v>
      </c>
      <c r="U68" s="26" t="s">
        <v>85</v>
      </c>
      <c r="V68" s="33" t="n">
        <v>2200</v>
      </c>
      <c r="W68" s="27" t="s">
        <v>148</v>
      </c>
      <c r="X68" s="27" t="str">
        <f aca="false">IF($K68="","출고일 미정",IF($P68="X","작지 미발행",IF($P68="부분","작지 일부 미발행",IF(AND($R68&lt;&gt;"",$R68&gt;$N68),"소재입고 마감("&amp;TEXT($N68,"MM/DD")&amp;") 초과",IF($P68="","발행여부 확인 필요",IF($R68="","소재 입고일정 확인 필요","정상"))))))</f>
        <v>소재 입고일정 확인 필요</v>
      </c>
      <c r="Y68" s="25" t="str">
        <f aca="false">IF($K68="","",IF(OR(LEFT($X68,2)="작지",LEFT($X68,4)="소재입고"),IF(LEFT($G68,1)="S","★ 납기위험(S코드)","◆ 지연주의"),IF($X68="정상","✓ 정상","? 확인필요")))</f>
        <v>? 확인필요</v>
      </c>
      <c r="Z68" s="28"/>
      <c r="AA68" s="34"/>
    </row>
    <row r="69" customFormat="false" ht="15" hidden="false" customHeight="false" outlineLevel="0" collapsed="false">
      <c r="A69" s="25" t="n">
        <v>65</v>
      </c>
      <c r="B69" s="26" t="s">
        <v>124</v>
      </c>
      <c r="C69" s="26" t="s">
        <v>125</v>
      </c>
      <c r="D69" s="27" t="s">
        <v>303</v>
      </c>
      <c r="E69" s="26" t="s">
        <v>304</v>
      </c>
      <c r="F69" s="27" t="s">
        <v>305</v>
      </c>
      <c r="G69" s="25" t="str">
        <f aca="false">IF($D69="","",IF(MID($D69,5,1)="S","S(봄)",IF(MID($D69,5,1)="M","M(여름)",IF(MID($D69,5,1)="X","X(사계절)",MID($D69,5,1)))))</f>
        <v>S(봄)</v>
      </c>
      <c r="H69" s="26" t="s">
        <v>79</v>
      </c>
      <c r="I69" s="25"/>
      <c r="J69" s="28" t="s">
        <v>148</v>
      </c>
      <c r="K69" s="29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9" t="n">
        <f aca="false">IF($K69="","",IF(AND($K69-기준정보!$C$5&gt;=기준정보!$C$10,$K69-기준정보!$C$5&lt;=기준정보!$C$11),기준정보!$C$10-1,$K69-기준정보!$C$5))</f>
        <v>46388</v>
      </c>
      <c r="M69" s="30" t="n">
        <f aca="false">IF($L69="","",IF(OR(ISNUMBER(SEARCH("중국",$U69)),ISNUMBER(SEARCH("베트남",$U69))),MAX(0,MIN($L69,기준정보!$C$9)-MAX($L69-기준정보!$C$6,기준정보!$C$8)+1),IF(ISNUMBER(SEARCH("한국",$U69)),MAX(0,MIN($L69,기준정보!$C$11)-MAX($L69-기준정보!$C$6,기준정보!$C$10)+1),0)))</f>
        <v>0</v>
      </c>
      <c r="N69" s="29" t="n">
        <f aca="false">IF($L69="","",$L69-기준정보!$C$6-$M69)</f>
        <v>46298</v>
      </c>
      <c r="O69" s="31" t="n">
        <f aca="false">IF($N69="","",$N69-기준정보!$C$4)</f>
        <v>56</v>
      </c>
      <c r="P69" s="28" t="s">
        <v>82</v>
      </c>
      <c r="Q69" s="28" t="s">
        <v>83</v>
      </c>
      <c r="R69" s="32"/>
      <c r="S69" s="27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T69" s="27" t="s">
        <v>243</v>
      </c>
      <c r="U69" s="26" t="s">
        <v>90</v>
      </c>
      <c r="V69" s="33" t="n">
        <v>1200</v>
      </c>
      <c r="W69" s="27" t="s">
        <v>148</v>
      </c>
      <c r="X69" s="27" t="str">
        <f aca="false">IF($K69="","출고일 미정",IF($P69="X","작지 미발행",IF($P69="부분","작지 일부 미발행",IF(AND($R69&lt;&gt;"",$R69&gt;$N69),"소재입고 마감("&amp;TEXT($N69,"MM/DD")&amp;") 초과",IF($P69="","발행여부 확인 필요",IF($R69="","소재 입고일정 확인 필요","정상"))))))</f>
        <v>소재 입고일정 확인 필요</v>
      </c>
      <c r="Y69" s="25" t="str">
        <f aca="false">IF($K69="","",IF(OR(LEFT($X69,2)="작지",LEFT($X69,4)="소재입고"),IF(LEFT($G69,1)="S","★ 납기위험(S코드)","◆ 지연주의"),IF($X69="정상","✓ 정상","? 확인필요")))</f>
        <v>? 확인필요</v>
      </c>
      <c r="Z69" s="28"/>
      <c r="AA69" s="34"/>
    </row>
    <row r="70" customFormat="false" ht="15" hidden="false" customHeight="false" outlineLevel="0" collapsed="false">
      <c r="A70" s="25" t="n">
        <v>66</v>
      </c>
      <c r="B70" s="26" t="s">
        <v>74</v>
      </c>
      <c r="C70" s="26" t="s">
        <v>75</v>
      </c>
      <c r="D70" s="27" t="s">
        <v>306</v>
      </c>
      <c r="E70" s="26" t="s">
        <v>307</v>
      </c>
      <c r="F70" s="27" t="s">
        <v>88</v>
      </c>
      <c r="G70" s="25" t="str">
        <f aca="false">IF($D70="","",IF(MID($D70,5,1)="S","S(봄)",IF(MID($D70,5,1)="M","M(여름)",IF(MID($D70,5,1)="X","X(사계절)",MID($D70,5,1)))))</f>
        <v>S(봄)</v>
      </c>
      <c r="H70" s="26" t="s">
        <v>79</v>
      </c>
      <c r="I70" s="25" t="s">
        <v>80</v>
      </c>
      <c r="J70" s="28" t="s">
        <v>308</v>
      </c>
      <c r="K70" s="29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9" t="n">
        <f aca="false">IF($K70="","",IF(AND($K70-기준정보!$C$5&gt;=기준정보!$C$10,$K70-기준정보!$C$5&lt;=기준정보!$C$11),기준정보!$C$10-1,$K70-기준정보!$C$5))</f>
        <v>46395</v>
      </c>
      <c r="M70" s="30" t="n">
        <f aca="false">IF($L70="","",IF(OR(ISNUMBER(SEARCH("중국",$U70)),ISNUMBER(SEARCH("베트남",$U70))),MAX(0,MIN($L70,기준정보!$C$9)-MAX($L70-기준정보!$C$6,기준정보!$C$8)+1),IF(ISNUMBER(SEARCH("한국",$U70)),MAX(0,MIN($L70,기준정보!$C$11)-MAX($L70-기준정보!$C$6,기준정보!$C$10)+1),0)))</f>
        <v>0</v>
      </c>
      <c r="N70" s="29" t="n">
        <f aca="false">IF($L70="","",$L70-기준정보!$C$6-$M70)</f>
        <v>46305</v>
      </c>
      <c r="O70" s="31" t="n">
        <f aca="false">IF($N70="","",$N70-기준정보!$C$4)</f>
        <v>63</v>
      </c>
      <c r="P70" s="28" t="s">
        <v>82</v>
      </c>
      <c r="Q70" s="28" t="s">
        <v>83</v>
      </c>
      <c r="R70" s="32"/>
      <c r="S70" s="27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T70" s="26" t="s">
        <v>106</v>
      </c>
      <c r="U70" s="26" t="s">
        <v>85</v>
      </c>
      <c r="V70" s="33" t="n">
        <v>450</v>
      </c>
      <c r="W70" s="27"/>
      <c r="X70" s="27" t="str">
        <f aca="false">IF($K70="","출고일 미정",IF($P70="X","작지 미발행",IF($P70="부분","작지 일부 미발행",IF(AND($R70&lt;&gt;"",$R70&gt;$N70),"소재입고 마감("&amp;TEXT($N70,"MM/DD")&amp;") 초과",IF($P70="","발행여부 확인 필요",IF($R70="","소재 입고일정 확인 필요","정상"))))))</f>
        <v>소재 입고일정 확인 필요</v>
      </c>
      <c r="Y70" s="25" t="str">
        <f aca="false">IF($K70="","",IF(OR(LEFT($X70,2)="작지",LEFT($X70,4)="소재입고"),IF(LEFT($G70,1)="S","★ 납기위험(S코드)","◆ 지연주의"),IF($X70="정상","✓ 정상","? 확인필요")))</f>
        <v>? 확인필요</v>
      </c>
      <c r="Z70" s="28"/>
      <c r="AA70" s="34"/>
    </row>
    <row r="71" customFormat="false" ht="15" hidden="false" customHeight="false" outlineLevel="0" collapsed="false">
      <c r="A71" s="25" t="n">
        <v>67</v>
      </c>
      <c r="B71" s="26" t="s">
        <v>74</v>
      </c>
      <c r="C71" s="26" t="s">
        <v>93</v>
      </c>
      <c r="D71" s="27" t="s">
        <v>309</v>
      </c>
      <c r="E71" s="26" t="s">
        <v>310</v>
      </c>
      <c r="F71" s="27" t="s">
        <v>78</v>
      </c>
      <c r="G71" s="25" t="str">
        <f aca="false">IF($D71="","",IF(MID($D71,5,1)="S","S(봄)",IF(MID($D71,5,1)="M","M(여름)",IF(MID($D71,5,1)="X","X(사계절)",MID($D71,5,1)))))</f>
        <v>S(봄)</v>
      </c>
      <c r="H71" s="26" t="s">
        <v>79</v>
      </c>
      <c r="I71" s="25" t="s">
        <v>80</v>
      </c>
      <c r="J71" s="28" t="s">
        <v>308</v>
      </c>
      <c r="K71" s="29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9" t="n">
        <f aca="false">IF($K71="","",IF(AND($K71-기준정보!$C$5&gt;=기준정보!$C$10,$K71-기준정보!$C$5&lt;=기준정보!$C$11),기준정보!$C$10-1,$K71-기준정보!$C$5))</f>
        <v>46395</v>
      </c>
      <c r="M71" s="30" t="n">
        <f aca="false">IF($L71="","",IF(OR(ISNUMBER(SEARCH("중국",$U71)),ISNUMBER(SEARCH("베트남",$U71))),MAX(0,MIN($L71,기준정보!$C$9)-MAX($L71-기준정보!$C$6,기준정보!$C$8)+1),IF(ISNUMBER(SEARCH("한국",$U71)),MAX(0,MIN($L71,기준정보!$C$11)-MAX($L71-기준정보!$C$6,기준정보!$C$10)+1),0)))</f>
        <v>0</v>
      </c>
      <c r="N71" s="29" t="n">
        <f aca="false">IF($L71="","",$L71-기준정보!$C$6-$M71)</f>
        <v>46305</v>
      </c>
      <c r="O71" s="31" t="n">
        <f aca="false">IF($N71="","",$N71-기준정보!$C$4)</f>
        <v>63</v>
      </c>
      <c r="P71" s="28" t="s">
        <v>82</v>
      </c>
      <c r="Q71" s="28" t="s">
        <v>83</v>
      </c>
      <c r="R71" s="32"/>
      <c r="S71" s="27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T71" s="26" t="s">
        <v>311</v>
      </c>
      <c r="U71" s="26" t="s">
        <v>85</v>
      </c>
      <c r="V71" s="33" t="n">
        <v>400</v>
      </c>
      <c r="W71" s="27"/>
      <c r="X71" s="27" t="str">
        <f aca="false">IF($K71="","출고일 미정",IF($P71="X","작지 미발행",IF($P71="부분","작지 일부 미발행",IF(AND($R71&lt;&gt;"",$R71&gt;$N71),"소재입고 마감("&amp;TEXT($N71,"MM/DD")&amp;") 초과",IF($P71="","발행여부 확인 필요",IF($R71="","소재 입고일정 확인 필요","정상"))))))</f>
        <v>소재 입고일정 확인 필요</v>
      </c>
      <c r="Y71" s="25" t="str">
        <f aca="false">IF($K71="","",IF(OR(LEFT($X71,2)="작지",LEFT($X71,4)="소재입고"),IF(LEFT($G71,1)="S","★ 납기위험(S코드)","◆ 지연주의"),IF($X71="정상","✓ 정상","? 확인필요")))</f>
        <v>? 확인필요</v>
      </c>
      <c r="Z71" s="28"/>
      <c r="AA71" s="34"/>
    </row>
    <row r="72" customFormat="false" ht="15" hidden="false" customHeight="false" outlineLevel="0" collapsed="false">
      <c r="A72" s="25" t="n">
        <v>68</v>
      </c>
      <c r="B72" s="26" t="s">
        <v>74</v>
      </c>
      <c r="C72" s="26" t="s">
        <v>75</v>
      </c>
      <c r="D72" s="27" t="s">
        <v>312</v>
      </c>
      <c r="E72" s="26" t="s">
        <v>313</v>
      </c>
      <c r="F72" s="27" t="s">
        <v>223</v>
      </c>
      <c r="G72" s="25" t="str">
        <f aca="false">IF($D72="","",IF(MID($D72,5,1)="S","S(봄)",IF(MID($D72,5,1)="M","M(여름)",IF(MID($D72,5,1)="X","X(사계절)",MID($D72,5,1)))))</f>
        <v>S(봄)</v>
      </c>
      <c r="H72" s="26" t="s">
        <v>79</v>
      </c>
      <c r="I72" s="25" t="s">
        <v>80</v>
      </c>
      <c r="J72" s="28" t="s">
        <v>308</v>
      </c>
      <c r="K72" s="29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9" t="n">
        <f aca="false">IF($K72="","",IF(AND($K72-기준정보!$C$5&gt;=기준정보!$C$10,$K72-기준정보!$C$5&lt;=기준정보!$C$11),기준정보!$C$10-1,$K72-기준정보!$C$5))</f>
        <v>46395</v>
      </c>
      <c r="M72" s="30" t="n">
        <f aca="false">IF($L72="","",IF(OR(ISNUMBER(SEARCH("중국",$U72)),ISNUMBER(SEARCH("베트남",$U72))),MAX(0,MIN($L72,기준정보!$C$9)-MAX($L72-기준정보!$C$6,기준정보!$C$8)+1),IF(ISNUMBER(SEARCH("한국",$U72)),MAX(0,MIN($L72,기준정보!$C$11)-MAX($L72-기준정보!$C$6,기준정보!$C$10)+1),0)))</f>
        <v>0</v>
      </c>
      <c r="N72" s="29" t="n">
        <f aca="false">IF($L72="","",$L72-기준정보!$C$6-$M72)</f>
        <v>46305</v>
      </c>
      <c r="O72" s="31" t="n">
        <f aca="false">IF($N72="","",$N72-기준정보!$C$4)</f>
        <v>63</v>
      </c>
      <c r="P72" s="28" t="s">
        <v>82</v>
      </c>
      <c r="Q72" s="28" t="s">
        <v>83</v>
      </c>
      <c r="R72" s="32"/>
      <c r="S72" s="27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T72" s="26" t="s">
        <v>89</v>
      </c>
      <c r="U72" s="26" t="s">
        <v>90</v>
      </c>
      <c r="V72" s="33" t="n">
        <v>305</v>
      </c>
      <c r="W72" s="27"/>
      <c r="X72" s="27" t="str">
        <f aca="false">IF($K72="","출고일 미정",IF($P72="X","작지 미발행",IF($P72="부분","작지 일부 미발행",IF(AND($R72&lt;&gt;"",$R72&gt;$N72),"소재입고 마감("&amp;TEXT($N72,"MM/DD")&amp;") 초과",IF($P72="","발행여부 확인 필요",IF($R72="","소재 입고일정 확인 필요","정상"))))))</f>
        <v>소재 입고일정 확인 필요</v>
      </c>
      <c r="Y72" s="25" t="str">
        <f aca="false">IF($K72="","",IF(OR(LEFT($X72,2)="작지",LEFT($X72,4)="소재입고"),IF(LEFT($G72,1)="S","★ 납기위험(S코드)","◆ 지연주의"),IF($X72="정상","✓ 정상","? 확인필요")))</f>
        <v>? 확인필요</v>
      </c>
      <c r="Z72" s="28"/>
      <c r="AA72" s="34"/>
    </row>
    <row r="73" customFormat="false" ht="15" hidden="false" customHeight="false" outlineLevel="0" collapsed="false">
      <c r="A73" s="25" t="n">
        <v>69</v>
      </c>
      <c r="B73" s="26" t="s">
        <v>74</v>
      </c>
      <c r="C73" s="26" t="s">
        <v>75</v>
      </c>
      <c r="D73" s="27" t="s">
        <v>314</v>
      </c>
      <c r="E73" s="26" t="s">
        <v>315</v>
      </c>
      <c r="F73" s="27" t="s">
        <v>119</v>
      </c>
      <c r="G73" s="25" t="str">
        <f aca="false">IF($D73="","",IF(MID($D73,5,1)="S","S(봄)",IF(MID($D73,5,1)="M","M(여름)",IF(MID($D73,5,1)="X","X(사계절)",MID($D73,5,1)))))</f>
        <v>S(봄)</v>
      </c>
      <c r="H73" s="26" t="s">
        <v>79</v>
      </c>
      <c r="I73" s="25" t="s">
        <v>80</v>
      </c>
      <c r="J73" s="28" t="s">
        <v>308</v>
      </c>
      <c r="K73" s="29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9" t="n">
        <f aca="false">IF($K73="","",IF(AND($K73-기준정보!$C$5&gt;=기준정보!$C$10,$K73-기준정보!$C$5&lt;=기준정보!$C$11),기준정보!$C$10-1,$K73-기준정보!$C$5))</f>
        <v>46395</v>
      </c>
      <c r="M73" s="30" t="n">
        <f aca="false">IF($L73="","",IF(OR(ISNUMBER(SEARCH("중국",$U73)),ISNUMBER(SEARCH("베트남",$U73))),MAX(0,MIN($L73,기준정보!$C$9)-MAX($L73-기준정보!$C$6,기준정보!$C$8)+1),IF(ISNUMBER(SEARCH("한국",$U73)),MAX(0,MIN($L73,기준정보!$C$11)-MAX($L73-기준정보!$C$6,기준정보!$C$10)+1),0)))</f>
        <v>0</v>
      </c>
      <c r="N73" s="29" t="n">
        <f aca="false">IF($L73="","",$L73-기준정보!$C$6-$M73)</f>
        <v>46305</v>
      </c>
      <c r="O73" s="31" t="n">
        <f aca="false">IF($N73="","",$N73-기준정보!$C$4)</f>
        <v>63</v>
      </c>
      <c r="P73" s="28" t="s">
        <v>82</v>
      </c>
      <c r="Q73" s="28" t="s">
        <v>83</v>
      </c>
      <c r="R73" s="32"/>
      <c r="S73" s="27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T73" s="26" t="s">
        <v>106</v>
      </c>
      <c r="U73" s="26" t="s">
        <v>85</v>
      </c>
      <c r="V73" s="33" t="n">
        <v>650</v>
      </c>
      <c r="W73" s="27"/>
      <c r="X73" s="27" t="str">
        <f aca="false">IF($K73="","출고일 미정",IF($P73="X","작지 미발행",IF($P73="부분","작지 일부 미발행",IF(AND($R73&lt;&gt;"",$R73&gt;$N73),"소재입고 마감("&amp;TEXT($N73,"MM/DD")&amp;") 초과",IF($P73="","발행여부 확인 필요",IF($R73="","소재 입고일정 확인 필요","정상"))))))</f>
        <v>소재 입고일정 확인 필요</v>
      </c>
      <c r="Y73" s="25" t="str">
        <f aca="false">IF($K73="","",IF(OR(LEFT($X73,2)="작지",LEFT($X73,4)="소재입고"),IF(LEFT($G73,1)="S","★ 납기위험(S코드)","◆ 지연주의"),IF($X73="정상","✓ 정상","? 확인필요")))</f>
        <v>? 확인필요</v>
      </c>
      <c r="Z73" s="28"/>
      <c r="AA73" s="34"/>
    </row>
    <row r="74" customFormat="false" ht="15" hidden="false" customHeight="false" outlineLevel="0" collapsed="false">
      <c r="A74" s="25" t="n">
        <v>70</v>
      </c>
      <c r="B74" s="26" t="s">
        <v>220</v>
      </c>
      <c r="C74" s="26" t="s">
        <v>225</v>
      </c>
      <c r="D74" s="27" t="s">
        <v>316</v>
      </c>
      <c r="E74" s="26" t="s">
        <v>317</v>
      </c>
      <c r="F74" s="27" t="s">
        <v>318</v>
      </c>
      <c r="G74" s="25" t="str">
        <f aca="false">IF($D74="","",IF(MID($D74,5,1)="S","S(봄)",IF(MID($D74,5,1)="M","M(여름)",IF(MID($D74,5,1)="X","X(사계절)",MID($D74,5,1)))))</f>
        <v>S(봄)</v>
      </c>
      <c r="H74" s="26" t="s">
        <v>79</v>
      </c>
      <c r="I74" s="25"/>
      <c r="J74" s="28" t="s">
        <v>308</v>
      </c>
      <c r="K74" s="29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9" t="n">
        <f aca="false">IF($K74="","",IF(AND($K74-기준정보!$C$5&gt;=기준정보!$C$10,$K74-기준정보!$C$5&lt;=기준정보!$C$11),기준정보!$C$10-1,$K74-기준정보!$C$5))</f>
        <v>46395</v>
      </c>
      <c r="M74" s="30" t="n">
        <f aca="false">IF($L74="","",IF(OR(ISNUMBER(SEARCH("중국",$U74)),ISNUMBER(SEARCH("베트남",$U74))),MAX(0,MIN($L74,기준정보!$C$9)-MAX($L74-기준정보!$C$6,기준정보!$C$8)+1),IF(ISNUMBER(SEARCH("한국",$U74)),MAX(0,MIN($L74,기준정보!$C$11)-MAX($L74-기준정보!$C$6,기준정보!$C$10)+1),0)))</f>
        <v>0</v>
      </c>
      <c r="N74" s="29" t="n">
        <f aca="false">IF($L74="","",$L74-기준정보!$C$6-$M74)</f>
        <v>46305</v>
      </c>
      <c r="O74" s="31" t="n">
        <f aca="false">IF($N74="","",$N74-기준정보!$C$4)</f>
        <v>63</v>
      </c>
      <c r="P74" s="28" t="s">
        <v>82</v>
      </c>
      <c r="Q74" s="28" t="s">
        <v>83</v>
      </c>
      <c r="R74" s="32"/>
      <c r="S74" s="27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T74" s="27" t="s">
        <v>243</v>
      </c>
      <c r="U74" s="26" t="s">
        <v>90</v>
      </c>
      <c r="V74" s="33" t="n">
        <v>1000</v>
      </c>
      <c r="W74" s="27"/>
      <c r="X74" s="27" t="str">
        <f aca="false">IF($K74="","출고일 미정",IF($P74="X","작지 미발행",IF($P74="부분","작지 일부 미발행",IF(AND($R74&lt;&gt;"",$R74&gt;$N74),"소재입고 마감("&amp;TEXT($N74,"MM/DD")&amp;") 초과",IF($P74="","발행여부 확인 필요",IF($R74="","소재 입고일정 확인 필요","정상"))))))</f>
        <v>소재 입고일정 확인 필요</v>
      </c>
      <c r="Y74" s="25" t="str">
        <f aca="false">IF($K74="","",IF(OR(LEFT($X74,2)="작지",LEFT($X74,4)="소재입고"),IF(LEFT($G74,1)="S","★ 납기위험(S코드)","◆ 지연주의"),IF($X74="정상","✓ 정상","? 확인필요")))</f>
        <v>? 확인필요</v>
      </c>
      <c r="Z74" s="28"/>
      <c r="AA74" s="34"/>
    </row>
    <row r="75" customFormat="false" ht="15" hidden="false" customHeight="false" outlineLevel="0" collapsed="false">
      <c r="A75" s="25" t="n">
        <v>71</v>
      </c>
      <c r="B75" s="26" t="s">
        <v>220</v>
      </c>
      <c r="C75" s="26" t="s">
        <v>225</v>
      </c>
      <c r="D75" s="27" t="s">
        <v>319</v>
      </c>
      <c r="E75" s="26" t="s">
        <v>320</v>
      </c>
      <c r="F75" s="27" t="s">
        <v>238</v>
      </c>
      <c r="G75" s="25" t="str">
        <f aca="false">IF($D75="","",IF(MID($D75,5,1)="S","S(봄)",IF(MID($D75,5,1)="M","M(여름)",IF(MID($D75,5,1)="X","X(사계절)",MID($D75,5,1)))))</f>
        <v>S(봄)</v>
      </c>
      <c r="H75" s="26" t="s">
        <v>79</v>
      </c>
      <c r="I75" s="25"/>
      <c r="J75" s="28" t="s">
        <v>308</v>
      </c>
      <c r="K75" s="29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9" t="n">
        <f aca="false">IF($K75="","",IF(AND($K75-기준정보!$C$5&gt;=기준정보!$C$10,$K75-기준정보!$C$5&lt;=기준정보!$C$11),기준정보!$C$10-1,$K75-기준정보!$C$5))</f>
        <v>46395</v>
      </c>
      <c r="M75" s="30" t="n">
        <f aca="false">IF($L75="","",IF(OR(ISNUMBER(SEARCH("중국",$U75)),ISNUMBER(SEARCH("베트남",$U75))),MAX(0,MIN($L75,기준정보!$C$9)-MAX($L75-기준정보!$C$6,기준정보!$C$8)+1),IF(ISNUMBER(SEARCH("한국",$U75)),MAX(0,MIN($L75,기준정보!$C$11)-MAX($L75-기준정보!$C$6,기준정보!$C$10)+1),0)))</f>
        <v>0</v>
      </c>
      <c r="N75" s="29" t="n">
        <f aca="false">IF($L75="","",$L75-기준정보!$C$6-$M75)</f>
        <v>46305</v>
      </c>
      <c r="O75" s="31" t="n">
        <f aca="false">IF($N75="","",$N75-기준정보!$C$4)</f>
        <v>63</v>
      </c>
      <c r="P75" s="28" t="s">
        <v>82</v>
      </c>
      <c r="Q75" s="28" t="s">
        <v>83</v>
      </c>
      <c r="R75" s="32"/>
      <c r="S75" s="27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T75" s="26" t="s">
        <v>311</v>
      </c>
      <c r="U75" s="26" t="s">
        <v>85</v>
      </c>
      <c r="V75" s="33" t="n">
        <v>2000</v>
      </c>
      <c r="W75" s="27"/>
      <c r="X75" s="27" t="str">
        <f aca="false">IF($K75="","출고일 미정",IF($P75="X","작지 미발행",IF($P75="부분","작지 일부 미발행",IF(AND($R75&lt;&gt;"",$R75&gt;$N75),"소재입고 마감("&amp;TEXT($N75,"MM/DD")&amp;") 초과",IF($P75="","발행여부 확인 필요",IF($R75="","소재 입고일정 확인 필요","정상"))))))</f>
        <v>소재 입고일정 확인 필요</v>
      </c>
      <c r="Y75" s="25" t="str">
        <f aca="false">IF($K75="","",IF(OR(LEFT($X75,2)="작지",LEFT($X75,4)="소재입고"),IF(LEFT($G75,1)="S","★ 납기위험(S코드)","◆ 지연주의"),IF($X75="정상","✓ 정상","? 확인필요")))</f>
        <v>? 확인필요</v>
      </c>
      <c r="Z75" s="28"/>
      <c r="AA75" s="34"/>
    </row>
    <row r="76" customFormat="false" ht="15" hidden="false" customHeight="false" outlineLevel="0" collapsed="false">
      <c r="A76" s="25" t="n">
        <v>72</v>
      </c>
      <c r="B76" s="26" t="s">
        <v>74</v>
      </c>
      <c r="C76" s="26" t="s">
        <v>93</v>
      </c>
      <c r="D76" s="27" t="s">
        <v>321</v>
      </c>
      <c r="E76" s="26" t="s">
        <v>322</v>
      </c>
      <c r="F76" s="27" t="s">
        <v>119</v>
      </c>
      <c r="G76" s="25" t="str">
        <f aca="false">IF($D76="","",IF(MID($D76,5,1)="S","S(봄)",IF(MID($D76,5,1)="M","M(여름)",IF(MID($D76,5,1)="X","X(사계절)",MID($D76,5,1)))))</f>
        <v>S(봄)</v>
      </c>
      <c r="H76" s="26" t="s">
        <v>79</v>
      </c>
      <c r="I76" s="25" t="s">
        <v>80</v>
      </c>
      <c r="J76" s="28" t="s">
        <v>308</v>
      </c>
      <c r="K76" s="29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9" t="n">
        <f aca="false">IF($K76="","",IF(AND($K76-기준정보!$C$5&gt;=기준정보!$C$10,$K76-기준정보!$C$5&lt;=기준정보!$C$11),기준정보!$C$10-1,$K76-기준정보!$C$5))</f>
        <v>46395</v>
      </c>
      <c r="M76" s="30" t="n">
        <f aca="false">IF($L76="","",IF(OR(ISNUMBER(SEARCH("중국",$U76)),ISNUMBER(SEARCH("베트남",$U76))),MAX(0,MIN($L76,기준정보!$C$9)-MAX($L76-기준정보!$C$6,기준정보!$C$8)+1),IF(ISNUMBER(SEARCH("한국",$U76)),MAX(0,MIN($L76,기준정보!$C$11)-MAX($L76-기준정보!$C$6,기준정보!$C$10)+1),0)))</f>
        <v>0</v>
      </c>
      <c r="N76" s="29" t="n">
        <f aca="false">IF($L76="","",$L76-기준정보!$C$6-$M76)</f>
        <v>46305</v>
      </c>
      <c r="O76" s="31" t="n">
        <f aca="false">IF($N76="","",$N76-기준정보!$C$4)</f>
        <v>63</v>
      </c>
      <c r="P76" s="28" t="s">
        <v>82</v>
      </c>
      <c r="Q76" s="28" t="s">
        <v>83</v>
      </c>
      <c r="R76" s="32"/>
      <c r="S76" s="27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T76" s="26" t="s">
        <v>311</v>
      </c>
      <c r="U76" s="26" t="s">
        <v>85</v>
      </c>
      <c r="V76" s="33" t="n">
        <v>500</v>
      </c>
      <c r="W76" s="27"/>
      <c r="X76" s="27" t="str">
        <f aca="false">IF($K76="","출고일 미정",IF($P76="X","작지 미발행",IF($P76="부분","작지 일부 미발행",IF(AND($R76&lt;&gt;"",$R76&gt;$N76),"소재입고 마감("&amp;TEXT($N76,"MM/DD")&amp;") 초과",IF($P76="","발행여부 확인 필요",IF($R76="","소재 입고일정 확인 필요","정상"))))))</f>
        <v>소재 입고일정 확인 필요</v>
      </c>
      <c r="Y76" s="25" t="str">
        <f aca="false">IF($K76="","",IF(OR(LEFT($X76,2)="작지",LEFT($X76,4)="소재입고"),IF(LEFT($G76,1)="S","★ 납기위험(S코드)","◆ 지연주의"),IF($X76="정상","✓ 정상","? 확인필요")))</f>
        <v>? 확인필요</v>
      </c>
      <c r="Z76" s="28"/>
      <c r="AA76" s="34"/>
    </row>
    <row r="77" customFormat="false" ht="15" hidden="false" customHeight="false" outlineLevel="0" collapsed="false">
      <c r="A77" s="25" t="n">
        <v>73</v>
      </c>
      <c r="B77" s="26" t="s">
        <v>74</v>
      </c>
      <c r="C77" s="26" t="s">
        <v>75</v>
      </c>
      <c r="D77" s="27" t="s">
        <v>323</v>
      </c>
      <c r="E77" s="26" t="s">
        <v>324</v>
      </c>
      <c r="F77" s="27" t="s">
        <v>105</v>
      </c>
      <c r="G77" s="25" t="str">
        <f aca="false">IF($D77="","",IF(MID($D77,5,1)="S","S(봄)",IF(MID($D77,5,1)="M","M(여름)",IF(MID($D77,5,1)="X","X(사계절)",MID($D77,5,1)))))</f>
        <v>S(봄)</v>
      </c>
      <c r="H77" s="26" t="s">
        <v>79</v>
      </c>
      <c r="I77" s="25" t="s">
        <v>80</v>
      </c>
      <c r="J77" s="28" t="s">
        <v>308</v>
      </c>
      <c r="K77" s="29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9" t="n">
        <f aca="false">IF($K77="","",IF(AND($K77-기준정보!$C$5&gt;=기준정보!$C$10,$K77-기준정보!$C$5&lt;=기준정보!$C$11),기준정보!$C$10-1,$K77-기준정보!$C$5))</f>
        <v>46395</v>
      </c>
      <c r="M77" s="30" t="n">
        <f aca="false">IF($L77="","",IF(OR(ISNUMBER(SEARCH("중국",$U77)),ISNUMBER(SEARCH("베트남",$U77))),MAX(0,MIN($L77,기준정보!$C$9)-MAX($L77-기준정보!$C$6,기준정보!$C$8)+1),IF(ISNUMBER(SEARCH("한국",$U77)),MAX(0,MIN($L77,기준정보!$C$11)-MAX($L77-기준정보!$C$6,기준정보!$C$10)+1),0)))</f>
        <v>0</v>
      </c>
      <c r="N77" s="29" t="n">
        <f aca="false">IF($L77="","",$L77-기준정보!$C$6-$M77)</f>
        <v>46305</v>
      </c>
      <c r="O77" s="31" t="n">
        <f aca="false">IF($N77="","",$N77-기준정보!$C$4)</f>
        <v>63</v>
      </c>
      <c r="P77" s="28" t="s">
        <v>82</v>
      </c>
      <c r="Q77" s="28" t="s">
        <v>83</v>
      </c>
      <c r="R77" s="32"/>
      <c r="S77" s="27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T77" s="26" t="s">
        <v>89</v>
      </c>
      <c r="U77" s="26" t="s">
        <v>90</v>
      </c>
      <c r="V77" s="33" t="n">
        <v>870</v>
      </c>
      <c r="W77" s="27"/>
      <c r="X77" s="27" t="str">
        <f aca="false">IF($K77="","출고일 미정",IF($P77="X","작지 미발행",IF($P77="부분","작지 일부 미발행",IF(AND($R77&lt;&gt;"",$R77&gt;$N77),"소재입고 마감("&amp;TEXT($N77,"MM/DD")&amp;") 초과",IF($P77="","발행여부 확인 필요",IF($R77="","소재 입고일정 확인 필요","정상"))))))</f>
        <v>소재 입고일정 확인 필요</v>
      </c>
      <c r="Y77" s="25" t="str">
        <f aca="false">IF($K77="","",IF(OR(LEFT($X77,2)="작지",LEFT($X77,4)="소재입고"),IF(LEFT($G77,1)="S","★ 납기위험(S코드)","◆ 지연주의"),IF($X77="정상","✓ 정상","? 확인필요")))</f>
        <v>? 확인필요</v>
      </c>
      <c r="Z77" s="28"/>
      <c r="AA77" s="34"/>
    </row>
    <row r="78" customFormat="false" ht="15" hidden="false" customHeight="false" outlineLevel="0" collapsed="false">
      <c r="A78" s="25" t="n">
        <v>74</v>
      </c>
      <c r="B78" s="26" t="s">
        <v>220</v>
      </c>
      <c r="C78" s="26" t="s">
        <v>200</v>
      </c>
      <c r="D78" s="27" t="s">
        <v>325</v>
      </c>
      <c r="E78" s="26" t="s">
        <v>326</v>
      </c>
      <c r="F78" s="27" t="s">
        <v>327</v>
      </c>
      <c r="G78" s="25" t="str">
        <f aca="false">IF($D78="","",IF(MID($D78,5,1)="S","S(봄)",IF(MID($D78,5,1)="M","M(여름)",IF(MID($D78,5,1)="X","X(사계절)",MID($D78,5,1)))))</f>
        <v>S(봄)</v>
      </c>
      <c r="H78" s="27" t="s">
        <v>209</v>
      </c>
      <c r="I78" s="25" t="s">
        <v>228</v>
      </c>
      <c r="J78" s="28" t="s">
        <v>328</v>
      </c>
      <c r="K78" s="29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9" t="n">
        <f aca="false">IF($K78="","",IF(AND($K78-기준정보!$C$5&gt;=기준정보!$C$10,$K78-기준정보!$C$5&lt;=기준정보!$C$11),기준정보!$C$10-1,$K78-기준정보!$C$5))</f>
        <v>46405</v>
      </c>
      <c r="M78" s="30" t="n">
        <f aca="false">IF($L78="","",IF(OR(ISNUMBER(SEARCH("중국",$U78)),ISNUMBER(SEARCH("베트남",$U78))),MAX(0,MIN($L78,기준정보!$C$9)-MAX($L78-기준정보!$C$6,기준정보!$C$8)+1),IF(ISNUMBER(SEARCH("한국",$U78)),MAX(0,MIN($L78,기준정보!$C$11)-MAX($L78-기준정보!$C$6,기준정보!$C$10)+1),0)))</f>
        <v>0</v>
      </c>
      <c r="N78" s="29" t="n">
        <f aca="false">IF($L78="","",$L78-기준정보!$C$6-$M78)</f>
        <v>46315</v>
      </c>
      <c r="O78" s="31" t="n">
        <f aca="false">IF($N78="","",$N78-기준정보!$C$4)</f>
        <v>73</v>
      </c>
      <c r="P78" s="28" t="s">
        <v>82</v>
      </c>
      <c r="Q78" s="28" t="s">
        <v>83</v>
      </c>
      <c r="R78" s="32"/>
      <c r="S78" s="27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T78" s="26" t="s">
        <v>84</v>
      </c>
      <c r="U78" s="26" t="s">
        <v>85</v>
      </c>
      <c r="V78" s="33" t="n">
        <v>2500</v>
      </c>
      <c r="W78" s="27"/>
      <c r="X78" s="27" t="str">
        <f aca="false">IF($K78="","출고일 미정",IF($P78="X","작지 미발행",IF($P78="부분","작지 일부 미발행",IF(AND($R78&lt;&gt;"",$R78&gt;$N78),"소재입고 마감("&amp;TEXT($N78,"MM/DD")&amp;") 초과",IF($P78="","발행여부 확인 필요",IF($R78="","소재 입고일정 확인 필요","정상"))))))</f>
        <v>소재 입고일정 확인 필요</v>
      </c>
      <c r="Y78" s="25" t="str">
        <f aca="false">IF($K78="","",IF(OR(LEFT($X78,2)="작지",LEFT($X78,4)="소재입고"),IF(LEFT($G78,1)="S","★ 납기위험(S코드)","◆ 지연주의"),IF($X78="정상","✓ 정상","? 확인필요")))</f>
        <v>? 확인필요</v>
      </c>
      <c r="Z78" s="28"/>
      <c r="AA78" s="34"/>
    </row>
    <row r="79" customFormat="false" ht="15" hidden="false" customHeight="false" outlineLevel="0" collapsed="false">
      <c r="A79" s="25" t="n">
        <v>75</v>
      </c>
      <c r="B79" s="26" t="s">
        <v>220</v>
      </c>
      <c r="C79" s="26" t="s">
        <v>200</v>
      </c>
      <c r="D79" s="27" t="s">
        <v>329</v>
      </c>
      <c r="E79" s="26" t="s">
        <v>330</v>
      </c>
      <c r="F79" s="27" t="s">
        <v>331</v>
      </c>
      <c r="G79" s="25" t="str">
        <f aca="false">IF($D79="","",IF(MID($D79,5,1)="S","S(봄)",IF(MID($D79,5,1)="M","M(여름)",IF(MID($D79,5,1)="X","X(사계절)",MID($D79,5,1)))))</f>
        <v>S(봄)</v>
      </c>
      <c r="H79" s="27" t="s">
        <v>209</v>
      </c>
      <c r="I79" s="25" t="s">
        <v>228</v>
      </c>
      <c r="J79" s="28" t="s">
        <v>328</v>
      </c>
      <c r="K79" s="29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9" t="n">
        <f aca="false">IF($K79="","",IF(AND($K79-기준정보!$C$5&gt;=기준정보!$C$10,$K79-기준정보!$C$5&lt;=기준정보!$C$11),기준정보!$C$10-1,$K79-기준정보!$C$5))</f>
        <v>46405</v>
      </c>
      <c r="M79" s="30" t="n">
        <f aca="false">IF($L79="","",IF(OR(ISNUMBER(SEARCH("중국",$U79)),ISNUMBER(SEARCH("베트남",$U79))),MAX(0,MIN($L79,기준정보!$C$9)-MAX($L79-기준정보!$C$6,기준정보!$C$8)+1),IF(ISNUMBER(SEARCH("한국",$U79)),MAX(0,MIN($L79,기준정보!$C$11)-MAX($L79-기준정보!$C$6,기준정보!$C$10)+1),0)))</f>
        <v>0</v>
      </c>
      <c r="N79" s="29" t="n">
        <f aca="false">IF($L79="","",$L79-기준정보!$C$6-$M79)</f>
        <v>46315</v>
      </c>
      <c r="O79" s="31" t="n">
        <f aca="false">IF($N79="","",$N79-기준정보!$C$4)</f>
        <v>73</v>
      </c>
      <c r="P79" s="28" t="s">
        <v>82</v>
      </c>
      <c r="Q79" s="28" t="s">
        <v>83</v>
      </c>
      <c r="R79" s="32"/>
      <c r="S79" s="27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T79" s="26" t="s">
        <v>258</v>
      </c>
      <c r="U79" s="26" t="s">
        <v>332</v>
      </c>
      <c r="V79" s="33" t="n">
        <v>7000</v>
      </c>
      <c r="W79" s="27"/>
      <c r="X79" s="27" t="str">
        <f aca="false">IF($K79="","출고일 미정",IF($P79="X","작지 미발행",IF($P79="부분","작지 일부 미발행",IF(AND($R79&lt;&gt;"",$R79&gt;$N79),"소재입고 마감("&amp;TEXT($N79,"MM/DD")&amp;") 초과",IF($P79="","발행여부 확인 필요",IF($R79="","소재 입고일정 확인 필요","정상"))))))</f>
        <v>소재 입고일정 확인 필요</v>
      </c>
      <c r="Y79" s="25" t="str">
        <f aca="false">IF($K79="","",IF(OR(LEFT($X79,2)="작지",LEFT($X79,4)="소재입고"),IF(LEFT($G79,1)="S","★ 납기위험(S코드)","◆ 지연주의"),IF($X79="정상","✓ 정상","? 확인필요")))</f>
        <v>? 확인필요</v>
      </c>
      <c r="Z79" s="28"/>
      <c r="AA79" s="34"/>
    </row>
    <row r="80" customFormat="false" ht="15" hidden="false" customHeight="false" outlineLevel="0" collapsed="false">
      <c r="A80" s="25" t="n">
        <v>76</v>
      </c>
      <c r="B80" s="26" t="s">
        <v>199</v>
      </c>
      <c r="C80" s="26" t="s">
        <v>200</v>
      </c>
      <c r="D80" s="27" t="s">
        <v>333</v>
      </c>
      <c r="E80" s="26" t="s">
        <v>334</v>
      </c>
      <c r="F80" s="27" t="s">
        <v>160</v>
      </c>
      <c r="G80" s="25" t="str">
        <f aca="false">IF($D80="","",IF(MID($D80,5,1)="S","S(봄)",IF(MID($D80,5,1)="M","M(여름)",IF(MID($D80,5,1)="X","X(사계절)",MID($D80,5,1)))))</f>
        <v>S(봄)</v>
      </c>
      <c r="H80" s="26" t="s">
        <v>79</v>
      </c>
      <c r="I80" s="25"/>
      <c r="J80" s="28" t="s">
        <v>328</v>
      </c>
      <c r="K80" s="29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9" t="n">
        <f aca="false">IF($K80="","",IF(AND($K80-기준정보!$C$5&gt;=기준정보!$C$10,$K80-기준정보!$C$5&lt;=기준정보!$C$11),기준정보!$C$10-1,$K80-기준정보!$C$5))</f>
        <v>46405</v>
      </c>
      <c r="M80" s="30" t="n">
        <f aca="false">IF($L80="","",IF(OR(ISNUMBER(SEARCH("중국",$U80)),ISNUMBER(SEARCH("베트남",$U80))),MAX(0,MIN($L80,기준정보!$C$9)-MAX($L80-기준정보!$C$6,기준정보!$C$8)+1),IF(ISNUMBER(SEARCH("한국",$U80)),MAX(0,MIN($L80,기준정보!$C$11)-MAX($L80-기준정보!$C$6,기준정보!$C$10)+1),0)))</f>
        <v>0</v>
      </c>
      <c r="N80" s="29" t="n">
        <f aca="false">IF($L80="","",$L80-기준정보!$C$6-$M80)</f>
        <v>46315</v>
      </c>
      <c r="O80" s="31" t="n">
        <f aca="false">IF($N80="","",$N80-기준정보!$C$4)</f>
        <v>73</v>
      </c>
      <c r="P80" s="28" t="s">
        <v>82</v>
      </c>
      <c r="Q80" s="28" t="s">
        <v>83</v>
      </c>
      <c r="R80" s="32"/>
      <c r="S80" s="27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T80" s="26" t="s">
        <v>89</v>
      </c>
      <c r="U80" s="27"/>
      <c r="V80" s="33" t="n">
        <v>800</v>
      </c>
      <c r="W80" s="27" t="s">
        <v>328</v>
      </c>
      <c r="X80" s="27" t="str">
        <f aca="false">IF($K80="","출고일 미정",IF($P80="X","작지 미발행",IF($P80="부분","작지 일부 미발행",IF(AND($R80&lt;&gt;"",$R80&gt;$N80),"소재입고 마감("&amp;TEXT($N80,"MM/DD")&amp;") 초과",IF($P80="","발행여부 확인 필요",IF($R80="","소재 입고일정 확인 필요","정상"))))))</f>
        <v>소재 입고일정 확인 필요</v>
      </c>
      <c r="Y80" s="25" t="str">
        <f aca="false">IF($K80="","",IF(OR(LEFT($X80,2)="작지",LEFT($X80,4)="소재입고"),IF(LEFT($G80,1)="S","★ 납기위험(S코드)","◆ 지연주의"),IF($X80="정상","✓ 정상","? 확인필요")))</f>
        <v>? 확인필요</v>
      </c>
      <c r="Z80" s="28"/>
      <c r="AA80" s="34"/>
    </row>
    <row r="81" customFormat="false" ht="15" hidden="false" customHeight="false" outlineLevel="0" collapsed="false">
      <c r="A81" s="25" t="n">
        <v>77</v>
      </c>
      <c r="B81" s="26" t="s">
        <v>220</v>
      </c>
      <c r="C81" s="26" t="s">
        <v>200</v>
      </c>
      <c r="D81" s="27" t="s">
        <v>335</v>
      </c>
      <c r="E81" s="26" t="s">
        <v>336</v>
      </c>
      <c r="F81" s="27" t="s">
        <v>337</v>
      </c>
      <c r="G81" s="25" t="str">
        <f aca="false">IF($D81="","",IF(MID($D81,5,1)="S","S(봄)",IF(MID($D81,5,1)="M","M(여름)",IF(MID($D81,5,1)="X","X(사계절)",MID($D81,5,1)))))</f>
        <v>S(봄)</v>
      </c>
      <c r="H81" s="27" t="s">
        <v>209</v>
      </c>
      <c r="I81" s="25" t="s">
        <v>228</v>
      </c>
      <c r="J81" s="28" t="s">
        <v>328</v>
      </c>
      <c r="K81" s="29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9" t="n">
        <f aca="false">IF($K81="","",IF(AND($K81-기준정보!$C$5&gt;=기준정보!$C$10,$K81-기준정보!$C$5&lt;=기준정보!$C$11),기준정보!$C$10-1,$K81-기준정보!$C$5))</f>
        <v>46405</v>
      </c>
      <c r="M81" s="30" t="n">
        <f aca="false">IF($L81="","",IF(OR(ISNUMBER(SEARCH("중국",$U81)),ISNUMBER(SEARCH("베트남",$U81))),MAX(0,MIN($L81,기준정보!$C$9)-MAX($L81-기준정보!$C$6,기준정보!$C$8)+1),IF(ISNUMBER(SEARCH("한국",$U81)),MAX(0,MIN($L81,기준정보!$C$11)-MAX($L81-기준정보!$C$6,기준정보!$C$10)+1),0)))</f>
        <v>0</v>
      </c>
      <c r="N81" s="29" t="n">
        <f aca="false">IF($L81="","",$L81-기준정보!$C$6-$M81)</f>
        <v>46315</v>
      </c>
      <c r="O81" s="31" t="n">
        <f aca="false">IF($N81="","",$N81-기준정보!$C$4)</f>
        <v>73</v>
      </c>
      <c r="P81" s="28" t="s">
        <v>82</v>
      </c>
      <c r="Q81" s="28" t="s">
        <v>83</v>
      </c>
      <c r="R81" s="32"/>
      <c r="S81" s="27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T81" s="26" t="s">
        <v>89</v>
      </c>
      <c r="U81" s="26" t="s">
        <v>90</v>
      </c>
      <c r="V81" s="33" t="n">
        <v>4000</v>
      </c>
      <c r="W81" s="27"/>
      <c r="X81" s="27" t="str">
        <f aca="false">IF($K81="","출고일 미정",IF($P81="X","작지 미발행",IF($P81="부분","작지 일부 미발행",IF(AND($R81&lt;&gt;"",$R81&gt;$N81),"소재입고 마감("&amp;TEXT($N81,"MM/DD")&amp;") 초과",IF($P81="","발행여부 확인 필요",IF($R81="","소재 입고일정 확인 필요","정상"))))))</f>
        <v>소재 입고일정 확인 필요</v>
      </c>
      <c r="Y81" s="25" t="str">
        <f aca="false">IF($K81="","",IF(OR(LEFT($X81,2)="작지",LEFT($X81,4)="소재입고"),IF(LEFT($G81,1)="S","★ 납기위험(S코드)","◆ 지연주의"),IF($X81="정상","✓ 정상","? 확인필요")))</f>
        <v>? 확인필요</v>
      </c>
      <c r="Z81" s="28"/>
      <c r="AA81" s="34"/>
    </row>
    <row r="82" customFormat="false" ht="15" hidden="false" customHeight="false" outlineLevel="0" collapsed="false">
      <c r="A82" s="25" t="n">
        <v>78</v>
      </c>
      <c r="B82" s="26" t="s">
        <v>204</v>
      </c>
      <c r="C82" s="26" t="s">
        <v>205</v>
      </c>
      <c r="D82" s="27" t="s">
        <v>338</v>
      </c>
      <c r="E82" s="27" t="s">
        <v>339</v>
      </c>
      <c r="F82" s="27" t="s">
        <v>249</v>
      </c>
      <c r="G82" s="25" t="str">
        <f aca="false">IF($D82="","",IF(MID($D82,5,1)="S","S(봄)",IF(MID($D82,5,1)="M","M(여름)",IF(MID($D82,5,1)="X","X(사계절)",MID($D82,5,1)))))</f>
        <v>S(봄)</v>
      </c>
      <c r="H82" s="27" t="s">
        <v>209</v>
      </c>
      <c r="I82" s="25"/>
      <c r="J82" s="28" t="s">
        <v>328</v>
      </c>
      <c r="K82" s="29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9" t="n">
        <f aca="false">IF($K82="","",IF(AND($K82-기준정보!$C$5&gt;=기준정보!$C$10,$K82-기준정보!$C$5&lt;=기준정보!$C$11),기준정보!$C$10-1,$K82-기준정보!$C$5))</f>
        <v>46405</v>
      </c>
      <c r="M82" s="30" t="n">
        <f aca="false">IF($L82="","",IF(OR(ISNUMBER(SEARCH("중국",$U82)),ISNUMBER(SEARCH("베트남",$U82))),MAX(0,MIN($L82,기준정보!$C$9)-MAX($L82-기준정보!$C$6,기준정보!$C$8)+1),IF(ISNUMBER(SEARCH("한국",$U82)),MAX(0,MIN($L82,기준정보!$C$11)-MAX($L82-기준정보!$C$6,기준정보!$C$10)+1),0)))</f>
        <v>0</v>
      </c>
      <c r="N82" s="29" t="n">
        <f aca="false">IF($L82="","",$L82-기준정보!$C$6-$M82)</f>
        <v>46315</v>
      </c>
      <c r="O82" s="31" t="n">
        <f aca="false">IF($N82="","",$N82-기준정보!$C$4)</f>
        <v>73</v>
      </c>
      <c r="P82" s="28" t="s">
        <v>82</v>
      </c>
      <c r="Q82" s="28" t="s">
        <v>83</v>
      </c>
      <c r="R82" s="32"/>
      <c r="S82" s="27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T82" s="27" t="s">
        <v>235</v>
      </c>
      <c r="U82" s="26" t="s">
        <v>85</v>
      </c>
      <c r="V82" s="33" t="n">
        <v>1800</v>
      </c>
      <c r="W82" s="27" t="s">
        <v>328</v>
      </c>
      <c r="X82" s="27" t="str">
        <f aca="false">IF($K82="","출고일 미정",IF($P82="X","작지 미발행",IF($P82="부분","작지 일부 미발행",IF(AND($R82&lt;&gt;"",$R82&gt;$N82),"소재입고 마감("&amp;TEXT($N82,"MM/DD")&amp;") 초과",IF($P82="","발행여부 확인 필요",IF($R82="","소재 입고일정 확인 필요","정상"))))))</f>
        <v>소재 입고일정 확인 필요</v>
      </c>
      <c r="Y82" s="25" t="str">
        <f aca="false">IF($K82="","",IF(OR(LEFT($X82,2)="작지",LEFT($X82,4)="소재입고"),IF(LEFT($G82,1)="S","★ 납기위험(S코드)","◆ 지연주의"),IF($X82="정상","✓ 정상","? 확인필요")))</f>
        <v>? 확인필요</v>
      </c>
      <c r="Z82" s="28"/>
      <c r="AA82" s="34"/>
    </row>
    <row r="83" customFormat="false" ht="15" hidden="false" customHeight="false" outlineLevel="0" collapsed="false">
      <c r="A83" s="25" t="n">
        <v>79</v>
      </c>
      <c r="B83" s="26" t="s">
        <v>204</v>
      </c>
      <c r="C83" s="26" t="s">
        <v>205</v>
      </c>
      <c r="D83" s="27" t="s">
        <v>340</v>
      </c>
      <c r="E83" s="26" t="s">
        <v>341</v>
      </c>
      <c r="F83" s="27" t="s">
        <v>342</v>
      </c>
      <c r="G83" s="25" t="str">
        <f aca="false">IF($D83="","",IF(MID($D83,5,1)="S","S(봄)",IF(MID($D83,5,1)="M","M(여름)",IF(MID($D83,5,1)="X","X(사계절)",MID($D83,5,1)))))</f>
        <v>S(봄)</v>
      </c>
      <c r="H83" s="26" t="s">
        <v>79</v>
      </c>
      <c r="I83" s="25"/>
      <c r="J83" s="28" t="s">
        <v>328</v>
      </c>
      <c r="K83" s="29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9" t="n">
        <f aca="false">IF($K83="","",IF(AND($K83-기준정보!$C$5&gt;=기준정보!$C$10,$K83-기준정보!$C$5&lt;=기준정보!$C$11),기준정보!$C$10-1,$K83-기준정보!$C$5))</f>
        <v>46405</v>
      </c>
      <c r="M83" s="30" t="n">
        <f aca="false">IF($L83="","",IF(OR(ISNUMBER(SEARCH("중국",$U83)),ISNUMBER(SEARCH("베트남",$U83))),MAX(0,MIN($L83,기준정보!$C$9)-MAX($L83-기준정보!$C$6,기준정보!$C$8)+1),IF(ISNUMBER(SEARCH("한국",$U83)),MAX(0,MIN($L83,기준정보!$C$11)-MAX($L83-기준정보!$C$6,기준정보!$C$10)+1),0)))</f>
        <v>0</v>
      </c>
      <c r="N83" s="29" t="n">
        <f aca="false">IF($L83="","",$L83-기준정보!$C$6-$M83)</f>
        <v>46315</v>
      </c>
      <c r="O83" s="31" t="n">
        <f aca="false">IF($N83="","",$N83-기준정보!$C$4)</f>
        <v>73</v>
      </c>
      <c r="P83" s="28" t="s">
        <v>82</v>
      </c>
      <c r="Q83" s="28" t="s">
        <v>83</v>
      </c>
      <c r="R83" s="32"/>
      <c r="S83" s="27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T83" s="27" t="s">
        <v>243</v>
      </c>
      <c r="U83" s="26" t="s">
        <v>90</v>
      </c>
      <c r="V83" s="33" t="n">
        <v>2000</v>
      </c>
      <c r="W83" s="27" t="s">
        <v>328</v>
      </c>
      <c r="X83" s="27" t="str">
        <f aca="false">IF($K83="","출고일 미정",IF($P83="X","작지 미발행",IF($P83="부분","작지 일부 미발행",IF(AND($R83&lt;&gt;"",$R83&gt;$N83),"소재입고 마감("&amp;TEXT($N83,"MM/DD")&amp;") 초과",IF($P83="","발행여부 확인 필요",IF($R83="","소재 입고일정 확인 필요","정상"))))))</f>
        <v>소재 입고일정 확인 필요</v>
      </c>
      <c r="Y83" s="25" t="str">
        <f aca="false">IF($K83="","",IF(OR(LEFT($X83,2)="작지",LEFT($X83,4)="소재입고"),IF(LEFT($G83,1)="S","★ 납기위험(S코드)","◆ 지연주의"),IF($X83="정상","✓ 정상","? 확인필요")))</f>
        <v>? 확인필요</v>
      </c>
      <c r="Z83" s="28"/>
      <c r="AA83" s="34"/>
    </row>
    <row r="84" customFormat="false" ht="15" hidden="false" customHeight="false" outlineLevel="0" collapsed="false">
      <c r="A84" s="25" t="n">
        <v>80</v>
      </c>
      <c r="B84" s="26" t="s">
        <v>204</v>
      </c>
      <c r="C84" s="26" t="s">
        <v>205</v>
      </c>
      <c r="D84" s="27" t="s">
        <v>343</v>
      </c>
      <c r="E84" s="26" t="s">
        <v>344</v>
      </c>
      <c r="F84" s="27" t="s">
        <v>345</v>
      </c>
      <c r="G84" s="25" t="str">
        <f aca="false">IF($D84="","",IF(MID($D84,5,1)="S","S(봄)",IF(MID($D84,5,1)="M","M(여름)",IF(MID($D84,5,1)="X","X(사계절)",MID($D84,5,1)))))</f>
        <v>S(봄)</v>
      </c>
      <c r="H84" s="26" t="s">
        <v>79</v>
      </c>
      <c r="I84" s="25"/>
      <c r="J84" s="28" t="s">
        <v>328</v>
      </c>
      <c r="K84" s="29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9" t="n">
        <f aca="false">IF($K84="","",IF(AND($K84-기준정보!$C$5&gt;=기준정보!$C$10,$K84-기준정보!$C$5&lt;=기준정보!$C$11),기준정보!$C$10-1,$K84-기준정보!$C$5))</f>
        <v>46405</v>
      </c>
      <c r="M84" s="30" t="n">
        <f aca="false">IF($L84="","",IF(OR(ISNUMBER(SEARCH("중국",$U84)),ISNUMBER(SEARCH("베트남",$U84))),MAX(0,MIN($L84,기준정보!$C$9)-MAX($L84-기준정보!$C$6,기준정보!$C$8)+1),IF(ISNUMBER(SEARCH("한국",$U84)),MAX(0,MIN($L84,기준정보!$C$11)-MAX($L84-기준정보!$C$6,기준정보!$C$10)+1),0)))</f>
        <v>0</v>
      </c>
      <c r="N84" s="29" t="n">
        <f aca="false">IF($L84="","",$L84-기준정보!$C$6-$M84)</f>
        <v>46315</v>
      </c>
      <c r="O84" s="31" t="n">
        <f aca="false">IF($N84="","",$N84-기준정보!$C$4)</f>
        <v>73</v>
      </c>
      <c r="P84" s="28" t="s">
        <v>82</v>
      </c>
      <c r="Q84" s="28" t="s">
        <v>83</v>
      </c>
      <c r="R84" s="32"/>
      <c r="S84" s="27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T84" s="27" t="s">
        <v>243</v>
      </c>
      <c r="U84" s="26" t="s">
        <v>90</v>
      </c>
      <c r="V84" s="33" t="n">
        <v>1300</v>
      </c>
      <c r="W84" s="27" t="s">
        <v>328</v>
      </c>
      <c r="X84" s="27" t="str">
        <f aca="false">IF($K84="","출고일 미정",IF($P84="X","작지 미발행",IF($P84="부분","작지 일부 미발행",IF(AND($R84&lt;&gt;"",$R84&gt;$N84),"소재입고 마감("&amp;TEXT($N84,"MM/DD")&amp;") 초과",IF($P84="","발행여부 확인 필요",IF($R84="","소재 입고일정 확인 필요","정상"))))))</f>
        <v>소재 입고일정 확인 필요</v>
      </c>
      <c r="Y84" s="25" t="str">
        <f aca="false">IF($K84="","",IF(OR(LEFT($X84,2)="작지",LEFT($X84,4)="소재입고"),IF(LEFT($G84,1)="S","★ 납기위험(S코드)","◆ 지연주의"),IF($X84="정상","✓ 정상","? 확인필요")))</f>
        <v>? 확인필요</v>
      </c>
      <c r="Z84" s="28"/>
      <c r="AA84" s="34"/>
    </row>
    <row r="85" customFormat="false" ht="15" hidden="false" customHeight="false" outlineLevel="0" collapsed="false">
      <c r="A85" s="25" t="n">
        <v>81</v>
      </c>
      <c r="B85" s="26" t="s">
        <v>204</v>
      </c>
      <c r="C85" s="26" t="s">
        <v>205</v>
      </c>
      <c r="D85" s="27" t="s">
        <v>346</v>
      </c>
      <c r="E85" s="26" t="s">
        <v>347</v>
      </c>
      <c r="F85" s="27" t="s">
        <v>348</v>
      </c>
      <c r="G85" s="25" t="str">
        <f aca="false">IF($D85="","",IF(MID($D85,5,1)="S","S(봄)",IF(MID($D85,5,1)="M","M(여름)",IF(MID($D85,5,1)="X","X(사계절)",MID($D85,5,1)))))</f>
        <v>S(봄)</v>
      </c>
      <c r="H85" s="26" t="s">
        <v>79</v>
      </c>
      <c r="I85" s="25"/>
      <c r="J85" s="28" t="s">
        <v>328</v>
      </c>
      <c r="K85" s="29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9" t="n">
        <f aca="false">IF($K85="","",IF(AND($K85-기준정보!$C$5&gt;=기준정보!$C$10,$K85-기준정보!$C$5&lt;=기준정보!$C$11),기준정보!$C$10-1,$K85-기준정보!$C$5))</f>
        <v>46405</v>
      </c>
      <c r="M85" s="30" t="n">
        <f aca="false">IF($L85="","",IF(OR(ISNUMBER(SEARCH("중국",$U85)),ISNUMBER(SEARCH("베트남",$U85))),MAX(0,MIN($L85,기준정보!$C$9)-MAX($L85-기준정보!$C$6,기준정보!$C$8)+1),IF(ISNUMBER(SEARCH("한국",$U85)),MAX(0,MIN($L85,기준정보!$C$11)-MAX($L85-기준정보!$C$6,기준정보!$C$10)+1),0)))</f>
        <v>0</v>
      </c>
      <c r="N85" s="29" t="n">
        <f aca="false">IF($L85="","",$L85-기준정보!$C$6-$M85)</f>
        <v>46315</v>
      </c>
      <c r="O85" s="31" t="n">
        <f aca="false">IF($N85="","",$N85-기준정보!$C$4)</f>
        <v>73</v>
      </c>
      <c r="P85" s="28" t="s">
        <v>82</v>
      </c>
      <c r="Q85" s="28" t="s">
        <v>83</v>
      </c>
      <c r="R85" s="32"/>
      <c r="S85" s="27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T85" s="27" t="s">
        <v>243</v>
      </c>
      <c r="U85" s="26" t="s">
        <v>90</v>
      </c>
      <c r="V85" s="33" t="n">
        <v>1200</v>
      </c>
      <c r="W85" s="27" t="s">
        <v>328</v>
      </c>
      <c r="X85" s="27" t="str">
        <f aca="false">IF($K85="","출고일 미정",IF($P85="X","작지 미발행",IF($P85="부분","작지 일부 미발행",IF(AND($R85&lt;&gt;"",$R85&gt;$N85),"소재입고 마감("&amp;TEXT($N85,"MM/DD")&amp;") 초과",IF($P85="","발행여부 확인 필요",IF($R85="","소재 입고일정 확인 필요","정상"))))))</f>
        <v>소재 입고일정 확인 필요</v>
      </c>
      <c r="Y85" s="25" t="str">
        <f aca="false">IF($K85="","",IF(OR(LEFT($X85,2)="작지",LEFT($X85,4)="소재입고"),IF(LEFT($G85,1)="S","★ 납기위험(S코드)","◆ 지연주의"),IF($X85="정상","✓ 정상","? 확인필요")))</f>
        <v>? 확인필요</v>
      </c>
      <c r="Z85" s="28"/>
      <c r="AA85" s="34"/>
    </row>
    <row r="86" customFormat="false" ht="15" hidden="false" customHeight="false" outlineLevel="0" collapsed="false">
      <c r="A86" s="25" t="n">
        <v>82</v>
      </c>
      <c r="B86" s="26" t="s">
        <v>204</v>
      </c>
      <c r="C86" s="26" t="s">
        <v>205</v>
      </c>
      <c r="D86" s="27" t="s">
        <v>349</v>
      </c>
      <c r="E86" s="26" t="s">
        <v>350</v>
      </c>
      <c r="F86" s="27" t="s">
        <v>351</v>
      </c>
      <c r="G86" s="25" t="str">
        <f aca="false">IF($D86="","",IF(MID($D86,5,1)="S","S(봄)",IF(MID($D86,5,1)="M","M(여름)",IF(MID($D86,5,1)="X","X(사계절)",MID($D86,5,1)))))</f>
        <v>S(봄)</v>
      </c>
      <c r="H86" s="26" t="s">
        <v>79</v>
      </c>
      <c r="I86" s="25"/>
      <c r="J86" s="28" t="s">
        <v>328</v>
      </c>
      <c r="K86" s="29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9" t="n">
        <f aca="false">IF($K86="","",IF(AND($K86-기준정보!$C$5&gt;=기준정보!$C$10,$K86-기준정보!$C$5&lt;=기준정보!$C$11),기준정보!$C$10-1,$K86-기준정보!$C$5))</f>
        <v>46405</v>
      </c>
      <c r="M86" s="30" t="n">
        <f aca="false">IF($L86="","",IF(OR(ISNUMBER(SEARCH("중국",$U86)),ISNUMBER(SEARCH("베트남",$U86))),MAX(0,MIN($L86,기준정보!$C$9)-MAX($L86-기준정보!$C$6,기준정보!$C$8)+1),IF(ISNUMBER(SEARCH("한국",$U86)),MAX(0,MIN($L86,기준정보!$C$11)-MAX($L86-기준정보!$C$6,기준정보!$C$10)+1),0)))</f>
        <v>0</v>
      </c>
      <c r="N86" s="29" t="n">
        <f aca="false">IF($L86="","",$L86-기준정보!$C$6-$M86)</f>
        <v>46315</v>
      </c>
      <c r="O86" s="31" t="n">
        <f aca="false">IF($N86="","",$N86-기준정보!$C$4)</f>
        <v>73</v>
      </c>
      <c r="P86" s="28" t="s">
        <v>82</v>
      </c>
      <c r="Q86" s="28" t="s">
        <v>83</v>
      </c>
      <c r="R86" s="32"/>
      <c r="S86" s="27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T86" s="26" t="s">
        <v>311</v>
      </c>
      <c r="U86" s="26" t="s">
        <v>90</v>
      </c>
      <c r="V86" s="33" t="n">
        <v>3000</v>
      </c>
      <c r="W86" s="27" t="s">
        <v>328</v>
      </c>
      <c r="X86" s="27" t="str">
        <f aca="false">IF($K86="","출고일 미정",IF($P86="X","작지 미발행",IF($P86="부분","작지 일부 미발행",IF(AND($R86&lt;&gt;"",$R86&gt;$N86),"소재입고 마감("&amp;TEXT($N86,"MM/DD")&amp;") 초과",IF($P86="","발행여부 확인 필요",IF($R86="","소재 입고일정 확인 필요","정상"))))))</f>
        <v>소재 입고일정 확인 필요</v>
      </c>
      <c r="Y86" s="25" t="str">
        <f aca="false">IF($K86="","",IF(OR(LEFT($X86,2)="작지",LEFT($X86,4)="소재입고"),IF(LEFT($G86,1)="S","★ 납기위험(S코드)","◆ 지연주의"),IF($X86="정상","✓ 정상","? 확인필요")))</f>
        <v>? 확인필요</v>
      </c>
      <c r="Z86" s="28"/>
      <c r="AA86" s="34"/>
    </row>
    <row r="87" customFormat="false" ht="15" hidden="false" customHeight="false" outlineLevel="0" collapsed="false">
      <c r="A87" s="25" t="n">
        <v>83</v>
      </c>
      <c r="B87" s="26" t="s">
        <v>204</v>
      </c>
      <c r="C87" s="26" t="s">
        <v>205</v>
      </c>
      <c r="D87" s="27" t="s">
        <v>352</v>
      </c>
      <c r="E87" s="26" t="s">
        <v>353</v>
      </c>
      <c r="F87" s="27" t="s">
        <v>146</v>
      </c>
      <c r="G87" s="25" t="str">
        <f aca="false">IF($D87="","",IF(MID($D87,5,1)="S","S(봄)",IF(MID($D87,5,1)="M","M(여름)",IF(MID($D87,5,1)="X","X(사계절)",MID($D87,5,1)))))</f>
        <v>S(봄)</v>
      </c>
      <c r="H87" s="26" t="s">
        <v>79</v>
      </c>
      <c r="I87" s="25"/>
      <c r="J87" s="28" t="s">
        <v>328</v>
      </c>
      <c r="K87" s="29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9" t="n">
        <f aca="false">IF($K87="","",IF(AND($K87-기준정보!$C$5&gt;=기준정보!$C$10,$K87-기준정보!$C$5&lt;=기준정보!$C$11),기준정보!$C$10-1,$K87-기준정보!$C$5))</f>
        <v>46405</v>
      </c>
      <c r="M87" s="30" t="n">
        <f aca="false">IF($L87="","",IF(OR(ISNUMBER(SEARCH("중국",$U87)),ISNUMBER(SEARCH("베트남",$U87))),MAX(0,MIN($L87,기준정보!$C$9)-MAX($L87-기준정보!$C$6,기준정보!$C$8)+1),IF(ISNUMBER(SEARCH("한국",$U87)),MAX(0,MIN($L87,기준정보!$C$11)-MAX($L87-기준정보!$C$6,기준정보!$C$10)+1),0)))</f>
        <v>0</v>
      </c>
      <c r="N87" s="29" t="n">
        <f aca="false">IF($L87="","",$L87-기준정보!$C$6-$M87)</f>
        <v>46315</v>
      </c>
      <c r="O87" s="31" t="n">
        <f aca="false">IF($N87="","",$N87-기준정보!$C$4)</f>
        <v>73</v>
      </c>
      <c r="P87" s="28" t="s">
        <v>82</v>
      </c>
      <c r="Q87" s="28" t="s">
        <v>83</v>
      </c>
      <c r="R87" s="32"/>
      <c r="S87" s="27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T87" s="27" t="s">
        <v>243</v>
      </c>
      <c r="U87" s="26" t="s">
        <v>90</v>
      </c>
      <c r="V87" s="33" t="n">
        <v>1400</v>
      </c>
      <c r="W87" s="27" t="s">
        <v>328</v>
      </c>
      <c r="X87" s="27" t="str">
        <f aca="false">IF($K87="","출고일 미정",IF($P87="X","작지 미발행",IF($P87="부분","작지 일부 미발행",IF(AND($R87&lt;&gt;"",$R87&gt;$N87),"소재입고 마감("&amp;TEXT($N87,"MM/DD")&amp;") 초과",IF($P87="","발행여부 확인 필요",IF($R87="","소재 입고일정 확인 필요","정상"))))))</f>
        <v>소재 입고일정 확인 필요</v>
      </c>
      <c r="Y87" s="25" t="str">
        <f aca="false">IF($K87="","",IF(OR(LEFT($X87,2)="작지",LEFT($X87,4)="소재입고"),IF(LEFT($G87,1)="S","★ 납기위험(S코드)","◆ 지연주의"),IF($X87="정상","✓ 정상","? 확인필요")))</f>
        <v>? 확인필요</v>
      </c>
      <c r="Z87" s="28"/>
      <c r="AA87" s="34"/>
    </row>
    <row r="88" customFormat="false" ht="15" hidden="false" customHeight="false" outlineLevel="0" collapsed="false">
      <c r="A88" s="25" t="n">
        <v>84</v>
      </c>
      <c r="B88" s="26" t="s">
        <v>220</v>
      </c>
      <c r="C88" s="26" t="s">
        <v>200</v>
      </c>
      <c r="D88" s="27" t="s">
        <v>354</v>
      </c>
      <c r="E88" s="26" t="s">
        <v>355</v>
      </c>
      <c r="F88" s="27" t="s">
        <v>356</v>
      </c>
      <c r="G88" s="25" t="str">
        <f aca="false">IF($D88="","",IF(MID($D88,5,1)="S","S(봄)",IF(MID($D88,5,1)="M","M(여름)",IF(MID($D88,5,1)="X","X(사계절)",MID($D88,5,1)))))</f>
        <v>S(봄)</v>
      </c>
      <c r="H88" s="27" t="s">
        <v>209</v>
      </c>
      <c r="I88" s="25" t="s">
        <v>228</v>
      </c>
      <c r="J88" s="28" t="s">
        <v>328</v>
      </c>
      <c r="K88" s="29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9" t="n">
        <f aca="false">IF($K88="","",IF(AND($K88-기준정보!$C$5&gt;=기준정보!$C$10,$K88-기준정보!$C$5&lt;=기준정보!$C$11),기준정보!$C$10-1,$K88-기준정보!$C$5))</f>
        <v>46405</v>
      </c>
      <c r="M88" s="30" t="n">
        <f aca="false">IF($L88="","",IF(OR(ISNUMBER(SEARCH("중국",$U88)),ISNUMBER(SEARCH("베트남",$U88))),MAX(0,MIN($L88,기준정보!$C$9)-MAX($L88-기준정보!$C$6,기준정보!$C$8)+1),IF(ISNUMBER(SEARCH("한국",$U88)),MAX(0,MIN($L88,기준정보!$C$11)-MAX($L88-기준정보!$C$6,기준정보!$C$10)+1),0)))</f>
        <v>0</v>
      </c>
      <c r="N88" s="29" t="n">
        <f aca="false">IF($L88="","",$L88-기준정보!$C$6-$M88)</f>
        <v>46315</v>
      </c>
      <c r="O88" s="31" t="n">
        <f aca="false">IF($N88="","",$N88-기준정보!$C$4)</f>
        <v>73</v>
      </c>
      <c r="P88" s="28" t="s">
        <v>82</v>
      </c>
      <c r="Q88" s="28" t="s">
        <v>83</v>
      </c>
      <c r="R88" s="32"/>
      <c r="S88" s="27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T88" s="26" t="s">
        <v>84</v>
      </c>
      <c r="U88" s="26" t="s">
        <v>85</v>
      </c>
      <c r="V88" s="33" t="n">
        <v>2500</v>
      </c>
      <c r="W88" s="27"/>
      <c r="X88" s="27" t="str">
        <f aca="false">IF($K88="","출고일 미정",IF($P88="X","작지 미발행",IF($P88="부분","작지 일부 미발행",IF(AND($R88&lt;&gt;"",$R88&gt;$N88),"소재입고 마감("&amp;TEXT($N88,"MM/DD")&amp;") 초과",IF($P88="","발행여부 확인 필요",IF($R88="","소재 입고일정 확인 필요","정상"))))))</f>
        <v>소재 입고일정 확인 필요</v>
      </c>
      <c r="Y88" s="25" t="str">
        <f aca="false">IF($K88="","",IF(OR(LEFT($X88,2)="작지",LEFT($X88,4)="소재입고"),IF(LEFT($G88,1)="S","★ 납기위험(S코드)","◆ 지연주의"),IF($X88="정상","✓ 정상","? 확인필요")))</f>
        <v>? 확인필요</v>
      </c>
      <c r="Z88" s="28"/>
      <c r="AA88" s="34"/>
    </row>
    <row r="89" customFormat="false" ht="15" hidden="false" customHeight="false" outlineLevel="0" collapsed="false">
      <c r="A89" s="25" t="n">
        <v>85</v>
      </c>
      <c r="B89" s="26" t="s">
        <v>220</v>
      </c>
      <c r="C89" s="26" t="s">
        <v>200</v>
      </c>
      <c r="D89" s="27" t="s">
        <v>357</v>
      </c>
      <c r="E89" s="26" t="s">
        <v>358</v>
      </c>
      <c r="F89" s="27" t="s">
        <v>359</v>
      </c>
      <c r="G89" s="25" t="str">
        <f aca="false">IF($D89="","",IF(MID($D89,5,1)="S","S(봄)",IF(MID($D89,5,1)="M","M(여름)",IF(MID($D89,5,1)="X","X(사계절)",MID($D89,5,1)))))</f>
        <v>S(봄)</v>
      </c>
      <c r="H89" s="27" t="s">
        <v>209</v>
      </c>
      <c r="I89" s="25" t="s">
        <v>228</v>
      </c>
      <c r="J89" s="28" t="s">
        <v>328</v>
      </c>
      <c r="K89" s="29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9" t="n">
        <f aca="false">IF($K89="","",IF(AND($K89-기준정보!$C$5&gt;=기준정보!$C$10,$K89-기준정보!$C$5&lt;=기준정보!$C$11),기준정보!$C$10-1,$K89-기준정보!$C$5))</f>
        <v>46405</v>
      </c>
      <c r="M89" s="30" t="n">
        <f aca="false">IF($L89="","",IF(OR(ISNUMBER(SEARCH("중국",$U89)),ISNUMBER(SEARCH("베트남",$U89))),MAX(0,MIN($L89,기준정보!$C$9)-MAX($L89-기준정보!$C$6,기준정보!$C$8)+1),IF(ISNUMBER(SEARCH("한국",$U89)),MAX(0,MIN($L89,기준정보!$C$11)-MAX($L89-기준정보!$C$6,기준정보!$C$10)+1),0)))</f>
        <v>0</v>
      </c>
      <c r="N89" s="29" t="n">
        <f aca="false">IF($L89="","",$L89-기준정보!$C$6-$M89)</f>
        <v>46315</v>
      </c>
      <c r="O89" s="31" t="n">
        <f aca="false">IF($N89="","",$N89-기준정보!$C$4)</f>
        <v>73</v>
      </c>
      <c r="P89" s="28" t="s">
        <v>82</v>
      </c>
      <c r="Q89" s="28" t="s">
        <v>83</v>
      </c>
      <c r="R89" s="32"/>
      <c r="S89" s="27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T89" s="26" t="s">
        <v>258</v>
      </c>
      <c r="U89" s="26" t="s">
        <v>332</v>
      </c>
      <c r="V89" s="33" t="n">
        <v>7640</v>
      </c>
      <c r="W89" s="27"/>
      <c r="X89" s="27" t="str">
        <f aca="false">IF($K89="","출고일 미정",IF($P89="X","작지 미발행",IF($P89="부분","작지 일부 미발행",IF(AND($R89&lt;&gt;"",$R89&gt;$N89),"소재입고 마감("&amp;TEXT($N89,"MM/DD")&amp;") 초과",IF($P89="","발행여부 확인 필요",IF($R89="","소재 입고일정 확인 필요","정상"))))))</f>
        <v>소재 입고일정 확인 필요</v>
      </c>
      <c r="Y89" s="25" t="str">
        <f aca="false">IF($K89="","",IF(OR(LEFT($X89,2)="작지",LEFT($X89,4)="소재입고"),IF(LEFT($G89,1)="S","★ 납기위험(S코드)","◆ 지연주의"),IF($X89="정상","✓ 정상","? 확인필요")))</f>
        <v>? 확인필요</v>
      </c>
      <c r="Z89" s="28"/>
      <c r="AA89" s="34"/>
    </row>
    <row r="90" customFormat="false" ht="15" hidden="false" customHeight="false" outlineLevel="0" collapsed="false">
      <c r="A90" s="25" t="n">
        <v>86</v>
      </c>
      <c r="B90" s="26" t="s">
        <v>220</v>
      </c>
      <c r="C90" s="26" t="s">
        <v>200</v>
      </c>
      <c r="D90" s="27" t="s">
        <v>360</v>
      </c>
      <c r="E90" s="26" t="s">
        <v>361</v>
      </c>
      <c r="F90" s="27" t="s">
        <v>146</v>
      </c>
      <c r="G90" s="25" t="str">
        <f aca="false">IF($D90="","",IF(MID($D90,5,1)="S","S(봄)",IF(MID($D90,5,1)="M","M(여름)",IF(MID($D90,5,1)="X","X(사계절)",MID($D90,5,1)))))</f>
        <v>S(봄)</v>
      </c>
      <c r="H90" s="26" t="s">
        <v>79</v>
      </c>
      <c r="I90" s="25"/>
      <c r="J90" s="28" t="s">
        <v>328</v>
      </c>
      <c r="K90" s="29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9" t="n">
        <f aca="false">IF($K90="","",IF(AND($K90-기준정보!$C$5&gt;=기준정보!$C$10,$K90-기준정보!$C$5&lt;=기준정보!$C$11),기준정보!$C$10-1,$K90-기준정보!$C$5))</f>
        <v>46405</v>
      </c>
      <c r="M90" s="30" t="n">
        <f aca="false">IF($L90="","",IF(OR(ISNUMBER(SEARCH("중국",$U90)),ISNUMBER(SEARCH("베트남",$U90))),MAX(0,MIN($L90,기준정보!$C$9)-MAX($L90-기준정보!$C$6,기준정보!$C$8)+1),IF(ISNUMBER(SEARCH("한국",$U90)),MAX(0,MIN($L90,기준정보!$C$11)-MAX($L90-기준정보!$C$6,기준정보!$C$10)+1),0)))</f>
        <v>0</v>
      </c>
      <c r="N90" s="29" t="n">
        <f aca="false">IF($L90="","",$L90-기준정보!$C$6-$M90)</f>
        <v>46315</v>
      </c>
      <c r="O90" s="31" t="n">
        <f aca="false">IF($N90="","",$N90-기준정보!$C$4)</f>
        <v>73</v>
      </c>
      <c r="P90" s="28" t="s">
        <v>82</v>
      </c>
      <c r="Q90" s="28" t="s">
        <v>83</v>
      </c>
      <c r="R90" s="32"/>
      <c r="S90" s="27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T90" s="26" t="s">
        <v>89</v>
      </c>
      <c r="U90" s="26" t="s">
        <v>90</v>
      </c>
      <c r="V90" s="33" t="n">
        <v>2200</v>
      </c>
      <c r="W90" s="27"/>
      <c r="X90" s="27" t="str">
        <f aca="false">IF($K90="","출고일 미정",IF($P90="X","작지 미발행",IF($P90="부분","작지 일부 미발행",IF(AND($R90&lt;&gt;"",$R90&gt;$N90),"소재입고 마감("&amp;TEXT($N90,"MM/DD")&amp;") 초과",IF($P90="","발행여부 확인 필요",IF($R90="","소재 입고일정 확인 필요","정상"))))))</f>
        <v>소재 입고일정 확인 필요</v>
      </c>
      <c r="Y90" s="25" t="str">
        <f aca="false">IF($K90="","",IF(OR(LEFT($X90,2)="작지",LEFT($X90,4)="소재입고"),IF(LEFT($G90,1)="S","★ 납기위험(S코드)","◆ 지연주의"),IF($X90="정상","✓ 정상","? 확인필요")))</f>
        <v>? 확인필요</v>
      </c>
      <c r="Z90" s="28"/>
      <c r="AA90" s="34"/>
    </row>
    <row r="91" customFormat="false" ht="15" hidden="false" customHeight="false" outlineLevel="0" collapsed="false">
      <c r="A91" s="25" t="n">
        <v>87</v>
      </c>
      <c r="B91" s="26" t="s">
        <v>220</v>
      </c>
      <c r="C91" s="26" t="s">
        <v>200</v>
      </c>
      <c r="D91" s="27" t="s">
        <v>362</v>
      </c>
      <c r="E91" s="26" t="s">
        <v>363</v>
      </c>
      <c r="F91" s="27" t="s">
        <v>364</v>
      </c>
      <c r="G91" s="25" t="str">
        <f aca="false">IF($D91="","",IF(MID($D91,5,1)="S","S(봄)",IF(MID($D91,5,1)="M","M(여름)",IF(MID($D91,5,1)="X","X(사계절)",MID($D91,5,1)))))</f>
        <v>S(봄)</v>
      </c>
      <c r="H91" s="27" t="s">
        <v>209</v>
      </c>
      <c r="I91" s="25" t="s">
        <v>228</v>
      </c>
      <c r="J91" s="28" t="s">
        <v>328</v>
      </c>
      <c r="K91" s="29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9" t="n">
        <f aca="false">IF($K91="","",IF(AND($K91-기준정보!$C$5&gt;=기준정보!$C$10,$K91-기준정보!$C$5&lt;=기준정보!$C$11),기준정보!$C$10-1,$K91-기준정보!$C$5))</f>
        <v>46405</v>
      </c>
      <c r="M91" s="30" t="n">
        <f aca="false">IF($L91="","",IF(OR(ISNUMBER(SEARCH("중국",$U91)),ISNUMBER(SEARCH("베트남",$U91))),MAX(0,MIN($L91,기준정보!$C$9)-MAX($L91-기준정보!$C$6,기준정보!$C$8)+1),IF(ISNUMBER(SEARCH("한국",$U91)),MAX(0,MIN($L91,기준정보!$C$11)-MAX($L91-기준정보!$C$6,기준정보!$C$10)+1),0)))</f>
        <v>0</v>
      </c>
      <c r="N91" s="29" t="n">
        <f aca="false">IF($L91="","",$L91-기준정보!$C$6-$M91)</f>
        <v>46315</v>
      </c>
      <c r="O91" s="31" t="n">
        <f aca="false">IF($N91="","",$N91-기준정보!$C$4)</f>
        <v>73</v>
      </c>
      <c r="P91" s="28" t="s">
        <v>82</v>
      </c>
      <c r="Q91" s="28" t="s">
        <v>83</v>
      </c>
      <c r="R91" s="32"/>
      <c r="S91" s="27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T91" s="26" t="s">
        <v>89</v>
      </c>
      <c r="U91" s="26" t="s">
        <v>90</v>
      </c>
      <c r="V91" s="33" t="n">
        <v>7000</v>
      </c>
      <c r="W91" s="27"/>
      <c r="X91" s="27" t="str">
        <f aca="false">IF($K91="","출고일 미정",IF($P91="X","작지 미발행",IF($P91="부분","작지 일부 미발행",IF(AND($R91&lt;&gt;"",$R91&gt;$N91),"소재입고 마감("&amp;TEXT($N91,"MM/DD")&amp;") 초과",IF($P91="","발행여부 확인 필요",IF($R91="","소재 입고일정 확인 필요","정상"))))))</f>
        <v>소재 입고일정 확인 필요</v>
      </c>
      <c r="Y91" s="25" t="str">
        <f aca="false">IF($K91="","",IF(OR(LEFT($X91,2)="작지",LEFT($X91,4)="소재입고"),IF(LEFT($G91,1)="S","★ 납기위험(S코드)","◆ 지연주의"),IF($X91="정상","✓ 정상","? 확인필요")))</f>
        <v>? 확인필요</v>
      </c>
      <c r="Z91" s="28"/>
      <c r="AA91" s="34"/>
    </row>
    <row r="92" customFormat="false" ht="15" hidden="false" customHeight="false" outlineLevel="0" collapsed="false">
      <c r="A92" s="25" t="n">
        <v>88</v>
      </c>
      <c r="B92" s="26" t="s">
        <v>253</v>
      </c>
      <c r="C92" s="26" t="s">
        <v>254</v>
      </c>
      <c r="D92" s="27" t="s">
        <v>365</v>
      </c>
      <c r="E92" s="26" t="s">
        <v>366</v>
      </c>
      <c r="F92" s="27" t="s">
        <v>367</v>
      </c>
      <c r="G92" s="25" t="str">
        <f aca="false">IF($D92="","",IF(MID($D92,5,1)="S","S(봄)",IF(MID($D92,5,1)="M","M(여름)",IF(MID($D92,5,1)="X","X(사계절)",MID($D92,5,1)))))</f>
        <v>S(봄)</v>
      </c>
      <c r="H92" s="26" t="s">
        <v>79</v>
      </c>
      <c r="I92" s="25"/>
      <c r="J92" s="28" t="s">
        <v>328</v>
      </c>
      <c r="K92" s="29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9" t="n">
        <f aca="false">IF($K92="","",IF(AND($K92-기준정보!$C$5&gt;=기준정보!$C$10,$K92-기준정보!$C$5&lt;=기준정보!$C$11),기준정보!$C$10-1,$K92-기준정보!$C$5))</f>
        <v>46405</v>
      </c>
      <c r="M92" s="30" t="n">
        <f aca="false">IF($L92="","",IF(OR(ISNUMBER(SEARCH("중국",$U92)),ISNUMBER(SEARCH("베트남",$U92))),MAX(0,MIN($L92,기준정보!$C$9)-MAX($L92-기준정보!$C$6,기준정보!$C$8)+1),IF(ISNUMBER(SEARCH("한국",$U92)),MAX(0,MIN($L92,기준정보!$C$11)-MAX($L92-기준정보!$C$6,기준정보!$C$10)+1),0)))</f>
        <v>0</v>
      </c>
      <c r="N92" s="29" t="n">
        <f aca="false">IF($L92="","",$L92-기준정보!$C$6-$M92)</f>
        <v>46315</v>
      </c>
      <c r="O92" s="31" t="n">
        <f aca="false">IF($N92="","",$N92-기준정보!$C$4)</f>
        <v>73</v>
      </c>
      <c r="P92" s="28" t="s">
        <v>82</v>
      </c>
      <c r="Q92" s="28" t="s">
        <v>83</v>
      </c>
      <c r="R92" s="32"/>
      <c r="S92" s="27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T92" s="26" t="s">
        <v>84</v>
      </c>
      <c r="U92" s="26" t="s">
        <v>85</v>
      </c>
      <c r="V92" s="33" t="n">
        <v>2800</v>
      </c>
      <c r="W92" s="27" t="s">
        <v>328</v>
      </c>
      <c r="X92" s="27" t="str">
        <f aca="false">IF($K92="","출고일 미정",IF($P92="X","작지 미발행",IF($P92="부분","작지 일부 미발행",IF(AND($R92&lt;&gt;"",$R92&gt;$N92),"소재입고 마감("&amp;TEXT($N92,"MM/DD")&amp;") 초과",IF($P92="","발행여부 확인 필요",IF($R92="","소재 입고일정 확인 필요","정상"))))))</f>
        <v>소재 입고일정 확인 필요</v>
      </c>
      <c r="Y92" s="25" t="str">
        <f aca="false">IF($K92="","",IF(OR(LEFT($X92,2)="작지",LEFT($X92,4)="소재입고"),IF(LEFT($G92,1)="S","★ 납기위험(S코드)","◆ 지연주의"),IF($X92="정상","✓ 정상","? 확인필요")))</f>
        <v>? 확인필요</v>
      </c>
      <c r="Z92" s="28"/>
      <c r="AA92" s="34"/>
    </row>
    <row r="93" customFormat="false" ht="15" hidden="false" customHeight="false" outlineLevel="0" collapsed="false">
      <c r="A93" s="25" t="n">
        <v>89</v>
      </c>
      <c r="B93" s="26" t="s">
        <v>253</v>
      </c>
      <c r="C93" s="26" t="s">
        <v>254</v>
      </c>
      <c r="D93" s="27" t="s">
        <v>368</v>
      </c>
      <c r="E93" s="26" t="s">
        <v>369</v>
      </c>
      <c r="F93" s="27" t="s">
        <v>370</v>
      </c>
      <c r="G93" s="25" t="str">
        <f aca="false">IF($D93="","",IF(MID($D93,5,1)="S","S(봄)",IF(MID($D93,5,1)="M","M(여름)",IF(MID($D93,5,1)="X","X(사계절)",MID($D93,5,1)))))</f>
        <v>S(봄)</v>
      </c>
      <c r="H93" s="26" t="s">
        <v>79</v>
      </c>
      <c r="I93" s="25"/>
      <c r="J93" s="28" t="s">
        <v>328</v>
      </c>
      <c r="K93" s="29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9" t="n">
        <f aca="false">IF($K93="","",IF(AND($K93-기준정보!$C$5&gt;=기준정보!$C$10,$K93-기준정보!$C$5&lt;=기준정보!$C$11),기준정보!$C$10-1,$K93-기준정보!$C$5))</f>
        <v>46405</v>
      </c>
      <c r="M93" s="30" t="n">
        <f aca="false">IF($L93="","",IF(OR(ISNUMBER(SEARCH("중국",$U93)),ISNUMBER(SEARCH("베트남",$U93))),MAX(0,MIN($L93,기준정보!$C$9)-MAX($L93-기준정보!$C$6,기준정보!$C$8)+1),IF(ISNUMBER(SEARCH("한국",$U93)),MAX(0,MIN($L93,기준정보!$C$11)-MAX($L93-기준정보!$C$6,기준정보!$C$10)+1),0)))</f>
        <v>0</v>
      </c>
      <c r="N93" s="29" t="n">
        <f aca="false">IF($L93="","",$L93-기준정보!$C$6-$M93)</f>
        <v>46315</v>
      </c>
      <c r="O93" s="31" t="n">
        <f aca="false">IF($N93="","",$N93-기준정보!$C$4)</f>
        <v>73</v>
      </c>
      <c r="P93" s="28" t="s">
        <v>82</v>
      </c>
      <c r="Q93" s="28" t="s">
        <v>83</v>
      </c>
      <c r="R93" s="32"/>
      <c r="S93" s="27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T93" s="26" t="s">
        <v>84</v>
      </c>
      <c r="U93" s="26" t="s">
        <v>85</v>
      </c>
      <c r="V93" s="33" t="n">
        <v>1700</v>
      </c>
      <c r="W93" s="27"/>
      <c r="X93" s="27" t="str">
        <f aca="false">IF($K93="","출고일 미정",IF($P93="X","작지 미발행",IF($P93="부분","작지 일부 미발행",IF(AND($R93&lt;&gt;"",$R93&gt;$N93),"소재입고 마감("&amp;TEXT($N93,"MM/DD")&amp;") 초과",IF($P93="","발행여부 확인 필요",IF($R93="","소재 입고일정 확인 필요","정상"))))))</f>
        <v>소재 입고일정 확인 필요</v>
      </c>
      <c r="Y93" s="25" t="str">
        <f aca="false">IF($K93="","",IF(OR(LEFT($X93,2)="작지",LEFT($X93,4)="소재입고"),IF(LEFT($G93,1)="S","★ 납기위험(S코드)","◆ 지연주의"),IF($X93="정상","✓ 정상","? 확인필요")))</f>
        <v>? 확인필요</v>
      </c>
      <c r="Z93" s="28"/>
      <c r="AA93" s="34"/>
    </row>
    <row r="94" customFormat="false" ht="15" hidden="false" customHeight="false" outlineLevel="0" collapsed="false">
      <c r="A94" s="25" t="n">
        <v>90</v>
      </c>
      <c r="B94" s="26" t="s">
        <v>253</v>
      </c>
      <c r="C94" s="26" t="s">
        <v>254</v>
      </c>
      <c r="D94" s="27" t="s">
        <v>371</v>
      </c>
      <c r="E94" s="26" t="s">
        <v>372</v>
      </c>
      <c r="F94" s="27" t="s">
        <v>373</v>
      </c>
      <c r="G94" s="25" t="str">
        <f aca="false">IF($D94="","",IF(MID($D94,5,1)="S","S(봄)",IF(MID($D94,5,1)="M","M(여름)",IF(MID($D94,5,1)="X","X(사계절)",MID($D94,5,1)))))</f>
        <v>S(봄)</v>
      </c>
      <c r="H94" s="26" t="s">
        <v>79</v>
      </c>
      <c r="I94" s="25"/>
      <c r="J94" s="28" t="s">
        <v>328</v>
      </c>
      <c r="K94" s="29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9" t="n">
        <f aca="false">IF($K94="","",IF(AND($K94-기준정보!$C$5&gt;=기준정보!$C$10,$K94-기준정보!$C$5&lt;=기준정보!$C$11),기준정보!$C$10-1,$K94-기준정보!$C$5))</f>
        <v>46405</v>
      </c>
      <c r="M94" s="30" t="n">
        <f aca="false">IF($L94="","",IF(OR(ISNUMBER(SEARCH("중국",$U94)),ISNUMBER(SEARCH("베트남",$U94))),MAX(0,MIN($L94,기준정보!$C$9)-MAX($L94-기준정보!$C$6,기준정보!$C$8)+1),IF(ISNUMBER(SEARCH("한국",$U94)),MAX(0,MIN($L94,기준정보!$C$11)-MAX($L94-기준정보!$C$6,기준정보!$C$10)+1),0)))</f>
        <v>0</v>
      </c>
      <c r="N94" s="29" t="n">
        <f aca="false">IF($L94="","",$L94-기준정보!$C$6-$M94)</f>
        <v>46315</v>
      </c>
      <c r="O94" s="31" t="n">
        <f aca="false">IF($N94="","",$N94-기준정보!$C$4)</f>
        <v>73</v>
      </c>
      <c r="P94" s="28" t="s">
        <v>82</v>
      </c>
      <c r="Q94" s="28" t="s">
        <v>83</v>
      </c>
      <c r="R94" s="32"/>
      <c r="S94" s="27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T94" s="27" t="s">
        <v>243</v>
      </c>
      <c r="U94" s="26" t="s">
        <v>90</v>
      </c>
      <c r="V94" s="33" t="n">
        <v>1400</v>
      </c>
      <c r="W94" s="27"/>
      <c r="X94" s="27" t="str">
        <f aca="false">IF($K94="","출고일 미정",IF($P94="X","작지 미발행",IF($P94="부분","작지 일부 미발행",IF(AND($R94&lt;&gt;"",$R94&gt;$N94),"소재입고 마감("&amp;TEXT($N94,"MM/DD")&amp;") 초과",IF($P94="","발행여부 확인 필요",IF($R94="","소재 입고일정 확인 필요","정상"))))))</f>
        <v>소재 입고일정 확인 필요</v>
      </c>
      <c r="Y94" s="25" t="str">
        <f aca="false">IF($K94="","",IF(OR(LEFT($X94,2)="작지",LEFT($X94,4)="소재입고"),IF(LEFT($G94,1)="S","★ 납기위험(S코드)","◆ 지연주의"),IF($X94="정상","✓ 정상","? 확인필요")))</f>
        <v>? 확인필요</v>
      </c>
      <c r="Z94" s="28"/>
      <c r="AA94" s="34"/>
    </row>
    <row r="95" customFormat="false" ht="15" hidden="false" customHeight="false" outlineLevel="0" collapsed="false">
      <c r="A95" s="25" t="n">
        <v>91</v>
      </c>
      <c r="B95" s="26" t="s">
        <v>253</v>
      </c>
      <c r="C95" s="26" t="s">
        <v>254</v>
      </c>
      <c r="D95" s="27" t="s">
        <v>374</v>
      </c>
      <c r="E95" s="26" t="s">
        <v>375</v>
      </c>
      <c r="F95" s="27" t="s">
        <v>257</v>
      </c>
      <c r="G95" s="25" t="str">
        <f aca="false">IF($D95="","",IF(MID($D95,5,1)="S","S(봄)",IF(MID($D95,5,1)="M","M(여름)",IF(MID($D95,5,1)="X","X(사계절)",MID($D95,5,1)))))</f>
        <v>S(봄)</v>
      </c>
      <c r="H95" s="26" t="s">
        <v>79</v>
      </c>
      <c r="I95" s="25"/>
      <c r="J95" s="28" t="s">
        <v>328</v>
      </c>
      <c r="K95" s="29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9" t="n">
        <f aca="false">IF($K95="","",IF(AND($K95-기준정보!$C$5&gt;=기준정보!$C$10,$K95-기준정보!$C$5&lt;=기준정보!$C$11),기준정보!$C$10-1,$K95-기준정보!$C$5))</f>
        <v>46405</v>
      </c>
      <c r="M95" s="30" t="n">
        <f aca="false">IF($L95="","",IF(OR(ISNUMBER(SEARCH("중국",$U95)),ISNUMBER(SEARCH("베트남",$U95))),MAX(0,MIN($L95,기준정보!$C$9)-MAX($L95-기준정보!$C$6,기준정보!$C$8)+1),IF(ISNUMBER(SEARCH("한국",$U95)),MAX(0,MIN($L95,기준정보!$C$11)-MAX($L95-기준정보!$C$6,기준정보!$C$10)+1),0)))</f>
        <v>0</v>
      </c>
      <c r="N95" s="29" t="n">
        <f aca="false">IF($L95="","",$L95-기준정보!$C$6-$M95)</f>
        <v>46315</v>
      </c>
      <c r="O95" s="31" t="n">
        <f aca="false">IF($N95="","",$N95-기준정보!$C$4)</f>
        <v>73</v>
      </c>
      <c r="P95" s="28" t="s">
        <v>82</v>
      </c>
      <c r="Q95" s="28" t="s">
        <v>83</v>
      </c>
      <c r="R95" s="32"/>
      <c r="S95" s="27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T95" s="26" t="s">
        <v>84</v>
      </c>
      <c r="U95" s="26" t="s">
        <v>85</v>
      </c>
      <c r="V95" s="33" t="n">
        <v>1200</v>
      </c>
      <c r="W95" s="27"/>
      <c r="X95" s="27" t="str">
        <f aca="false">IF($K95="","출고일 미정",IF($P95="X","작지 미발행",IF($P95="부분","작지 일부 미발행",IF(AND($R95&lt;&gt;"",$R95&gt;$N95),"소재입고 마감("&amp;TEXT($N95,"MM/DD")&amp;") 초과",IF($P95="","발행여부 확인 필요",IF($R95="","소재 입고일정 확인 필요","정상"))))))</f>
        <v>소재 입고일정 확인 필요</v>
      </c>
      <c r="Y95" s="25" t="str">
        <f aca="false">IF($K95="","",IF(OR(LEFT($X95,2)="작지",LEFT($X95,4)="소재입고"),IF(LEFT($G95,1)="S","★ 납기위험(S코드)","◆ 지연주의"),IF($X95="정상","✓ 정상","? 확인필요")))</f>
        <v>? 확인필요</v>
      </c>
      <c r="Z95" s="28"/>
      <c r="AA95" s="34"/>
    </row>
    <row r="96" customFormat="false" ht="15" hidden="false" customHeight="false" outlineLevel="0" collapsed="false">
      <c r="A96" s="25" t="n">
        <v>92</v>
      </c>
      <c r="B96" s="26" t="s">
        <v>253</v>
      </c>
      <c r="C96" s="26" t="s">
        <v>262</v>
      </c>
      <c r="D96" s="27" t="s">
        <v>376</v>
      </c>
      <c r="E96" s="26" t="s">
        <v>377</v>
      </c>
      <c r="F96" s="27" t="s">
        <v>378</v>
      </c>
      <c r="G96" s="25" t="str">
        <f aca="false">IF($D96="","",IF(MID($D96,5,1)="S","S(봄)",IF(MID($D96,5,1)="M","M(여름)",IF(MID($D96,5,1)="X","X(사계절)",MID($D96,5,1)))))</f>
        <v>S(봄)</v>
      </c>
      <c r="H96" s="26" t="s">
        <v>79</v>
      </c>
      <c r="I96" s="25"/>
      <c r="J96" s="28" t="s">
        <v>328</v>
      </c>
      <c r="K96" s="29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9" t="n">
        <f aca="false">IF($K96="","",IF(AND($K96-기준정보!$C$5&gt;=기준정보!$C$10,$K96-기준정보!$C$5&lt;=기준정보!$C$11),기준정보!$C$10-1,$K96-기준정보!$C$5))</f>
        <v>46405</v>
      </c>
      <c r="M96" s="30" t="n">
        <f aca="false">IF($L96="","",IF(OR(ISNUMBER(SEARCH("중국",$U96)),ISNUMBER(SEARCH("베트남",$U96))),MAX(0,MIN($L96,기준정보!$C$9)-MAX($L96-기준정보!$C$6,기준정보!$C$8)+1),IF(ISNUMBER(SEARCH("한국",$U96)),MAX(0,MIN($L96,기준정보!$C$11)-MAX($L96-기준정보!$C$6,기준정보!$C$10)+1),0)))</f>
        <v>0</v>
      </c>
      <c r="N96" s="29" t="n">
        <f aca="false">IF($L96="","",$L96-기준정보!$C$6-$M96)</f>
        <v>46315</v>
      </c>
      <c r="O96" s="31" t="n">
        <f aca="false">IF($N96="","",$N96-기준정보!$C$4)</f>
        <v>73</v>
      </c>
      <c r="P96" s="28" t="s">
        <v>82</v>
      </c>
      <c r="Q96" s="28" t="s">
        <v>83</v>
      </c>
      <c r="R96" s="32"/>
      <c r="S96" s="27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T96" s="26" t="s">
        <v>89</v>
      </c>
      <c r="U96" s="26" t="s">
        <v>332</v>
      </c>
      <c r="V96" s="33" t="n">
        <v>5000</v>
      </c>
      <c r="W96" s="27"/>
      <c r="X96" s="27" t="str">
        <f aca="false">IF($K96="","출고일 미정",IF($P96="X","작지 미발행",IF($P96="부분","작지 일부 미발행",IF(AND($R96&lt;&gt;"",$R96&gt;$N96),"소재입고 마감("&amp;TEXT($N96,"MM/DD")&amp;") 초과",IF($P96="","발행여부 확인 필요",IF($R96="","소재 입고일정 확인 필요","정상"))))))</f>
        <v>소재 입고일정 확인 필요</v>
      </c>
      <c r="Y96" s="25" t="str">
        <f aca="false">IF($K96="","",IF(OR(LEFT($X96,2)="작지",LEFT($X96,4)="소재입고"),IF(LEFT($G96,1)="S","★ 납기위험(S코드)","◆ 지연주의"),IF($X96="정상","✓ 정상","? 확인필요")))</f>
        <v>? 확인필요</v>
      </c>
      <c r="Z96" s="28"/>
      <c r="AA96" s="34"/>
    </row>
    <row r="97" customFormat="false" ht="15" hidden="false" customHeight="false" outlineLevel="0" collapsed="false">
      <c r="A97" s="25" t="n">
        <v>93</v>
      </c>
      <c r="B97" s="26" t="s">
        <v>267</v>
      </c>
      <c r="C97" s="26" t="s">
        <v>268</v>
      </c>
      <c r="D97" s="27" t="s">
        <v>379</v>
      </c>
      <c r="E97" s="26" t="s">
        <v>380</v>
      </c>
      <c r="F97" s="27" t="s">
        <v>381</v>
      </c>
      <c r="G97" s="25" t="str">
        <f aca="false">IF($D97="","",IF(MID($D97,5,1)="S","S(봄)",IF(MID($D97,5,1)="M","M(여름)",IF(MID($D97,5,1)="X","X(사계절)",MID($D97,5,1)))))</f>
        <v>S(봄)</v>
      </c>
      <c r="H97" s="27" t="s">
        <v>209</v>
      </c>
      <c r="I97" s="25" t="s">
        <v>382</v>
      </c>
      <c r="J97" s="28" t="s">
        <v>328</v>
      </c>
      <c r="K97" s="29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9" t="n">
        <f aca="false">IF($K97="","",IF(AND($K97-기준정보!$C$5&gt;=기준정보!$C$10,$K97-기준정보!$C$5&lt;=기준정보!$C$11),기준정보!$C$10-1,$K97-기준정보!$C$5))</f>
        <v>46405</v>
      </c>
      <c r="M97" s="30" t="n">
        <f aca="false">IF($L97="","",IF(OR(ISNUMBER(SEARCH("중국",$U97)),ISNUMBER(SEARCH("베트남",$U97))),MAX(0,MIN($L97,기준정보!$C$9)-MAX($L97-기준정보!$C$6,기준정보!$C$8)+1),IF(ISNUMBER(SEARCH("한국",$U97)),MAX(0,MIN($L97,기준정보!$C$11)-MAX($L97-기준정보!$C$6,기준정보!$C$10)+1),0)))</f>
        <v>0</v>
      </c>
      <c r="N97" s="29" t="n">
        <f aca="false">IF($L97="","",$L97-기준정보!$C$6-$M97)</f>
        <v>46315</v>
      </c>
      <c r="O97" s="31" t="n">
        <f aca="false">IF($N97="","",$N97-기준정보!$C$4)</f>
        <v>73</v>
      </c>
      <c r="P97" s="28" t="s">
        <v>82</v>
      </c>
      <c r="Q97" s="28" t="s">
        <v>83</v>
      </c>
      <c r="R97" s="32"/>
      <c r="S97" s="27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T97" s="27" t="s">
        <v>149</v>
      </c>
      <c r="U97" s="26" t="s">
        <v>85</v>
      </c>
      <c r="V97" s="33" t="n">
        <v>1600</v>
      </c>
      <c r="W97" s="27"/>
      <c r="X97" s="27" t="str">
        <f aca="false">IF($K97="","출고일 미정",IF($P97="X","작지 미발행",IF($P97="부분","작지 일부 미발행",IF(AND($R97&lt;&gt;"",$R97&gt;$N97),"소재입고 마감("&amp;TEXT($N97,"MM/DD")&amp;") 초과",IF($P97="","발행여부 확인 필요",IF($R97="","소재 입고일정 확인 필요","정상"))))))</f>
        <v>소재 입고일정 확인 필요</v>
      </c>
      <c r="Y97" s="25" t="str">
        <f aca="false">IF($K97="","",IF(OR(LEFT($X97,2)="작지",LEFT($X97,4)="소재입고"),IF(LEFT($G97,1)="S","★ 납기위험(S코드)","◆ 지연주의"),IF($X97="정상","✓ 정상","? 확인필요")))</f>
        <v>? 확인필요</v>
      </c>
      <c r="Z97" s="28"/>
      <c r="AA97" s="34"/>
    </row>
    <row r="98" customFormat="false" ht="15" hidden="false" customHeight="false" outlineLevel="0" collapsed="false">
      <c r="A98" s="25" t="n">
        <v>94</v>
      </c>
      <c r="B98" s="26" t="s">
        <v>267</v>
      </c>
      <c r="C98" s="26" t="s">
        <v>254</v>
      </c>
      <c r="D98" s="27" t="s">
        <v>383</v>
      </c>
      <c r="E98" s="26" t="s">
        <v>384</v>
      </c>
      <c r="F98" s="27" t="s">
        <v>271</v>
      </c>
      <c r="G98" s="25" t="str">
        <f aca="false">IF($D98="","",IF(MID($D98,5,1)="S","S(봄)",IF(MID($D98,5,1)="M","M(여름)",IF(MID($D98,5,1)="X","X(사계절)",MID($D98,5,1)))))</f>
        <v>S(봄)</v>
      </c>
      <c r="H98" s="26" t="s">
        <v>79</v>
      </c>
      <c r="I98" s="25" t="s">
        <v>382</v>
      </c>
      <c r="J98" s="28" t="s">
        <v>328</v>
      </c>
      <c r="K98" s="29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9" t="n">
        <f aca="false">IF($K98="","",IF(AND($K98-기준정보!$C$5&gt;=기준정보!$C$10,$K98-기준정보!$C$5&lt;=기준정보!$C$11),기준정보!$C$10-1,$K98-기준정보!$C$5))</f>
        <v>46405</v>
      </c>
      <c r="M98" s="30" t="n">
        <f aca="false">IF($L98="","",IF(OR(ISNUMBER(SEARCH("중국",$U98)),ISNUMBER(SEARCH("베트남",$U98))),MAX(0,MIN($L98,기준정보!$C$9)-MAX($L98-기준정보!$C$6,기준정보!$C$8)+1),IF(ISNUMBER(SEARCH("한국",$U98)),MAX(0,MIN($L98,기준정보!$C$11)-MAX($L98-기준정보!$C$6,기준정보!$C$10)+1),0)))</f>
        <v>0</v>
      </c>
      <c r="N98" s="29" t="n">
        <f aca="false">IF($L98="","",$L98-기준정보!$C$6-$M98)</f>
        <v>46315</v>
      </c>
      <c r="O98" s="31" t="n">
        <f aca="false">IF($N98="","",$N98-기준정보!$C$4)</f>
        <v>73</v>
      </c>
      <c r="P98" s="28" t="s">
        <v>82</v>
      </c>
      <c r="Q98" s="28" t="s">
        <v>83</v>
      </c>
      <c r="R98" s="32"/>
      <c r="S98" s="27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T98" s="26" t="s">
        <v>89</v>
      </c>
      <c r="U98" s="26" t="s">
        <v>85</v>
      </c>
      <c r="V98" s="33" t="n">
        <v>2200</v>
      </c>
      <c r="W98" s="27" t="s">
        <v>328</v>
      </c>
      <c r="X98" s="27" t="str">
        <f aca="false">IF($K98="","출고일 미정",IF($P98="X","작지 미발행",IF($P98="부분","작지 일부 미발행",IF(AND($R98&lt;&gt;"",$R98&gt;$N98),"소재입고 마감("&amp;TEXT($N98,"MM/DD")&amp;") 초과",IF($P98="","발행여부 확인 필요",IF($R98="","소재 입고일정 확인 필요","정상"))))))</f>
        <v>소재 입고일정 확인 필요</v>
      </c>
      <c r="Y98" s="25" t="str">
        <f aca="false">IF($K98="","",IF(OR(LEFT($X98,2)="작지",LEFT($X98,4)="소재입고"),IF(LEFT($G98,1)="S","★ 납기위험(S코드)","◆ 지연주의"),IF($X98="정상","✓ 정상","? 확인필요")))</f>
        <v>? 확인필요</v>
      </c>
      <c r="Z98" s="28"/>
      <c r="AA98" s="34"/>
    </row>
    <row r="99" customFormat="false" ht="15" hidden="false" customHeight="false" outlineLevel="0" collapsed="false">
      <c r="A99" s="25" t="n">
        <v>95</v>
      </c>
      <c r="B99" s="26" t="s">
        <v>253</v>
      </c>
      <c r="C99" s="26" t="s">
        <v>262</v>
      </c>
      <c r="D99" s="27" t="s">
        <v>385</v>
      </c>
      <c r="E99" s="26" t="s">
        <v>386</v>
      </c>
      <c r="F99" s="27" t="s">
        <v>387</v>
      </c>
      <c r="G99" s="25" t="str">
        <f aca="false">IF($D99="","",IF(MID($D99,5,1)="S","S(봄)",IF(MID($D99,5,1)="M","M(여름)",IF(MID($D99,5,1)="X","X(사계절)",MID($D99,5,1)))))</f>
        <v>S(봄)</v>
      </c>
      <c r="H99" s="26" t="s">
        <v>79</v>
      </c>
      <c r="I99" s="25"/>
      <c r="J99" s="28" t="s">
        <v>328</v>
      </c>
      <c r="K99" s="29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9" t="n">
        <f aca="false">IF($K99="","",IF(AND($K99-기준정보!$C$5&gt;=기준정보!$C$10,$K99-기준정보!$C$5&lt;=기준정보!$C$11),기준정보!$C$10-1,$K99-기준정보!$C$5))</f>
        <v>46405</v>
      </c>
      <c r="M99" s="30" t="n">
        <f aca="false">IF($L99="","",IF(OR(ISNUMBER(SEARCH("중국",$U99)),ISNUMBER(SEARCH("베트남",$U99))),MAX(0,MIN($L99,기준정보!$C$9)-MAX($L99-기준정보!$C$6,기준정보!$C$8)+1),IF(ISNUMBER(SEARCH("한국",$U99)),MAX(0,MIN($L99,기준정보!$C$11)-MAX($L99-기준정보!$C$6,기준정보!$C$10)+1),0)))</f>
        <v>0</v>
      </c>
      <c r="N99" s="29" t="n">
        <f aca="false">IF($L99="","",$L99-기준정보!$C$6-$M99)</f>
        <v>46315</v>
      </c>
      <c r="O99" s="31" t="n">
        <f aca="false">IF($N99="","",$N99-기준정보!$C$4)</f>
        <v>73</v>
      </c>
      <c r="P99" s="28" t="s">
        <v>82</v>
      </c>
      <c r="Q99" s="28" t="s">
        <v>83</v>
      </c>
      <c r="R99" s="32"/>
      <c r="S99" s="27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T99" s="27" t="s">
        <v>243</v>
      </c>
      <c r="U99" s="26" t="s">
        <v>90</v>
      </c>
      <c r="V99" s="33" t="n">
        <v>1200</v>
      </c>
      <c r="W99" s="27" t="s">
        <v>328</v>
      </c>
      <c r="X99" s="27" t="str">
        <f aca="false">IF($K99="","출고일 미정",IF($P99="X","작지 미발행",IF($P99="부분","작지 일부 미발행",IF(AND($R99&lt;&gt;"",$R99&gt;$N99),"소재입고 마감("&amp;TEXT($N99,"MM/DD")&amp;") 초과",IF($P99="","발행여부 확인 필요",IF($R99="","소재 입고일정 확인 필요","정상"))))))</f>
        <v>소재 입고일정 확인 필요</v>
      </c>
      <c r="Y99" s="25" t="str">
        <f aca="false">IF($K99="","",IF(OR(LEFT($X99,2)="작지",LEFT($X99,4)="소재입고"),IF(LEFT($G99,1)="S","★ 납기위험(S코드)","◆ 지연주의"),IF($X99="정상","✓ 정상","? 확인필요")))</f>
        <v>? 확인필요</v>
      </c>
      <c r="Z99" s="28"/>
      <c r="AA99" s="34"/>
    </row>
    <row r="100" customFormat="false" ht="15" hidden="false" customHeight="false" outlineLevel="0" collapsed="false">
      <c r="A100" s="25" t="n">
        <v>96</v>
      </c>
      <c r="B100" s="26" t="s">
        <v>253</v>
      </c>
      <c r="C100" s="26" t="s">
        <v>262</v>
      </c>
      <c r="D100" s="27" t="s">
        <v>388</v>
      </c>
      <c r="E100" s="26" t="s">
        <v>389</v>
      </c>
      <c r="F100" s="27" t="s">
        <v>390</v>
      </c>
      <c r="G100" s="25" t="str">
        <f aca="false">IF($D100="","",IF(MID($D100,5,1)="S","S(봄)",IF(MID($D100,5,1)="M","M(여름)",IF(MID($D100,5,1)="X","X(사계절)",MID($D100,5,1)))))</f>
        <v>S(봄)</v>
      </c>
      <c r="H100" s="26" t="s">
        <v>79</v>
      </c>
      <c r="I100" s="25"/>
      <c r="J100" s="28" t="s">
        <v>328</v>
      </c>
      <c r="K100" s="29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9" t="n">
        <f aca="false">IF($K100="","",IF(AND($K100-기준정보!$C$5&gt;=기준정보!$C$10,$K100-기준정보!$C$5&lt;=기준정보!$C$11),기준정보!$C$10-1,$K100-기준정보!$C$5))</f>
        <v>46405</v>
      </c>
      <c r="M100" s="30" t="n">
        <f aca="false">IF($L100="","",IF(OR(ISNUMBER(SEARCH("중국",$U100)),ISNUMBER(SEARCH("베트남",$U100))),MAX(0,MIN($L100,기준정보!$C$9)-MAX($L100-기준정보!$C$6,기준정보!$C$8)+1),IF(ISNUMBER(SEARCH("한국",$U100)),MAX(0,MIN($L100,기준정보!$C$11)-MAX($L100-기준정보!$C$6,기준정보!$C$10)+1),0)))</f>
        <v>0</v>
      </c>
      <c r="N100" s="29" t="n">
        <f aca="false">IF($L100="","",$L100-기준정보!$C$6-$M100)</f>
        <v>46315</v>
      </c>
      <c r="O100" s="31" t="n">
        <f aca="false">IF($N100="","",$N100-기준정보!$C$4)</f>
        <v>73</v>
      </c>
      <c r="P100" s="28" t="s">
        <v>82</v>
      </c>
      <c r="Q100" s="28" t="s">
        <v>83</v>
      </c>
      <c r="R100" s="32"/>
      <c r="S100" s="27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T100" s="26" t="s">
        <v>391</v>
      </c>
      <c r="U100" s="26" t="s">
        <v>85</v>
      </c>
      <c r="V100" s="33" t="n">
        <v>1000</v>
      </c>
      <c r="W100" s="27"/>
      <c r="X100" s="27" t="str">
        <f aca="false">IF($K100="","출고일 미정",IF($P100="X","작지 미발행",IF($P100="부분","작지 일부 미발행",IF(AND($R100&lt;&gt;"",$R100&gt;$N100),"소재입고 마감("&amp;TEXT($N100,"MM/DD")&amp;") 초과",IF($P100="","발행여부 확인 필요",IF($R100="","소재 입고일정 확인 필요","정상"))))))</f>
        <v>소재 입고일정 확인 필요</v>
      </c>
      <c r="Y100" s="25" t="str">
        <f aca="false">IF($K100="","",IF(OR(LEFT($X100,2)="작지",LEFT($X100,4)="소재입고"),IF(LEFT($G100,1)="S","★ 납기위험(S코드)","◆ 지연주의"),IF($X100="정상","✓ 정상","? 확인필요")))</f>
        <v>? 확인필요</v>
      </c>
      <c r="Z100" s="28"/>
      <c r="AA100" s="34"/>
    </row>
    <row r="101" customFormat="false" ht="15" hidden="false" customHeight="false" outlineLevel="0" collapsed="false">
      <c r="A101" s="25" t="n">
        <v>97</v>
      </c>
      <c r="B101" s="26" t="s">
        <v>253</v>
      </c>
      <c r="C101" s="26" t="s">
        <v>262</v>
      </c>
      <c r="D101" s="27" t="s">
        <v>392</v>
      </c>
      <c r="E101" s="26" t="s">
        <v>393</v>
      </c>
      <c r="F101" s="27" t="s">
        <v>160</v>
      </c>
      <c r="G101" s="25" t="str">
        <f aca="false">IF($D101="","",IF(MID($D101,5,1)="S","S(봄)",IF(MID($D101,5,1)="M","M(여름)",IF(MID($D101,5,1)="X","X(사계절)",MID($D101,5,1)))))</f>
        <v>S(봄)</v>
      </c>
      <c r="H101" s="26" t="s">
        <v>79</v>
      </c>
      <c r="I101" s="25"/>
      <c r="J101" s="28" t="s">
        <v>328</v>
      </c>
      <c r="K101" s="29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9" t="n">
        <f aca="false">IF($K101="","",IF(AND($K101-기준정보!$C$5&gt;=기준정보!$C$10,$K101-기준정보!$C$5&lt;=기준정보!$C$11),기준정보!$C$10-1,$K101-기준정보!$C$5))</f>
        <v>46405</v>
      </c>
      <c r="M101" s="30" t="n">
        <f aca="false">IF($L101="","",IF(OR(ISNUMBER(SEARCH("중국",$U101)),ISNUMBER(SEARCH("베트남",$U101))),MAX(0,MIN($L101,기준정보!$C$9)-MAX($L101-기준정보!$C$6,기준정보!$C$8)+1),IF(ISNUMBER(SEARCH("한국",$U101)),MAX(0,MIN($L101,기준정보!$C$11)-MAX($L101-기준정보!$C$6,기준정보!$C$10)+1),0)))</f>
        <v>0</v>
      </c>
      <c r="N101" s="29" t="n">
        <f aca="false">IF($L101="","",$L101-기준정보!$C$6-$M101)</f>
        <v>46315</v>
      </c>
      <c r="O101" s="31" t="n">
        <f aca="false">IF($N101="","",$N101-기준정보!$C$4)</f>
        <v>73</v>
      </c>
      <c r="P101" s="28" t="s">
        <v>82</v>
      </c>
      <c r="Q101" s="28" t="s">
        <v>83</v>
      </c>
      <c r="R101" s="32"/>
      <c r="S101" s="27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T101" s="27" t="s">
        <v>149</v>
      </c>
      <c r="U101" s="26" t="s">
        <v>85</v>
      </c>
      <c r="V101" s="33" t="n">
        <v>1500</v>
      </c>
      <c r="W101" s="27" t="s">
        <v>328</v>
      </c>
      <c r="X101" s="27" t="str">
        <f aca="false">IF($K101="","출고일 미정",IF($P101="X","작지 미발행",IF($P101="부분","작지 일부 미발행",IF(AND($R101&lt;&gt;"",$R101&gt;$N101),"소재입고 마감("&amp;TEXT($N101,"MM/DD")&amp;") 초과",IF($P101="","발행여부 확인 필요",IF($R101="","소재 입고일정 확인 필요","정상"))))))</f>
        <v>소재 입고일정 확인 필요</v>
      </c>
      <c r="Y101" s="25" t="str">
        <f aca="false">IF($K101="","",IF(OR(LEFT($X101,2)="작지",LEFT($X101,4)="소재입고"),IF(LEFT($G101,1)="S","★ 납기위험(S코드)","◆ 지연주의"),IF($X101="정상","✓ 정상","? 확인필요")))</f>
        <v>? 확인필요</v>
      </c>
      <c r="Z101" s="28"/>
      <c r="AA101" s="34"/>
    </row>
    <row r="102" customFormat="false" ht="15" hidden="false" customHeight="false" outlineLevel="0" collapsed="false">
      <c r="A102" s="25" t="n">
        <v>98</v>
      </c>
      <c r="B102" s="26" t="s">
        <v>267</v>
      </c>
      <c r="C102" s="26" t="s">
        <v>268</v>
      </c>
      <c r="D102" s="27" t="s">
        <v>394</v>
      </c>
      <c r="E102" s="26" t="s">
        <v>395</v>
      </c>
      <c r="F102" s="27" t="s">
        <v>271</v>
      </c>
      <c r="G102" s="25" t="str">
        <f aca="false">IF($D102="","",IF(MID($D102,5,1)="S","S(봄)",IF(MID($D102,5,1)="M","M(여름)",IF(MID($D102,5,1)="X","X(사계절)",MID($D102,5,1)))))</f>
        <v>S(봄)</v>
      </c>
      <c r="H102" s="27" t="s">
        <v>209</v>
      </c>
      <c r="I102" s="25" t="s">
        <v>382</v>
      </c>
      <c r="J102" s="28" t="s">
        <v>396</v>
      </c>
      <c r="K102" s="29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9" t="n">
        <f aca="false">IF($K102="","",IF(AND($K102-기준정보!$C$5&gt;=기준정보!$C$10,$K102-기준정보!$C$5&lt;=기준정보!$C$11),기준정보!$C$10-1,$K102-기준정보!$C$5))</f>
        <v>46412</v>
      </c>
      <c r="M102" s="30" t="n">
        <f aca="false">IF($L102="","",IF(OR(ISNUMBER(SEARCH("중국",$U102)),ISNUMBER(SEARCH("베트남",$U102))),MAX(0,MIN($L102,기준정보!$C$9)-MAX($L102-기준정보!$C$6,기준정보!$C$8)+1),IF(ISNUMBER(SEARCH("한국",$U102)),MAX(0,MIN($L102,기준정보!$C$11)-MAX($L102-기준정보!$C$6,기준정보!$C$10)+1),0)))</f>
        <v>0</v>
      </c>
      <c r="N102" s="29" t="n">
        <f aca="false">IF($L102="","",$L102-기준정보!$C$6-$M102)</f>
        <v>46322</v>
      </c>
      <c r="O102" s="31" t="n">
        <f aca="false">IF($N102="","",$N102-기준정보!$C$4)</f>
        <v>80</v>
      </c>
      <c r="P102" s="28" t="s">
        <v>82</v>
      </c>
      <c r="Q102" s="28" t="s">
        <v>83</v>
      </c>
      <c r="R102" s="32"/>
      <c r="S102" s="27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T102" s="27" t="s">
        <v>149</v>
      </c>
      <c r="U102" s="26" t="s">
        <v>85</v>
      </c>
      <c r="V102" s="33" t="n">
        <v>2000</v>
      </c>
      <c r="W102" s="27"/>
      <c r="X102" s="27" t="str">
        <f aca="false">IF($K102="","출고일 미정",IF($P102="X","작지 미발행",IF($P102="부분","작지 일부 미발행",IF(AND($R102&lt;&gt;"",$R102&gt;$N102),"소재입고 마감("&amp;TEXT($N102,"MM/DD")&amp;") 초과",IF($P102="","발행여부 확인 필요",IF($R102="","소재 입고일정 확인 필요","정상"))))))</f>
        <v>소재 입고일정 확인 필요</v>
      </c>
      <c r="Y102" s="25" t="str">
        <f aca="false">IF($K102="","",IF(OR(LEFT($X102,2)="작지",LEFT($X102,4)="소재입고"),IF(LEFT($G102,1)="S","★ 납기위험(S코드)","◆ 지연주의"),IF($X102="정상","✓ 정상","? 확인필요")))</f>
        <v>? 확인필요</v>
      </c>
      <c r="Z102" s="28"/>
      <c r="AA102" s="34"/>
    </row>
    <row r="103" customFormat="false" ht="15" hidden="false" customHeight="false" outlineLevel="0" collapsed="false">
      <c r="A103" s="25" t="n">
        <v>99</v>
      </c>
      <c r="B103" s="26" t="s">
        <v>267</v>
      </c>
      <c r="C103" s="26" t="s">
        <v>268</v>
      </c>
      <c r="D103" s="27" t="s">
        <v>397</v>
      </c>
      <c r="E103" s="26" t="s">
        <v>398</v>
      </c>
      <c r="F103" s="27" t="s">
        <v>399</v>
      </c>
      <c r="G103" s="25" t="str">
        <f aca="false">IF($D103="","",IF(MID($D103,5,1)="S","S(봄)",IF(MID($D103,5,1)="M","M(여름)",IF(MID($D103,5,1)="X","X(사계절)",MID($D103,5,1)))))</f>
        <v>S(봄)</v>
      </c>
      <c r="H103" s="26" t="s">
        <v>79</v>
      </c>
      <c r="I103" s="25" t="s">
        <v>382</v>
      </c>
      <c r="J103" s="28" t="s">
        <v>396</v>
      </c>
      <c r="K103" s="29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9" t="n">
        <f aca="false">IF($K103="","",IF(AND($K103-기준정보!$C$5&gt;=기준정보!$C$10,$K103-기준정보!$C$5&lt;=기준정보!$C$11),기준정보!$C$10-1,$K103-기준정보!$C$5))</f>
        <v>46412</v>
      </c>
      <c r="M103" s="30" t="n">
        <f aca="false">IF($L103="","",IF(OR(ISNUMBER(SEARCH("중국",$U103)),ISNUMBER(SEARCH("베트남",$U103))),MAX(0,MIN($L103,기준정보!$C$9)-MAX($L103-기준정보!$C$6,기준정보!$C$8)+1),IF(ISNUMBER(SEARCH("한국",$U103)),MAX(0,MIN($L103,기준정보!$C$11)-MAX($L103-기준정보!$C$6,기준정보!$C$10)+1),0)))</f>
        <v>0</v>
      </c>
      <c r="N103" s="29" t="n">
        <f aca="false">IF($L103="","",$L103-기준정보!$C$6-$M103)</f>
        <v>46322</v>
      </c>
      <c r="O103" s="31" t="n">
        <f aca="false">IF($N103="","",$N103-기준정보!$C$4)</f>
        <v>80</v>
      </c>
      <c r="P103" s="28" t="s">
        <v>82</v>
      </c>
      <c r="Q103" s="28" t="s">
        <v>83</v>
      </c>
      <c r="R103" s="32"/>
      <c r="S103" s="27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T103" s="26" t="s">
        <v>391</v>
      </c>
      <c r="U103" s="26" t="s">
        <v>85</v>
      </c>
      <c r="V103" s="33" t="n">
        <v>1200</v>
      </c>
      <c r="W103" s="27"/>
      <c r="X103" s="27" t="str">
        <f aca="false">IF($K103="","출고일 미정",IF($P103="X","작지 미발행",IF($P103="부분","작지 일부 미발행",IF(AND($R103&lt;&gt;"",$R103&gt;$N103),"소재입고 마감("&amp;TEXT($N103,"MM/DD")&amp;") 초과",IF($P103="","발행여부 확인 필요",IF($R103="","소재 입고일정 확인 필요","정상"))))))</f>
        <v>소재 입고일정 확인 필요</v>
      </c>
      <c r="Y103" s="25" t="str">
        <f aca="false">IF($K103="","",IF(OR(LEFT($X103,2)="작지",LEFT($X103,4)="소재입고"),IF(LEFT($G103,1)="S","★ 납기위험(S코드)","◆ 지연주의"),IF($X103="정상","✓ 정상","? 확인필요")))</f>
        <v>? 확인필요</v>
      </c>
      <c r="Z103" s="28"/>
      <c r="AA103" s="34"/>
    </row>
    <row r="104" customFormat="false" ht="15" hidden="false" customHeight="false" outlineLevel="0" collapsed="false">
      <c r="A104" s="25" t="n">
        <v>100</v>
      </c>
      <c r="B104" s="26" t="s">
        <v>124</v>
      </c>
      <c r="C104" s="26" t="s">
        <v>268</v>
      </c>
      <c r="D104" s="27" t="s">
        <v>400</v>
      </c>
      <c r="E104" s="26" t="s">
        <v>401</v>
      </c>
      <c r="F104" s="27" t="s">
        <v>402</v>
      </c>
      <c r="G104" s="25" t="str">
        <f aca="false">IF($D104="","",IF(MID($D104,5,1)="S","S(봄)",IF(MID($D104,5,1)="M","M(여름)",IF(MID($D104,5,1)="X","X(사계절)",MID($D104,5,1)))))</f>
        <v>S(봄)</v>
      </c>
      <c r="H104" s="26" t="s">
        <v>79</v>
      </c>
      <c r="I104" s="25"/>
      <c r="J104" s="28" t="s">
        <v>403</v>
      </c>
      <c r="K104" s="29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9" t="n">
        <f aca="false">IF($K104="","",IF(AND($K104-기준정보!$C$5&gt;=기준정보!$C$10,$K104-기준정보!$C$5&lt;=기준정보!$C$11),기준정보!$C$10-1,$K104-기준정보!$C$5))</f>
        <v>46419</v>
      </c>
      <c r="M104" s="30" t="n">
        <f aca="false">IF($L104="","",IF(OR(ISNUMBER(SEARCH("중국",$U104)),ISNUMBER(SEARCH("베트남",$U104))),MAX(0,MIN($L104,기준정보!$C$9)-MAX($L104-기준정보!$C$6,기준정보!$C$8)+1),IF(ISNUMBER(SEARCH("한국",$U104)),MAX(0,MIN($L104,기준정보!$C$11)-MAX($L104-기준정보!$C$6,기준정보!$C$10)+1),0)))</f>
        <v>0</v>
      </c>
      <c r="N104" s="29" t="n">
        <f aca="false">IF($L104="","",$L104-기준정보!$C$6-$M104)</f>
        <v>46329</v>
      </c>
      <c r="O104" s="31" t="n">
        <f aca="false">IF($N104="","",$N104-기준정보!$C$4)</f>
        <v>87</v>
      </c>
      <c r="P104" s="28" t="s">
        <v>82</v>
      </c>
      <c r="Q104" s="28" t="s">
        <v>83</v>
      </c>
      <c r="R104" s="32"/>
      <c r="S104" s="27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T104" s="26" t="s">
        <v>239</v>
      </c>
      <c r="U104" s="27"/>
      <c r="V104" s="33" t="n">
        <v>2000</v>
      </c>
      <c r="W104" s="27"/>
      <c r="X104" s="27" t="str">
        <f aca="false">IF($K104="","출고일 미정",IF($P104="X","작지 미발행",IF($P104="부분","작지 일부 미발행",IF(AND($R104&lt;&gt;"",$R104&gt;$N104),"소재입고 마감("&amp;TEXT($N104,"MM/DD")&amp;") 초과",IF($P104="","발행여부 확인 필요",IF($R104="","소재 입고일정 확인 필요","정상"))))))</f>
        <v>소재 입고일정 확인 필요</v>
      </c>
      <c r="Y104" s="25" t="str">
        <f aca="false">IF($K104="","",IF(OR(LEFT($X104,2)="작지",LEFT($X104,4)="소재입고"),IF(LEFT($G104,1)="S","★ 납기위험(S코드)","◆ 지연주의"),IF($X104="정상","✓ 정상","? 확인필요")))</f>
        <v>? 확인필요</v>
      </c>
      <c r="Z104" s="28"/>
      <c r="AA104" s="34"/>
    </row>
    <row r="105" customFormat="false" ht="15" hidden="false" customHeight="false" outlineLevel="0" collapsed="false">
      <c r="A105" s="25" t="n">
        <v>101</v>
      </c>
      <c r="B105" s="26" t="s">
        <v>124</v>
      </c>
      <c r="C105" s="26" t="s">
        <v>268</v>
      </c>
      <c r="D105" s="27" t="s">
        <v>404</v>
      </c>
      <c r="E105" s="26" t="s">
        <v>405</v>
      </c>
      <c r="F105" s="27" t="s">
        <v>406</v>
      </c>
      <c r="G105" s="25" t="str">
        <f aca="false">IF($D105="","",IF(MID($D105,5,1)="S","S(봄)",IF(MID($D105,5,1)="M","M(여름)",IF(MID($D105,5,1)="X","X(사계절)",MID($D105,5,1)))))</f>
        <v>S(봄)</v>
      </c>
      <c r="H105" s="26" t="s">
        <v>79</v>
      </c>
      <c r="I105" s="25"/>
      <c r="J105" s="28" t="s">
        <v>403</v>
      </c>
      <c r="K105" s="29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9" t="n">
        <f aca="false">IF($K105="","",IF(AND($K105-기준정보!$C$5&gt;=기준정보!$C$10,$K105-기준정보!$C$5&lt;=기준정보!$C$11),기준정보!$C$10-1,$K105-기준정보!$C$5))</f>
        <v>46419</v>
      </c>
      <c r="M105" s="30" t="n">
        <f aca="false">IF($L105="","",IF(OR(ISNUMBER(SEARCH("중국",$U105)),ISNUMBER(SEARCH("베트남",$U105))),MAX(0,MIN($L105,기준정보!$C$9)-MAX($L105-기준정보!$C$6,기준정보!$C$8)+1),IF(ISNUMBER(SEARCH("한국",$U105)),MAX(0,MIN($L105,기준정보!$C$11)-MAX($L105-기준정보!$C$6,기준정보!$C$10)+1),0)))</f>
        <v>0</v>
      </c>
      <c r="N105" s="29" t="n">
        <f aca="false">IF($L105="","",$L105-기준정보!$C$6-$M105)</f>
        <v>46329</v>
      </c>
      <c r="O105" s="31" t="n">
        <f aca="false">IF($N105="","",$N105-기준정보!$C$4)</f>
        <v>87</v>
      </c>
      <c r="P105" s="28" t="s">
        <v>82</v>
      </c>
      <c r="Q105" s="28" t="s">
        <v>82</v>
      </c>
      <c r="R105" s="32"/>
      <c r="S105" s="27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T105" s="26" t="s">
        <v>239</v>
      </c>
      <c r="U105" s="27"/>
      <c r="V105" s="33" t="n">
        <v>1400</v>
      </c>
      <c r="W105" s="27"/>
      <c r="X105" s="27" t="str">
        <f aca="false">IF($K105="","출고일 미정",IF($P105="X","작지 미발행",IF($P105="부분","작지 일부 미발행",IF(AND($R105&lt;&gt;"",$R105&gt;$N105),"소재입고 마감("&amp;TEXT($N105,"MM/DD")&amp;") 초과",IF($P105="","발행여부 확인 필요",IF($R105="","소재 입고일정 확인 필요","정상"))))))</f>
        <v>소재 입고일정 확인 필요</v>
      </c>
      <c r="Y105" s="25" t="str">
        <f aca="false">IF($K105="","",IF(OR(LEFT($X105,2)="작지",LEFT($X105,4)="소재입고"),IF(LEFT($G105,1)="S","★ 납기위험(S코드)","◆ 지연주의"),IF($X105="정상","✓ 정상","? 확인필요")))</f>
        <v>? 확인필요</v>
      </c>
      <c r="Z105" s="28"/>
      <c r="AA105" s="34"/>
    </row>
    <row r="106" customFormat="false" ht="15" hidden="false" customHeight="false" outlineLevel="0" collapsed="false">
      <c r="A106" s="25" t="n">
        <v>102</v>
      </c>
      <c r="B106" s="26" t="s">
        <v>124</v>
      </c>
      <c r="C106" s="26" t="s">
        <v>262</v>
      </c>
      <c r="D106" s="27" t="s">
        <v>407</v>
      </c>
      <c r="E106" s="26" t="s">
        <v>408</v>
      </c>
      <c r="F106" s="27" t="s">
        <v>409</v>
      </c>
      <c r="G106" s="25" t="str">
        <f aca="false">IF($D106="","",IF(MID($D106,5,1)="S","S(봄)",IF(MID($D106,5,1)="M","M(여름)",IF(MID($D106,5,1)="X","X(사계절)",MID($D106,5,1)))))</f>
        <v>S(봄)</v>
      </c>
      <c r="H106" s="26" t="s">
        <v>79</v>
      </c>
      <c r="I106" s="25"/>
      <c r="J106" s="28" t="s">
        <v>403</v>
      </c>
      <c r="K106" s="29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9" t="n">
        <f aca="false">IF($K106="","",IF(AND($K106-기준정보!$C$5&gt;=기준정보!$C$10,$K106-기준정보!$C$5&lt;=기준정보!$C$11),기준정보!$C$10-1,$K106-기준정보!$C$5))</f>
        <v>46419</v>
      </c>
      <c r="M106" s="30" t="n">
        <f aca="false">IF($L106="","",IF(OR(ISNUMBER(SEARCH("중국",$U106)),ISNUMBER(SEARCH("베트남",$U106))),MAX(0,MIN($L106,기준정보!$C$9)-MAX($L106-기준정보!$C$6,기준정보!$C$8)+1),IF(ISNUMBER(SEARCH("한국",$U106)),MAX(0,MIN($L106,기준정보!$C$11)-MAX($L106-기준정보!$C$6,기준정보!$C$10)+1),0)))</f>
        <v>1</v>
      </c>
      <c r="N106" s="29" t="n">
        <f aca="false">IF($L106="","",$L106-기준정보!$C$6-$M106)</f>
        <v>46328</v>
      </c>
      <c r="O106" s="31" t="n">
        <f aca="false">IF($N106="","",$N106-기준정보!$C$4)</f>
        <v>86</v>
      </c>
      <c r="P106" s="28" t="s">
        <v>82</v>
      </c>
      <c r="Q106" s="28" t="s">
        <v>83</v>
      </c>
      <c r="R106" s="32"/>
      <c r="S106" s="27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T106" s="26" t="s">
        <v>239</v>
      </c>
      <c r="U106" s="26" t="s">
        <v>85</v>
      </c>
      <c r="V106" s="33" t="n">
        <v>1800</v>
      </c>
      <c r="W106" s="27"/>
      <c r="X106" s="27" t="str">
        <f aca="false">IF($K106="","출고일 미정",IF($P106="X","작지 미발행",IF($P106="부분","작지 일부 미발행",IF(AND($R106&lt;&gt;"",$R106&gt;$N106),"소재입고 마감("&amp;TEXT($N106,"MM/DD")&amp;") 초과",IF($P106="","발행여부 확인 필요",IF($R106="","소재 입고일정 확인 필요","정상"))))))</f>
        <v>소재 입고일정 확인 필요</v>
      </c>
      <c r="Y106" s="25" t="str">
        <f aca="false">IF($K106="","",IF(OR(LEFT($X106,2)="작지",LEFT($X106,4)="소재입고"),IF(LEFT($G106,1)="S","★ 납기위험(S코드)","◆ 지연주의"),IF($X106="정상","✓ 정상","? 확인필요")))</f>
        <v>? 확인필요</v>
      </c>
      <c r="Z106" s="28"/>
      <c r="AA106" s="34"/>
    </row>
    <row r="107" customFormat="false" ht="15" hidden="false" customHeight="false" outlineLevel="0" collapsed="false">
      <c r="A107" s="25" t="n">
        <v>103</v>
      </c>
      <c r="B107" s="26" t="s">
        <v>124</v>
      </c>
      <c r="C107" s="26" t="s">
        <v>262</v>
      </c>
      <c r="D107" s="27" t="s">
        <v>410</v>
      </c>
      <c r="E107" s="26" t="s">
        <v>411</v>
      </c>
      <c r="F107" s="27" t="s">
        <v>412</v>
      </c>
      <c r="G107" s="25" t="str">
        <f aca="false">IF($D107="","",IF(MID($D107,5,1)="S","S(봄)",IF(MID($D107,5,1)="M","M(여름)",IF(MID($D107,5,1)="X","X(사계절)",MID($D107,5,1)))))</f>
        <v>S(봄)</v>
      </c>
      <c r="H107" s="26" t="s">
        <v>79</v>
      </c>
      <c r="I107" s="25"/>
      <c r="J107" s="28" t="s">
        <v>403</v>
      </c>
      <c r="K107" s="29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9" t="n">
        <f aca="false">IF($K107="","",IF(AND($K107-기준정보!$C$5&gt;=기준정보!$C$10,$K107-기준정보!$C$5&lt;=기준정보!$C$11),기준정보!$C$10-1,$K107-기준정보!$C$5))</f>
        <v>46419</v>
      </c>
      <c r="M107" s="30" t="n">
        <f aca="false">IF($L107="","",IF(OR(ISNUMBER(SEARCH("중국",$U107)),ISNUMBER(SEARCH("베트남",$U107))),MAX(0,MIN($L107,기준정보!$C$9)-MAX($L107-기준정보!$C$6,기준정보!$C$8)+1),IF(ISNUMBER(SEARCH("한국",$U107)),MAX(0,MIN($L107,기준정보!$C$11)-MAX($L107-기준정보!$C$6,기준정보!$C$10)+1),0)))</f>
        <v>1</v>
      </c>
      <c r="N107" s="29" t="n">
        <f aca="false">IF($L107="","",$L107-기준정보!$C$6-$M107)</f>
        <v>46328</v>
      </c>
      <c r="O107" s="31" t="n">
        <f aca="false">IF($N107="","",$N107-기준정보!$C$4)</f>
        <v>86</v>
      </c>
      <c r="P107" s="28" t="s">
        <v>82</v>
      </c>
      <c r="Q107" s="28" t="s">
        <v>83</v>
      </c>
      <c r="R107" s="32"/>
      <c r="S107" s="27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T107" s="26" t="s">
        <v>239</v>
      </c>
      <c r="U107" s="26" t="s">
        <v>85</v>
      </c>
      <c r="V107" s="33" t="n">
        <v>1800</v>
      </c>
      <c r="W107" s="27"/>
      <c r="X107" s="27" t="str">
        <f aca="false">IF($K107="","출고일 미정",IF($P107="X","작지 미발행",IF($P107="부분","작지 일부 미발행",IF(AND($R107&lt;&gt;"",$R107&gt;$N107),"소재입고 마감("&amp;TEXT($N107,"MM/DD")&amp;") 초과",IF($P107="","발행여부 확인 필요",IF($R107="","소재 입고일정 확인 필요","정상"))))))</f>
        <v>소재 입고일정 확인 필요</v>
      </c>
      <c r="Y107" s="25" t="str">
        <f aca="false">IF($K107="","",IF(OR(LEFT($X107,2)="작지",LEFT($X107,4)="소재입고"),IF(LEFT($G107,1)="S","★ 납기위험(S코드)","◆ 지연주의"),IF($X107="정상","✓ 정상","? 확인필요")))</f>
        <v>? 확인필요</v>
      </c>
      <c r="Z107" s="28"/>
      <c r="AA107" s="34"/>
    </row>
    <row r="108" customFormat="false" ht="15" hidden="false" customHeight="false" outlineLevel="0" collapsed="false">
      <c r="A108" s="25" t="n">
        <v>104</v>
      </c>
      <c r="B108" s="26" t="s">
        <v>220</v>
      </c>
      <c r="C108" s="26" t="s">
        <v>200</v>
      </c>
      <c r="D108" s="27" t="s">
        <v>413</v>
      </c>
      <c r="E108" s="26" t="s">
        <v>414</v>
      </c>
      <c r="F108" s="27" t="s">
        <v>415</v>
      </c>
      <c r="G108" s="25" t="str">
        <f aca="false">IF($D108="","",IF(MID($D108,5,1)="S","S(봄)",IF(MID($D108,5,1)="M","M(여름)",IF(MID($D108,5,1)="X","X(사계절)",MID($D108,5,1)))))</f>
        <v>S(봄)</v>
      </c>
      <c r="H108" s="26" t="s">
        <v>79</v>
      </c>
      <c r="I108" s="25" t="s">
        <v>416</v>
      </c>
      <c r="J108" s="28" t="s">
        <v>417</v>
      </c>
      <c r="K108" s="29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9" t="n">
        <f aca="false">IF($K108="","",IF(AND($K108-기준정보!$C$5&gt;=기준정보!$C$10,$K108-기준정보!$C$5&lt;=기준정보!$C$11),기준정보!$C$10-1,$K108-기준정보!$C$5))</f>
        <v>46464</v>
      </c>
      <c r="M108" s="30" t="n">
        <f aca="false">IF($L108="","",IF(OR(ISNUMBER(SEARCH("중국",$U108)),ISNUMBER(SEARCH("베트남",$U108))),MAX(0,MIN($L108,기준정보!$C$9)-MAX($L108-기준정보!$C$6,기준정보!$C$8)+1),IF(ISNUMBER(SEARCH("한국",$U108)),MAX(0,MIN($L108,기준정보!$C$11)-MAX($L108-기준정보!$C$6,기준정보!$C$10)+1),0)))</f>
        <v>15</v>
      </c>
      <c r="N108" s="29" t="n">
        <f aca="false">IF($L108="","",$L108-기준정보!$C$6-$M108)</f>
        <v>46359</v>
      </c>
      <c r="O108" s="31" t="n">
        <f aca="false">IF($N108="","",$N108-기준정보!$C$4)</f>
        <v>117</v>
      </c>
      <c r="P108" s="28" t="s">
        <v>82</v>
      </c>
      <c r="Q108" s="28" t="s">
        <v>83</v>
      </c>
      <c r="R108" s="32"/>
      <c r="S108" s="27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T108" s="26" t="s">
        <v>258</v>
      </c>
      <c r="U108" s="26" t="s">
        <v>85</v>
      </c>
      <c r="V108" s="33" t="n">
        <v>1000</v>
      </c>
      <c r="W108" s="27"/>
      <c r="X108" s="27" t="str">
        <f aca="false">IF($K108="","출고일 미정",IF($P108="X","작지 미발행",IF($P108="부분","작지 일부 미발행",IF(AND($R108&lt;&gt;"",$R108&gt;$N108),"소재입고 마감("&amp;TEXT($N108,"MM/DD")&amp;") 초과",IF($P108="","발행여부 확인 필요",IF($R108="","소재 입고일정 확인 필요","정상"))))))</f>
        <v>소재 입고일정 확인 필요</v>
      </c>
      <c r="Y108" s="25" t="str">
        <f aca="false">IF($K108="","",IF(OR(LEFT($X108,2)="작지",LEFT($X108,4)="소재입고"),IF(LEFT($G108,1)="S","★ 납기위험(S코드)","◆ 지연주의"),IF($X108="정상","✓ 정상","? 확인필요")))</f>
        <v>? 확인필요</v>
      </c>
      <c r="Z108" s="28"/>
      <c r="AA108" s="34"/>
    </row>
    <row r="109" customFormat="false" ht="15" hidden="false" customHeight="false" outlineLevel="0" collapsed="false">
      <c r="A109" s="25" t="n">
        <v>105</v>
      </c>
      <c r="B109" s="26" t="s">
        <v>220</v>
      </c>
      <c r="C109" s="26" t="s">
        <v>200</v>
      </c>
      <c r="D109" s="27" t="s">
        <v>418</v>
      </c>
      <c r="E109" s="26" t="s">
        <v>419</v>
      </c>
      <c r="F109" s="27" t="s">
        <v>420</v>
      </c>
      <c r="G109" s="25" t="str">
        <f aca="false">IF($D109="","",IF(MID($D109,5,1)="S","S(봄)",IF(MID($D109,5,1)="M","M(여름)",IF(MID($D109,5,1)="X","X(사계절)",MID($D109,5,1)))))</f>
        <v>S(봄)</v>
      </c>
      <c r="H109" s="26" t="s">
        <v>79</v>
      </c>
      <c r="I109" s="25" t="s">
        <v>416</v>
      </c>
      <c r="J109" s="28" t="s">
        <v>417</v>
      </c>
      <c r="K109" s="29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9" t="n">
        <f aca="false">IF($K109="","",IF(AND($K109-기준정보!$C$5&gt;=기준정보!$C$10,$K109-기준정보!$C$5&lt;=기준정보!$C$11),기준정보!$C$10-1,$K109-기준정보!$C$5))</f>
        <v>46464</v>
      </c>
      <c r="M109" s="30" t="n">
        <f aca="false">IF($L109="","",IF(OR(ISNUMBER(SEARCH("중국",$U109)),ISNUMBER(SEARCH("베트남",$U109))),MAX(0,MIN($L109,기준정보!$C$9)-MAX($L109-기준정보!$C$6,기준정보!$C$8)+1),IF(ISNUMBER(SEARCH("한국",$U109)),MAX(0,MIN($L109,기준정보!$C$11)-MAX($L109-기준정보!$C$6,기준정보!$C$10)+1),0)))</f>
        <v>15</v>
      </c>
      <c r="N109" s="29" t="n">
        <f aca="false">IF($L109="","",$L109-기준정보!$C$6-$M109)</f>
        <v>46359</v>
      </c>
      <c r="O109" s="31" t="n">
        <f aca="false">IF($N109="","",$N109-기준정보!$C$4)</f>
        <v>117</v>
      </c>
      <c r="P109" s="28" t="s">
        <v>82</v>
      </c>
      <c r="Q109" s="28" t="s">
        <v>83</v>
      </c>
      <c r="R109" s="32"/>
      <c r="S109" s="27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T109" s="26" t="s">
        <v>106</v>
      </c>
      <c r="U109" s="26" t="s">
        <v>85</v>
      </c>
      <c r="V109" s="33" t="n">
        <v>4500</v>
      </c>
      <c r="W109" s="27"/>
      <c r="X109" s="27" t="str">
        <f aca="false">IF($K109="","출고일 미정",IF($P109="X","작지 미발행",IF($P109="부분","작지 일부 미발행",IF(AND($R109&lt;&gt;"",$R109&gt;$N109),"소재입고 마감("&amp;TEXT($N109,"MM/DD")&amp;") 초과",IF($P109="","발행여부 확인 필요",IF($R109="","소재 입고일정 확인 필요","정상"))))))</f>
        <v>소재 입고일정 확인 필요</v>
      </c>
      <c r="Y109" s="25" t="str">
        <f aca="false">IF($K109="","",IF(OR(LEFT($X109,2)="작지",LEFT($X109,4)="소재입고"),IF(LEFT($G109,1)="S","★ 납기위험(S코드)","◆ 지연주의"),IF($X109="정상","✓ 정상","? 확인필요")))</f>
        <v>? 확인필요</v>
      </c>
      <c r="Z109" s="28"/>
      <c r="AA109" s="34"/>
    </row>
    <row r="110" customFormat="false" ht="15" hidden="false" customHeight="false" outlineLevel="0" collapsed="false">
      <c r="A110" s="25" t="n">
        <v>106</v>
      </c>
      <c r="B110" s="26" t="s">
        <v>220</v>
      </c>
      <c r="C110" s="26" t="s">
        <v>200</v>
      </c>
      <c r="D110" s="27" t="s">
        <v>421</v>
      </c>
      <c r="E110" s="26" t="s">
        <v>422</v>
      </c>
      <c r="F110" s="27" t="s">
        <v>423</v>
      </c>
      <c r="G110" s="25" t="str">
        <f aca="false">IF($D110="","",IF(MID($D110,5,1)="S","S(봄)",IF(MID($D110,5,1)="M","M(여름)",IF(MID($D110,5,1)="X","X(사계절)",MID($D110,5,1)))))</f>
        <v>S(봄)</v>
      </c>
      <c r="H110" s="26" t="s">
        <v>79</v>
      </c>
      <c r="I110" s="25" t="s">
        <v>416</v>
      </c>
      <c r="J110" s="28" t="s">
        <v>417</v>
      </c>
      <c r="K110" s="29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9" t="n">
        <f aca="false">IF($K110="","",IF(AND($K110-기준정보!$C$5&gt;=기준정보!$C$10,$K110-기준정보!$C$5&lt;=기준정보!$C$11),기준정보!$C$10-1,$K110-기준정보!$C$5))</f>
        <v>46464</v>
      </c>
      <c r="M110" s="30" t="n">
        <f aca="false">IF($L110="","",IF(OR(ISNUMBER(SEARCH("중국",$U110)),ISNUMBER(SEARCH("베트남",$U110))),MAX(0,MIN($L110,기준정보!$C$9)-MAX($L110-기준정보!$C$6,기준정보!$C$8)+1),IF(ISNUMBER(SEARCH("한국",$U110)),MAX(0,MIN($L110,기준정보!$C$11)-MAX($L110-기준정보!$C$6,기준정보!$C$10)+1),0)))</f>
        <v>0</v>
      </c>
      <c r="N110" s="29" t="n">
        <f aca="false">IF($L110="","",$L110-기준정보!$C$6-$M110)</f>
        <v>46374</v>
      </c>
      <c r="O110" s="31" t="n">
        <f aca="false">IF($N110="","",$N110-기준정보!$C$4)</f>
        <v>132</v>
      </c>
      <c r="P110" s="28" t="s">
        <v>82</v>
      </c>
      <c r="Q110" s="28" t="s">
        <v>83</v>
      </c>
      <c r="R110" s="32"/>
      <c r="S110" s="27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T110" s="27" t="s">
        <v>243</v>
      </c>
      <c r="U110" s="26" t="s">
        <v>90</v>
      </c>
      <c r="V110" s="33" t="n">
        <v>2000</v>
      </c>
      <c r="W110" s="27"/>
      <c r="X110" s="27" t="str">
        <f aca="false">IF($K110="","출고일 미정",IF($P110="X","작지 미발행",IF($P110="부분","작지 일부 미발행",IF(AND($R110&lt;&gt;"",$R110&gt;$N110),"소재입고 마감("&amp;TEXT($N110,"MM/DD")&amp;") 초과",IF($P110="","발행여부 확인 필요",IF($R110="","소재 입고일정 확인 필요","정상"))))))</f>
        <v>소재 입고일정 확인 필요</v>
      </c>
      <c r="Y110" s="25" t="str">
        <f aca="false">IF($K110="","",IF(OR(LEFT($X110,2)="작지",LEFT($X110,4)="소재입고"),IF(LEFT($G110,1)="S","★ 납기위험(S코드)","◆ 지연주의"),IF($X110="정상","✓ 정상","? 확인필요")))</f>
        <v>? 확인필요</v>
      </c>
      <c r="Z110" s="28"/>
      <c r="AA110" s="34"/>
    </row>
    <row r="111" customFormat="false" ht="15" hidden="false" customHeight="false" outlineLevel="0" collapsed="false">
      <c r="A111" s="25" t="n">
        <v>107</v>
      </c>
      <c r="B111" s="26" t="s">
        <v>220</v>
      </c>
      <c r="C111" s="26" t="s">
        <v>200</v>
      </c>
      <c r="D111" s="27" t="s">
        <v>424</v>
      </c>
      <c r="E111" s="26" t="s">
        <v>425</v>
      </c>
      <c r="F111" s="27" t="s">
        <v>426</v>
      </c>
      <c r="G111" s="25" t="str">
        <f aca="false">IF($D111="","",IF(MID($D111,5,1)="S","S(봄)",IF(MID($D111,5,1)="M","M(여름)",IF(MID($D111,5,1)="X","X(사계절)",MID($D111,5,1)))))</f>
        <v>S(봄)</v>
      </c>
      <c r="H111" s="26" t="s">
        <v>79</v>
      </c>
      <c r="I111" s="25" t="s">
        <v>416</v>
      </c>
      <c r="J111" s="28" t="s">
        <v>417</v>
      </c>
      <c r="K111" s="29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9" t="n">
        <f aca="false">IF($K111="","",IF(AND($K111-기준정보!$C$5&gt;=기준정보!$C$10,$K111-기준정보!$C$5&lt;=기준정보!$C$11),기준정보!$C$10-1,$K111-기준정보!$C$5))</f>
        <v>46464</v>
      </c>
      <c r="M111" s="30" t="n">
        <f aca="false">IF($L111="","",IF(OR(ISNUMBER(SEARCH("중국",$U111)),ISNUMBER(SEARCH("베트남",$U111))),MAX(0,MIN($L111,기준정보!$C$9)-MAX($L111-기준정보!$C$6,기준정보!$C$8)+1),IF(ISNUMBER(SEARCH("한국",$U111)),MAX(0,MIN($L111,기준정보!$C$11)-MAX($L111-기준정보!$C$6,기준정보!$C$10)+1),0)))</f>
        <v>15</v>
      </c>
      <c r="N111" s="29" t="n">
        <f aca="false">IF($L111="","",$L111-기준정보!$C$6-$M111)</f>
        <v>46359</v>
      </c>
      <c r="O111" s="31" t="n">
        <f aca="false">IF($N111="","",$N111-기준정보!$C$4)</f>
        <v>117</v>
      </c>
      <c r="P111" s="28" t="s">
        <v>82</v>
      </c>
      <c r="Q111" s="28" t="s">
        <v>83</v>
      </c>
      <c r="R111" s="32"/>
      <c r="S111" s="27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T111" s="26" t="s">
        <v>266</v>
      </c>
      <c r="U111" s="26" t="s">
        <v>85</v>
      </c>
      <c r="V111" s="33" t="n">
        <v>1500</v>
      </c>
      <c r="W111" s="27"/>
      <c r="X111" s="27" t="str">
        <f aca="false">IF($K111="","출고일 미정",IF($P111="X","작지 미발행",IF($P111="부분","작지 일부 미발행",IF(AND($R111&lt;&gt;"",$R111&gt;$N111),"소재입고 마감("&amp;TEXT($N111,"MM/DD")&amp;") 초과",IF($P111="","발행여부 확인 필요",IF($R111="","소재 입고일정 확인 필요","정상"))))))</f>
        <v>소재 입고일정 확인 필요</v>
      </c>
      <c r="Y111" s="25" t="str">
        <f aca="false">IF($K111="","",IF(OR(LEFT($X111,2)="작지",LEFT($X111,4)="소재입고"),IF(LEFT($G111,1)="S","★ 납기위험(S코드)","◆ 지연주의"),IF($X111="정상","✓ 정상","? 확인필요")))</f>
        <v>? 확인필요</v>
      </c>
      <c r="Z111" s="28"/>
      <c r="AA111" s="34"/>
    </row>
    <row r="112" customFormat="false" ht="15" hidden="false" customHeight="false" outlineLevel="0" collapsed="false">
      <c r="A112" s="25" t="n">
        <v>108</v>
      </c>
      <c r="B112" s="26" t="s">
        <v>220</v>
      </c>
      <c r="C112" s="26" t="s">
        <v>200</v>
      </c>
      <c r="D112" s="27" t="s">
        <v>427</v>
      </c>
      <c r="E112" s="26" t="s">
        <v>428</v>
      </c>
      <c r="F112" s="27" t="s">
        <v>160</v>
      </c>
      <c r="G112" s="25" t="str">
        <f aca="false">IF($D112="","",IF(MID($D112,5,1)="S","S(봄)",IF(MID($D112,5,1)="M","M(여름)",IF(MID($D112,5,1)="X","X(사계절)",MID($D112,5,1)))))</f>
        <v>S(봄)</v>
      </c>
      <c r="H112" s="26" t="s">
        <v>79</v>
      </c>
      <c r="I112" s="25" t="s">
        <v>416</v>
      </c>
      <c r="J112" s="28" t="s">
        <v>417</v>
      </c>
      <c r="K112" s="29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9" t="n">
        <f aca="false">IF($K112="","",IF(AND($K112-기준정보!$C$5&gt;=기준정보!$C$10,$K112-기준정보!$C$5&lt;=기준정보!$C$11),기준정보!$C$10-1,$K112-기준정보!$C$5))</f>
        <v>46464</v>
      </c>
      <c r="M112" s="30" t="n">
        <f aca="false">IF($L112="","",IF(OR(ISNUMBER(SEARCH("중국",$U112)),ISNUMBER(SEARCH("베트남",$U112))),MAX(0,MIN($L112,기준정보!$C$9)-MAX($L112-기준정보!$C$6,기준정보!$C$8)+1),IF(ISNUMBER(SEARCH("한국",$U112)),MAX(0,MIN($L112,기준정보!$C$11)-MAX($L112-기준정보!$C$6,기준정보!$C$10)+1),0)))</f>
        <v>15</v>
      </c>
      <c r="N112" s="29" t="n">
        <f aca="false">IF($L112="","",$L112-기준정보!$C$6-$M112)</f>
        <v>46359</v>
      </c>
      <c r="O112" s="31" t="n">
        <f aca="false">IF($N112="","",$N112-기준정보!$C$4)</f>
        <v>117</v>
      </c>
      <c r="P112" s="28" t="s">
        <v>82</v>
      </c>
      <c r="Q112" s="28" t="s">
        <v>83</v>
      </c>
      <c r="R112" s="32"/>
      <c r="S112" s="27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T112" s="26" t="s">
        <v>266</v>
      </c>
      <c r="U112" s="26" t="s">
        <v>85</v>
      </c>
      <c r="V112" s="33" t="n">
        <v>2000</v>
      </c>
      <c r="W112" s="27"/>
      <c r="X112" s="27" t="str">
        <f aca="false">IF($K112="","출고일 미정",IF($P112="X","작지 미발행",IF($P112="부분","작지 일부 미발행",IF(AND($R112&lt;&gt;"",$R112&gt;$N112),"소재입고 마감("&amp;TEXT($N112,"MM/DD")&amp;") 초과",IF($P112="","발행여부 확인 필요",IF($R112="","소재 입고일정 확인 필요","정상"))))))</f>
        <v>소재 입고일정 확인 필요</v>
      </c>
      <c r="Y112" s="25" t="str">
        <f aca="false">IF($K112="","",IF(OR(LEFT($X112,2)="작지",LEFT($X112,4)="소재입고"),IF(LEFT($G112,1)="S","★ 납기위험(S코드)","◆ 지연주의"),IF($X112="정상","✓ 정상","? 확인필요")))</f>
        <v>? 확인필요</v>
      </c>
      <c r="Z112" s="28"/>
      <c r="AA112" s="34"/>
    </row>
    <row r="113" customFormat="false" ht="15" hidden="false" customHeight="false" outlineLevel="0" collapsed="false">
      <c r="A113" s="25" t="n">
        <v>109</v>
      </c>
      <c r="B113" s="26" t="s">
        <v>124</v>
      </c>
      <c r="C113" s="26" t="s">
        <v>125</v>
      </c>
      <c r="D113" s="27" t="s">
        <v>429</v>
      </c>
      <c r="E113" s="26" t="s">
        <v>430</v>
      </c>
      <c r="F113" s="27" t="s">
        <v>431</v>
      </c>
      <c r="G113" s="25" t="str">
        <f aca="false">IF($D113="","",IF(MID($D113,5,1)="S","S(봄)",IF(MID($D113,5,1)="M","M(여름)",IF(MID($D113,5,1)="X","X(사계절)",MID($D113,5,1)))))</f>
        <v>M(여름)</v>
      </c>
      <c r="H113" s="26" t="s">
        <v>79</v>
      </c>
      <c r="I113" s="25"/>
      <c r="J113" s="28" t="s">
        <v>81</v>
      </c>
      <c r="K113" s="29" t="n">
        <f aca="false">IF($J113="","",IFERROR(DATE(IF(VALUE(LEFT($J113,FIND("월",$J113)-1))&gt;=9,기준정보!$C$7-1,기준정보!$C$7),VALUE(LEFT($J113,FIND("월",$J113)-1)),1+7*(VALUE(SUBSTITUTE(MID($J113,FIND("월",$J113)+1,5),"주",""))-1)),""))</f>
        <v>46395</v>
      </c>
      <c r="L113" s="29" t="n">
        <f aca="false">IF($K113="","",IF(AND($K113-기준정보!$C$5&gt;=기준정보!$C$10,$K113-기준정보!$C$5&lt;=기준정보!$C$11),기준정보!$C$10-1,$K113-기준정보!$C$5))</f>
        <v>46381</v>
      </c>
      <c r="M113" s="30" t="n">
        <f aca="false">IF($L113="","",IF(OR(ISNUMBER(SEARCH("중국",$U113)),ISNUMBER(SEARCH("베트남",$U113))),MAX(0,MIN($L113,기준정보!$C$9)-MAX($L113-기준정보!$C$6,기준정보!$C$8)+1),IF(ISNUMBER(SEARCH("한국",$U113)),MAX(0,MIN($L113,기준정보!$C$11)-MAX($L113-기준정보!$C$6,기준정보!$C$10)+1),0)))</f>
        <v>0</v>
      </c>
      <c r="N113" s="29" t="n">
        <f aca="false">IF($L113="","",$L113-기준정보!$C$6-$M113)</f>
        <v>46291</v>
      </c>
      <c r="O113" s="31" t="n">
        <f aca="false">IF($N113="","",$N113-기준정보!$C$4)</f>
        <v>49</v>
      </c>
      <c r="P113" s="28" t="s">
        <v>82</v>
      </c>
      <c r="Q113" s="28" t="s">
        <v>83</v>
      </c>
      <c r="R113" s="32"/>
      <c r="S113" s="27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T113" s="27" t="s">
        <v>130</v>
      </c>
      <c r="U113" s="26" t="s">
        <v>85</v>
      </c>
      <c r="V113" s="33" t="n">
        <v>2000</v>
      </c>
      <c r="W113" s="27"/>
      <c r="X113" s="27" t="str">
        <f aca="false">IF($K113="","출고일 미정",IF($P113="X","작지 미발행",IF($P113="부분","작지 일부 미발행",IF(AND($R113&lt;&gt;"",$R113&gt;$N113),"소재입고 마감("&amp;TEXT($N113,"MM/DD")&amp;") 초과",IF($P113="","발행여부 확인 필요",IF($R113="","소재 입고일정 확인 필요","정상"))))))</f>
        <v>소재 입고일정 확인 필요</v>
      </c>
      <c r="Y113" s="25" t="str">
        <f aca="false">IF($K113="","",IF(OR(LEFT($X113,2)="작지",LEFT($X113,4)="소재입고"),IF(LEFT($G113,1)="S","★ 납기위험(S코드)","◆ 지연주의"),IF($X113="정상","✓ 정상","? 확인필요")))</f>
        <v>? 확인필요</v>
      </c>
      <c r="Z113" s="28"/>
      <c r="AA113" s="34"/>
    </row>
    <row r="114" customFormat="false" ht="15" hidden="false" customHeight="false" outlineLevel="0" collapsed="false">
      <c r="A114" s="25" t="n">
        <v>110</v>
      </c>
      <c r="B114" s="26" t="s">
        <v>142</v>
      </c>
      <c r="C114" s="26" t="s">
        <v>143</v>
      </c>
      <c r="D114" s="27" t="s">
        <v>432</v>
      </c>
      <c r="E114" s="27" t="s">
        <v>433</v>
      </c>
      <c r="F114" s="27" t="s">
        <v>169</v>
      </c>
      <c r="G114" s="25" t="str">
        <f aca="false">IF($D114="","",IF(MID($D114,5,1)="S","S(봄)",IF(MID($D114,5,1)="M","M(여름)",IF(MID($D114,5,1)="X","X(사계절)",MID($D114,5,1)))))</f>
        <v>M(여름)</v>
      </c>
      <c r="H114" s="26" t="s">
        <v>79</v>
      </c>
      <c r="I114" s="25" t="s">
        <v>434</v>
      </c>
      <c r="J114" s="28" t="s">
        <v>148</v>
      </c>
      <c r="K114" s="29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46402</v>
      </c>
      <c r="L114" s="29" t="n">
        <f aca="false">IF($K114="","",IF(AND($K114-기준정보!$C$5&gt;=기준정보!$C$10,$K114-기준정보!$C$5&lt;=기준정보!$C$11),기준정보!$C$10-1,$K114-기준정보!$C$5))</f>
        <v>46388</v>
      </c>
      <c r="M114" s="30" t="n">
        <f aca="false">IF($L114="","",IF(OR(ISNUMBER(SEARCH("중국",$U114)),ISNUMBER(SEARCH("베트남",$U114))),MAX(0,MIN($L114,기준정보!$C$9)-MAX($L114-기준정보!$C$6,기준정보!$C$8)+1),IF(ISNUMBER(SEARCH("한국",$U114)),MAX(0,MIN($L114,기준정보!$C$11)-MAX($L114-기준정보!$C$6,기준정보!$C$10)+1),0)))</f>
        <v>0</v>
      </c>
      <c r="N114" s="29" t="n">
        <f aca="false">IF($L114="","",$L114-기준정보!$C$6-$M114)</f>
        <v>46298</v>
      </c>
      <c r="O114" s="31" t="n">
        <f aca="false">IF($N114="","",$N114-기준정보!$C$4)</f>
        <v>56</v>
      </c>
      <c r="P114" s="28" t="s">
        <v>83</v>
      </c>
      <c r="Q114" s="28" t="s">
        <v>83</v>
      </c>
      <c r="R114" s="32"/>
      <c r="S114" s="27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T114" s="27" t="s">
        <v>243</v>
      </c>
      <c r="U114" s="26" t="s">
        <v>85</v>
      </c>
      <c r="V114" s="33" t="n">
        <v>0</v>
      </c>
      <c r="W114" s="27"/>
      <c r="X114" s="27" t="str">
        <f aca="false">IF($K114="","출고일 미정",IF($P114="X","작지 미발행",IF($P114="부분","작지 일부 미발행",IF(AND($R114&lt;&gt;"",$R114&gt;$N114),"소재입고 마감("&amp;TEXT($N114,"MM/DD")&amp;") 초과",IF($P114="","발행여부 확인 필요",IF($R114="","소재 입고일정 확인 필요","정상"))))))</f>
        <v>작지 미발행</v>
      </c>
      <c r="Y114" s="25" t="str">
        <f aca="false">IF($K114="","",IF(OR(LEFT($X114,2)="작지",LEFT($X114,4)="소재입고"),IF(LEFT($G114,1)="S","★ 납기위험(S코드)","◆ 지연주의"),IF($X114="정상","✓ 정상","? 확인필요")))</f>
        <v>◆ 지연주의</v>
      </c>
      <c r="Z114" s="28"/>
      <c r="AA114" s="34"/>
    </row>
    <row r="115" customFormat="false" ht="15" hidden="false" customHeight="false" outlineLevel="0" collapsed="false">
      <c r="A115" s="25" t="n">
        <v>111</v>
      </c>
      <c r="B115" s="26" t="s">
        <v>199</v>
      </c>
      <c r="C115" s="26" t="s">
        <v>435</v>
      </c>
      <c r="D115" s="27" t="s">
        <v>436</v>
      </c>
      <c r="E115" s="26" t="s">
        <v>437</v>
      </c>
      <c r="F115" s="27" t="s">
        <v>438</v>
      </c>
      <c r="G115" s="25" t="str">
        <f aca="false">IF($D115="","",IF(MID($D115,5,1)="S","S(봄)",IF(MID($D115,5,1)="M","M(여름)",IF(MID($D115,5,1)="X","X(사계절)",MID($D115,5,1)))))</f>
        <v>M(여름)</v>
      </c>
      <c r="H115" s="26" t="s">
        <v>79</v>
      </c>
      <c r="I115" s="25" t="s">
        <v>416</v>
      </c>
      <c r="J115" s="28" t="s">
        <v>148</v>
      </c>
      <c r="K115" s="29" t="n">
        <f aca="false">IF($J115="","",IFERROR(DATE(IF(VALUE(LEFT($J115,FIND("월",$J115)-1))&gt;=9,기준정보!$C$7-1,기준정보!$C$7),VALUE(LEFT($J115,FIND("월",$J115)-1)),1+7*(VALUE(SUBSTITUTE(MID($J115,FIND("월",$J115)+1,5),"주",""))-1)),""))</f>
        <v>46402</v>
      </c>
      <c r="L115" s="29" t="n">
        <f aca="false">IF($K115="","",IF(AND($K115-기준정보!$C$5&gt;=기준정보!$C$10,$K115-기준정보!$C$5&lt;=기준정보!$C$11),기준정보!$C$10-1,$K115-기준정보!$C$5))</f>
        <v>46388</v>
      </c>
      <c r="M115" s="30" t="n">
        <f aca="false">IF($L115="","",IF(OR(ISNUMBER(SEARCH("중국",$U115)),ISNUMBER(SEARCH("베트남",$U115))),MAX(0,MIN($L115,기준정보!$C$9)-MAX($L115-기준정보!$C$6,기준정보!$C$8)+1),IF(ISNUMBER(SEARCH("한국",$U115)),MAX(0,MIN($L115,기준정보!$C$11)-MAX($L115-기준정보!$C$6,기준정보!$C$10)+1),0)))</f>
        <v>0</v>
      </c>
      <c r="N115" s="29" t="n">
        <f aca="false">IF($L115="","",$L115-기준정보!$C$6-$M115)</f>
        <v>46298</v>
      </c>
      <c r="O115" s="31" t="n">
        <f aca="false">IF($N115="","",$N115-기준정보!$C$4)</f>
        <v>56</v>
      </c>
      <c r="P115" s="28" t="s">
        <v>82</v>
      </c>
      <c r="Q115" s="28" t="s">
        <v>83</v>
      </c>
      <c r="R115" s="32"/>
      <c r="S115" s="27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T115" s="27" t="s">
        <v>243</v>
      </c>
      <c r="U115" s="26" t="s">
        <v>90</v>
      </c>
      <c r="V115" s="33" t="n">
        <v>850</v>
      </c>
      <c r="W115" s="27" t="s">
        <v>148</v>
      </c>
      <c r="X115" s="27" t="str">
        <f aca="false">IF($K115="","출고일 미정",IF($P115="X","작지 미발행",IF($P115="부분","작지 일부 미발행",IF(AND($R115&lt;&gt;"",$R115&gt;$N115),"소재입고 마감("&amp;TEXT($N115,"MM/DD")&amp;") 초과",IF($P115="","발행여부 확인 필요",IF($R115="","소재 입고일정 확인 필요","정상"))))))</f>
        <v>소재 입고일정 확인 필요</v>
      </c>
      <c r="Y115" s="25" t="str">
        <f aca="false">IF($K115="","",IF(OR(LEFT($X115,2)="작지",LEFT($X115,4)="소재입고"),IF(LEFT($G115,1)="S","★ 납기위험(S코드)","◆ 지연주의"),IF($X115="정상","✓ 정상","? 확인필요")))</f>
        <v>? 확인필요</v>
      </c>
      <c r="Z115" s="28"/>
      <c r="AA115" s="34"/>
    </row>
    <row r="116" customFormat="false" ht="15" hidden="false" customHeight="false" outlineLevel="0" collapsed="false">
      <c r="A116" s="25" t="n">
        <v>112</v>
      </c>
      <c r="B116" s="26" t="s">
        <v>124</v>
      </c>
      <c r="C116" s="26" t="s">
        <v>125</v>
      </c>
      <c r="D116" s="27" t="s">
        <v>439</v>
      </c>
      <c r="E116" s="26" t="s">
        <v>440</v>
      </c>
      <c r="F116" s="27" t="s">
        <v>441</v>
      </c>
      <c r="G116" s="25" t="str">
        <f aca="false">IF($D116="","",IF(MID($D116,5,1)="S","S(봄)",IF(MID($D116,5,1)="M","M(여름)",IF(MID($D116,5,1)="X","X(사계절)",MID($D116,5,1)))))</f>
        <v>M(여름)</v>
      </c>
      <c r="H116" s="26" t="s">
        <v>79</v>
      </c>
      <c r="I116" s="25"/>
      <c r="J116" s="28" t="s">
        <v>308</v>
      </c>
      <c r="K116" s="29" t="n">
        <f aca="false">IF($J116="","",IFERROR(DATE(IF(VALUE(LEFT($J116,FIND("월",$J116)-1))&gt;=9,기준정보!$C$7-1,기준정보!$C$7),VALUE(LEFT($J116,FIND("월",$J116)-1)),1+7*(VALUE(SUBSTITUTE(MID($J116,FIND("월",$J116)+1,5),"주",""))-1)),""))</f>
        <v>46409</v>
      </c>
      <c r="L116" s="29" t="n">
        <f aca="false">IF($K116="","",IF(AND($K116-기준정보!$C$5&gt;=기준정보!$C$10,$K116-기준정보!$C$5&lt;=기준정보!$C$11),기준정보!$C$10-1,$K116-기준정보!$C$5))</f>
        <v>46395</v>
      </c>
      <c r="M116" s="30" t="n">
        <f aca="false">IF($L116="","",IF(OR(ISNUMBER(SEARCH("중국",$U116)),ISNUMBER(SEARCH("베트남",$U116))),MAX(0,MIN($L116,기준정보!$C$9)-MAX($L116-기준정보!$C$6,기준정보!$C$8)+1),IF(ISNUMBER(SEARCH("한국",$U116)),MAX(0,MIN($L116,기준정보!$C$11)-MAX($L116-기준정보!$C$6,기준정보!$C$10)+1),0)))</f>
        <v>0</v>
      </c>
      <c r="N116" s="29" t="n">
        <f aca="false">IF($L116="","",$L116-기준정보!$C$6-$M116)</f>
        <v>46305</v>
      </c>
      <c r="O116" s="31" t="n">
        <f aca="false">IF($N116="","",$N116-기준정보!$C$4)</f>
        <v>63</v>
      </c>
      <c r="P116" s="28" t="s">
        <v>82</v>
      </c>
      <c r="Q116" s="28" t="s">
        <v>83</v>
      </c>
      <c r="R116" s="32"/>
      <c r="S116" s="27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T116" s="26" t="s">
        <v>311</v>
      </c>
      <c r="U116" s="26" t="s">
        <v>85</v>
      </c>
      <c r="V116" s="33" t="n">
        <v>67000</v>
      </c>
      <c r="W116" s="27" t="s">
        <v>442</v>
      </c>
      <c r="X116" s="27" t="str">
        <f aca="false">IF($K116="","출고일 미정",IF($P116="X","작지 미발행",IF($P116="부분","작지 일부 미발행",IF(AND($R116&lt;&gt;"",$R116&gt;$N116),"소재입고 마감("&amp;TEXT($N116,"MM/DD")&amp;") 초과",IF($P116="","발행여부 확인 필요",IF($R116="","소재 입고일정 확인 필요","정상"))))))</f>
        <v>소재 입고일정 확인 필요</v>
      </c>
      <c r="Y116" s="25" t="str">
        <f aca="false">IF($K116="","",IF(OR(LEFT($X116,2)="작지",LEFT($X116,4)="소재입고"),IF(LEFT($G116,1)="S","★ 납기위험(S코드)","◆ 지연주의"),IF($X116="정상","✓ 정상","? 확인필요")))</f>
        <v>? 확인필요</v>
      </c>
      <c r="Z116" s="28"/>
      <c r="AA116" s="34"/>
    </row>
    <row r="117" customFormat="false" ht="15" hidden="false" customHeight="false" outlineLevel="0" collapsed="false">
      <c r="A117" s="25" t="n">
        <v>113</v>
      </c>
      <c r="B117" s="26" t="s">
        <v>124</v>
      </c>
      <c r="C117" s="26" t="s">
        <v>125</v>
      </c>
      <c r="D117" s="27" t="s">
        <v>443</v>
      </c>
      <c r="E117" s="26" t="s">
        <v>444</v>
      </c>
      <c r="F117" s="27" t="s">
        <v>445</v>
      </c>
      <c r="G117" s="25" t="str">
        <f aca="false">IF($D117="","",IF(MID($D117,5,1)="S","S(봄)",IF(MID($D117,5,1)="M","M(여름)",IF(MID($D117,5,1)="X","X(사계절)",MID($D117,5,1)))))</f>
        <v>M(여름)</v>
      </c>
      <c r="H117" s="27" t="s">
        <v>129</v>
      </c>
      <c r="I117" s="25"/>
      <c r="J117" s="28" t="s">
        <v>308</v>
      </c>
      <c r="K117" s="29" t="n">
        <f aca="false">IF($J117="","",IFERROR(DATE(IF(VALUE(LEFT($J117,FIND("월",$J117)-1))&gt;=9,기준정보!$C$7-1,기준정보!$C$7),VALUE(LEFT($J117,FIND("월",$J117)-1)),1+7*(VALUE(SUBSTITUTE(MID($J117,FIND("월",$J117)+1,5),"주",""))-1)),""))</f>
        <v>46409</v>
      </c>
      <c r="L117" s="29" t="n">
        <f aca="false">IF($K117="","",IF(AND($K117-기준정보!$C$5&gt;=기준정보!$C$10,$K117-기준정보!$C$5&lt;=기준정보!$C$11),기준정보!$C$10-1,$K117-기준정보!$C$5))</f>
        <v>46395</v>
      </c>
      <c r="M117" s="30" t="n">
        <f aca="false">IF($L117="","",IF(OR(ISNUMBER(SEARCH("중국",$U117)),ISNUMBER(SEARCH("베트남",$U117))),MAX(0,MIN($L117,기준정보!$C$9)-MAX($L117-기준정보!$C$6,기준정보!$C$8)+1),IF(ISNUMBER(SEARCH("한국",$U117)),MAX(0,MIN($L117,기준정보!$C$11)-MAX($L117-기준정보!$C$6,기준정보!$C$10)+1),0)))</f>
        <v>0</v>
      </c>
      <c r="N117" s="29" t="n">
        <f aca="false">IF($L117="","",$L117-기준정보!$C$6-$M117)</f>
        <v>46305</v>
      </c>
      <c r="O117" s="31" t="n">
        <f aca="false">IF($N117="","",$N117-기준정보!$C$4)</f>
        <v>63</v>
      </c>
      <c r="P117" s="28" t="s">
        <v>82</v>
      </c>
      <c r="Q117" s="28" t="s">
        <v>83</v>
      </c>
      <c r="R117" s="32"/>
      <c r="S117" s="27" t="str">
        <f aca="false">IF($H117="","",IF(AND(ISNUMBER(SEARCH("CMT",$H117)),OR(ISNUMBER(SEARCH("완사입",$H117)),ISNUMBER(SEARCH("ODM",$H117)))),"본사/생산처 혼재",IF(ISNUMBER(SEARCH("CMT",$H117)),"본사(소재팀)","생산처")))</f>
        <v>생산처</v>
      </c>
      <c r="T117" s="27" t="s">
        <v>243</v>
      </c>
      <c r="U117" s="26" t="s">
        <v>90</v>
      </c>
      <c r="V117" s="33" t="n">
        <v>70000</v>
      </c>
      <c r="W117" s="27"/>
      <c r="X117" s="27" t="str">
        <f aca="false">IF($K117="","출고일 미정",IF($P117="X","작지 미발행",IF($P117="부분","작지 일부 미발행",IF(AND($R117&lt;&gt;"",$R117&gt;$N117),"소재입고 마감("&amp;TEXT($N117,"MM/DD")&amp;") 초과",IF($P117="","발행여부 확인 필요",IF($R117="","소재 입고일정 확인 필요","정상"))))))</f>
        <v>소재 입고일정 확인 필요</v>
      </c>
      <c r="Y117" s="25" t="str">
        <f aca="false">IF($K117="","",IF(OR(LEFT($X117,2)="작지",LEFT($X117,4)="소재입고"),IF(LEFT($G117,1)="S","★ 납기위험(S코드)","◆ 지연주의"),IF($X117="정상","✓ 정상","? 확인필요")))</f>
        <v>? 확인필요</v>
      </c>
      <c r="Z117" s="28"/>
      <c r="AA117" s="34"/>
    </row>
    <row r="118" customFormat="false" ht="15" hidden="false" customHeight="false" outlineLevel="0" collapsed="false">
      <c r="A118" s="25" t="n">
        <v>114</v>
      </c>
      <c r="B118" s="26" t="s">
        <v>124</v>
      </c>
      <c r="C118" s="26" t="s">
        <v>125</v>
      </c>
      <c r="D118" s="27" t="s">
        <v>446</v>
      </c>
      <c r="E118" s="26" t="s">
        <v>447</v>
      </c>
      <c r="F118" s="27" t="s">
        <v>448</v>
      </c>
      <c r="G118" s="25" t="str">
        <f aca="false">IF($D118="","",IF(MID($D118,5,1)="S","S(봄)",IF(MID($D118,5,1)="M","M(여름)",IF(MID($D118,5,1)="X","X(사계절)",MID($D118,5,1)))))</f>
        <v>M(여름)</v>
      </c>
      <c r="H118" s="26" t="s">
        <v>79</v>
      </c>
      <c r="I118" s="25"/>
      <c r="J118" s="28" t="s">
        <v>308</v>
      </c>
      <c r="K118" s="29" t="n">
        <f aca="false">IF($J118="","",IFERROR(DATE(IF(VALUE(LEFT($J118,FIND("월",$J118)-1))&gt;=9,기준정보!$C$7-1,기준정보!$C$7),VALUE(LEFT($J118,FIND("월",$J118)-1)),1+7*(VALUE(SUBSTITUTE(MID($J118,FIND("월",$J118)+1,5),"주",""))-1)),""))</f>
        <v>46409</v>
      </c>
      <c r="L118" s="29" t="n">
        <f aca="false">IF($K118="","",IF(AND($K118-기준정보!$C$5&gt;=기준정보!$C$10,$K118-기준정보!$C$5&lt;=기준정보!$C$11),기준정보!$C$10-1,$K118-기준정보!$C$5))</f>
        <v>46395</v>
      </c>
      <c r="M118" s="30" t="n">
        <f aca="false">IF($L118="","",IF(OR(ISNUMBER(SEARCH("중국",$U118)),ISNUMBER(SEARCH("베트남",$U118))),MAX(0,MIN($L118,기준정보!$C$9)-MAX($L118-기준정보!$C$6,기준정보!$C$8)+1),IF(ISNUMBER(SEARCH("한국",$U118)),MAX(0,MIN($L118,기준정보!$C$11)-MAX($L118-기준정보!$C$6,기준정보!$C$10)+1),0)))</f>
        <v>0</v>
      </c>
      <c r="N118" s="29" t="n">
        <f aca="false">IF($L118="","",$L118-기준정보!$C$6-$M118)</f>
        <v>46305</v>
      </c>
      <c r="O118" s="31" t="n">
        <f aca="false">IF($N118="","",$N118-기준정보!$C$4)</f>
        <v>63</v>
      </c>
      <c r="P118" s="28" t="s">
        <v>82</v>
      </c>
      <c r="Q118" s="28" t="s">
        <v>83</v>
      </c>
      <c r="R118" s="32"/>
      <c r="S118" s="27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T118" s="26" t="s">
        <v>311</v>
      </c>
      <c r="U118" s="26" t="s">
        <v>85</v>
      </c>
      <c r="V118" s="33" t="n">
        <v>6500</v>
      </c>
      <c r="W118" s="27" t="s">
        <v>442</v>
      </c>
      <c r="X118" s="27" t="str">
        <f aca="false">IF($K118="","출고일 미정",IF($P118="X","작지 미발행",IF($P118="부분","작지 일부 미발행",IF(AND($R118&lt;&gt;"",$R118&gt;$N118),"소재입고 마감("&amp;TEXT($N118,"MM/DD")&amp;") 초과",IF($P118="","발행여부 확인 필요",IF($R118="","소재 입고일정 확인 필요","정상"))))))</f>
        <v>소재 입고일정 확인 필요</v>
      </c>
      <c r="Y118" s="25" t="str">
        <f aca="false">IF($K118="","",IF(OR(LEFT($X118,2)="작지",LEFT($X118,4)="소재입고"),IF(LEFT($G118,1)="S","★ 납기위험(S코드)","◆ 지연주의"),IF($X118="정상","✓ 정상","? 확인필요")))</f>
        <v>? 확인필요</v>
      </c>
      <c r="Z118" s="28"/>
      <c r="AA118" s="34"/>
    </row>
    <row r="119" customFormat="false" ht="15" hidden="false" customHeight="false" outlineLevel="0" collapsed="false">
      <c r="A119" s="25" t="n">
        <v>115</v>
      </c>
      <c r="B119" s="26" t="s">
        <v>124</v>
      </c>
      <c r="C119" s="26" t="s">
        <v>125</v>
      </c>
      <c r="D119" s="27" t="s">
        <v>449</v>
      </c>
      <c r="E119" s="26" t="s">
        <v>450</v>
      </c>
      <c r="F119" s="27" t="s">
        <v>451</v>
      </c>
      <c r="G119" s="25" t="str">
        <f aca="false">IF($D119="","",IF(MID($D119,5,1)="S","S(봄)",IF(MID($D119,5,1)="M","M(여름)",IF(MID($D119,5,1)="X","X(사계절)",MID($D119,5,1)))))</f>
        <v>M(여름)</v>
      </c>
      <c r="H119" s="27" t="s">
        <v>129</v>
      </c>
      <c r="I119" s="25"/>
      <c r="J119" s="28" t="s">
        <v>308</v>
      </c>
      <c r="K119" s="29" t="n">
        <f aca="false">IF($J119="","",IFERROR(DATE(IF(VALUE(LEFT($J119,FIND("월",$J119)-1))&gt;=9,기준정보!$C$7-1,기준정보!$C$7),VALUE(LEFT($J119,FIND("월",$J119)-1)),1+7*(VALUE(SUBSTITUTE(MID($J119,FIND("월",$J119)+1,5),"주",""))-1)),""))</f>
        <v>46409</v>
      </c>
      <c r="L119" s="29" t="n">
        <f aca="false">IF($K119="","",IF(AND($K119-기준정보!$C$5&gt;=기준정보!$C$10,$K119-기준정보!$C$5&lt;=기준정보!$C$11),기준정보!$C$10-1,$K119-기준정보!$C$5))</f>
        <v>46395</v>
      </c>
      <c r="M119" s="30" t="n">
        <f aca="false">IF($L119="","",IF(OR(ISNUMBER(SEARCH("중국",$U119)),ISNUMBER(SEARCH("베트남",$U119))),MAX(0,MIN($L119,기준정보!$C$9)-MAX($L119-기준정보!$C$6,기준정보!$C$8)+1),IF(ISNUMBER(SEARCH("한국",$U119)),MAX(0,MIN($L119,기준정보!$C$11)-MAX($L119-기준정보!$C$6,기준정보!$C$10)+1),0)))</f>
        <v>0</v>
      </c>
      <c r="N119" s="29" t="n">
        <f aca="false">IF($L119="","",$L119-기준정보!$C$6-$M119)</f>
        <v>46305</v>
      </c>
      <c r="O119" s="31" t="n">
        <f aca="false">IF($N119="","",$N119-기준정보!$C$4)</f>
        <v>63</v>
      </c>
      <c r="P119" s="28" t="s">
        <v>82</v>
      </c>
      <c r="Q119" s="28" t="s">
        <v>83</v>
      </c>
      <c r="R119" s="32"/>
      <c r="S119" s="27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T119" s="27" t="s">
        <v>243</v>
      </c>
      <c r="U119" s="26" t="s">
        <v>90</v>
      </c>
      <c r="V119" s="33" t="n">
        <v>24000</v>
      </c>
      <c r="W119" s="27"/>
      <c r="X119" s="27" t="str">
        <f aca="false">IF($K119="","출고일 미정",IF($P119="X","작지 미발행",IF($P119="부분","작지 일부 미발행",IF(AND($R119&lt;&gt;"",$R119&gt;$N119),"소재입고 마감("&amp;TEXT($N119,"MM/DD")&amp;") 초과",IF($P119="","발행여부 확인 필요",IF($R119="","소재 입고일정 확인 필요","정상"))))))</f>
        <v>소재 입고일정 확인 필요</v>
      </c>
      <c r="Y119" s="25" t="str">
        <f aca="false">IF($K119="","",IF(OR(LEFT($X119,2)="작지",LEFT($X119,4)="소재입고"),IF(LEFT($G119,1)="S","★ 납기위험(S코드)","◆ 지연주의"),IF($X119="정상","✓ 정상","? 확인필요")))</f>
        <v>? 확인필요</v>
      </c>
      <c r="Z119" s="28"/>
      <c r="AA119" s="34"/>
    </row>
    <row r="120" customFormat="false" ht="15" hidden="false" customHeight="false" outlineLevel="0" collapsed="false">
      <c r="A120" s="25" t="n">
        <v>116</v>
      </c>
      <c r="B120" s="26" t="s">
        <v>204</v>
      </c>
      <c r="C120" s="26" t="s">
        <v>205</v>
      </c>
      <c r="D120" s="27" t="s">
        <v>452</v>
      </c>
      <c r="E120" s="26" t="s">
        <v>453</v>
      </c>
      <c r="F120" s="27" t="s">
        <v>146</v>
      </c>
      <c r="G120" s="25" t="str">
        <f aca="false">IF($D120="","",IF(MID($D120,5,1)="S","S(봄)",IF(MID($D120,5,1)="M","M(여름)",IF(MID($D120,5,1)="X","X(사계절)",MID($D120,5,1)))))</f>
        <v>M(여름)</v>
      </c>
      <c r="H120" s="27" t="s">
        <v>209</v>
      </c>
      <c r="I120" s="25"/>
      <c r="J120" s="28" t="s">
        <v>328</v>
      </c>
      <c r="K120" s="29" t="n">
        <f aca="false">IF($J120="","",IFERROR(DATE(IF(VALUE(LEFT($J120,FIND("월",$J120)-1))&gt;=9,기준정보!$C$7-1,기준정보!$C$7),VALUE(LEFT($J120,FIND("월",$J120)-1)),1+7*(VALUE(SUBSTITUTE(MID($J120,FIND("월",$J120)+1,5),"주",""))-1)),""))</f>
        <v>46419</v>
      </c>
      <c r="L120" s="29" t="n">
        <f aca="false">IF($K120="","",IF(AND($K120-기준정보!$C$5&gt;=기준정보!$C$10,$K120-기준정보!$C$5&lt;=기준정보!$C$11),기준정보!$C$10-1,$K120-기준정보!$C$5))</f>
        <v>46405</v>
      </c>
      <c r="M120" s="30" t="n">
        <f aca="false">IF($L120="","",IF(OR(ISNUMBER(SEARCH("중국",$U120)),ISNUMBER(SEARCH("베트남",$U120))),MAX(0,MIN($L120,기준정보!$C$9)-MAX($L120-기준정보!$C$6,기준정보!$C$8)+1),IF(ISNUMBER(SEARCH("한국",$U120)),MAX(0,MIN($L120,기준정보!$C$11)-MAX($L120-기준정보!$C$6,기준정보!$C$10)+1),0)))</f>
        <v>0</v>
      </c>
      <c r="N120" s="29" t="n">
        <f aca="false">IF($L120="","",$L120-기준정보!$C$6-$M120)</f>
        <v>46315</v>
      </c>
      <c r="O120" s="31" t="n">
        <f aca="false">IF($N120="","",$N120-기준정보!$C$4)</f>
        <v>73</v>
      </c>
      <c r="P120" s="28" t="s">
        <v>82</v>
      </c>
      <c r="Q120" s="28" t="s">
        <v>83</v>
      </c>
      <c r="R120" s="32"/>
      <c r="S120" s="27" t="str">
        <f aca="false">IF($H120="","",IF(AND(ISNUMBER(SEARCH("CMT",$H120)),OR(ISNUMBER(SEARCH("완사입",$H120)),ISNUMBER(SEARCH("ODM",$H120)))),"본사/생산처 혼재",IF(ISNUMBER(SEARCH("CMT",$H120)),"본사(소재팀)","생산처")))</f>
        <v>본사(소재팀)</v>
      </c>
      <c r="T120" s="26" t="s">
        <v>99</v>
      </c>
      <c r="U120" s="26" t="s">
        <v>85</v>
      </c>
      <c r="V120" s="33" t="n">
        <v>1500</v>
      </c>
      <c r="W120" s="27" t="s">
        <v>328</v>
      </c>
      <c r="X120" s="27" t="str">
        <f aca="false">IF($K120="","출고일 미정",IF($P120="X","작지 미발행",IF($P120="부분","작지 일부 미발행",IF(AND($R120&lt;&gt;"",$R120&gt;$N120),"소재입고 마감("&amp;TEXT($N120,"MM/DD")&amp;") 초과",IF($P120="","발행여부 확인 필요",IF($R120="","소재 입고일정 확인 필요","정상"))))))</f>
        <v>소재 입고일정 확인 필요</v>
      </c>
      <c r="Y120" s="25" t="str">
        <f aca="false">IF($K120="","",IF(OR(LEFT($X120,2)="작지",LEFT($X120,4)="소재입고"),IF(LEFT($G120,1)="S","★ 납기위험(S코드)","◆ 지연주의"),IF($X120="정상","✓ 정상","? 확인필요")))</f>
        <v>? 확인필요</v>
      </c>
      <c r="Z120" s="28"/>
      <c r="AA120" s="34"/>
    </row>
    <row r="121" customFormat="false" ht="15" hidden="false" customHeight="false" outlineLevel="0" collapsed="false">
      <c r="A121" s="25" t="n">
        <v>117</v>
      </c>
      <c r="B121" s="26" t="s">
        <v>204</v>
      </c>
      <c r="C121" s="26" t="s">
        <v>205</v>
      </c>
      <c r="D121" s="27" t="s">
        <v>454</v>
      </c>
      <c r="E121" s="26" t="s">
        <v>455</v>
      </c>
      <c r="F121" s="27" t="s">
        <v>456</v>
      </c>
      <c r="G121" s="25" t="str">
        <f aca="false">IF($D121="","",IF(MID($D121,5,1)="S","S(봄)",IF(MID($D121,5,1)="M","M(여름)",IF(MID($D121,5,1)="X","X(사계절)",MID($D121,5,1)))))</f>
        <v>M(여름)</v>
      </c>
      <c r="H121" s="27" t="s">
        <v>209</v>
      </c>
      <c r="I121" s="25"/>
      <c r="J121" s="28" t="s">
        <v>328</v>
      </c>
      <c r="K121" s="29" t="n">
        <f aca="false">IF($J121="","",IFERROR(DATE(IF(VALUE(LEFT($J121,FIND("월",$J121)-1))&gt;=9,기준정보!$C$7-1,기준정보!$C$7),VALUE(LEFT($J121,FIND("월",$J121)-1)),1+7*(VALUE(SUBSTITUTE(MID($J121,FIND("월",$J121)+1,5),"주",""))-1)),""))</f>
        <v>46419</v>
      </c>
      <c r="L121" s="29" t="n">
        <f aca="false">IF($K121="","",IF(AND($K121-기준정보!$C$5&gt;=기준정보!$C$10,$K121-기준정보!$C$5&lt;=기준정보!$C$11),기준정보!$C$10-1,$K121-기준정보!$C$5))</f>
        <v>46405</v>
      </c>
      <c r="M121" s="30" t="n">
        <f aca="false">IF($L121="","",IF(OR(ISNUMBER(SEARCH("중국",$U121)),ISNUMBER(SEARCH("베트남",$U121))),MAX(0,MIN($L121,기준정보!$C$9)-MAX($L121-기준정보!$C$6,기준정보!$C$8)+1),IF(ISNUMBER(SEARCH("한국",$U121)),MAX(0,MIN($L121,기준정보!$C$11)-MAX($L121-기준정보!$C$6,기준정보!$C$10)+1),0)))</f>
        <v>0</v>
      </c>
      <c r="N121" s="29" t="n">
        <f aca="false">IF($L121="","",$L121-기준정보!$C$6-$M121)</f>
        <v>46315</v>
      </c>
      <c r="O121" s="31" t="n">
        <f aca="false">IF($N121="","",$N121-기준정보!$C$4)</f>
        <v>73</v>
      </c>
      <c r="P121" s="28" t="s">
        <v>82</v>
      </c>
      <c r="Q121" s="28" t="s">
        <v>83</v>
      </c>
      <c r="R121" s="32"/>
      <c r="S121" s="27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T121" s="26" t="s">
        <v>99</v>
      </c>
      <c r="U121" s="26" t="s">
        <v>85</v>
      </c>
      <c r="V121" s="33" t="n">
        <v>1900</v>
      </c>
      <c r="W121" s="27" t="s">
        <v>328</v>
      </c>
      <c r="X121" s="27" t="str">
        <f aca="false">IF($K121="","출고일 미정",IF($P121="X","작지 미발행",IF($P121="부분","작지 일부 미발행",IF(AND($R121&lt;&gt;"",$R121&gt;$N121),"소재입고 마감("&amp;TEXT($N121,"MM/DD")&amp;") 초과",IF($P121="","발행여부 확인 필요",IF($R121="","소재 입고일정 확인 필요","정상"))))))</f>
        <v>소재 입고일정 확인 필요</v>
      </c>
      <c r="Y121" s="25" t="str">
        <f aca="false">IF($K121="","",IF(OR(LEFT($X121,2)="작지",LEFT($X121,4)="소재입고"),IF(LEFT($G121,1)="S","★ 납기위험(S코드)","◆ 지연주의"),IF($X121="정상","✓ 정상","? 확인필요")))</f>
        <v>? 확인필요</v>
      </c>
      <c r="Z121" s="28"/>
      <c r="AA121" s="34"/>
    </row>
    <row r="122" customFormat="false" ht="15" hidden="false" customHeight="false" outlineLevel="0" collapsed="false">
      <c r="A122" s="25" t="n">
        <v>118</v>
      </c>
      <c r="B122" s="26" t="s">
        <v>199</v>
      </c>
      <c r="C122" s="26" t="s">
        <v>205</v>
      </c>
      <c r="D122" s="27" t="s">
        <v>457</v>
      </c>
      <c r="E122" s="26" t="s">
        <v>458</v>
      </c>
      <c r="F122" s="27" t="s">
        <v>213</v>
      </c>
      <c r="G122" s="25" t="str">
        <f aca="false">IF($D122="","",IF(MID($D122,5,1)="S","S(봄)",IF(MID($D122,5,1)="M","M(여름)",IF(MID($D122,5,1)="X","X(사계절)",MID($D122,5,1)))))</f>
        <v>M(여름)</v>
      </c>
      <c r="H122" s="26" t="s">
        <v>79</v>
      </c>
      <c r="I122" s="25"/>
      <c r="J122" s="28" t="s">
        <v>459</v>
      </c>
      <c r="K122" s="29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46440</v>
      </c>
      <c r="L122" s="29" t="n">
        <f aca="false">IF($K122="","",IF(AND($K122-기준정보!$C$5&gt;=기준정보!$C$10,$K122-기준정보!$C$5&lt;=기준정보!$C$11),기준정보!$C$10-1,$K122-기준정보!$C$5))</f>
        <v>46422</v>
      </c>
      <c r="M122" s="30" t="n">
        <f aca="false">IF($L122="","",IF(OR(ISNUMBER(SEARCH("중국",$U122)),ISNUMBER(SEARCH("베트남",$U122))),MAX(0,MIN($L122,기준정보!$C$9)-MAX($L122-기준정보!$C$6,기준정보!$C$8)+1),IF(ISNUMBER(SEARCH("한국",$U122)),MAX(0,MIN($L122,기준정보!$C$11)-MAX($L122-기준정보!$C$6,기준정보!$C$10)+1),0)))</f>
        <v>0</v>
      </c>
      <c r="N122" s="29" t="n">
        <f aca="false">IF($L122="","",$L122-기준정보!$C$6-$M122)</f>
        <v>46332</v>
      </c>
      <c r="O122" s="31" t="n">
        <f aca="false">IF($N122="","",$N122-기준정보!$C$4)</f>
        <v>90</v>
      </c>
      <c r="P122" s="28" t="s">
        <v>82</v>
      </c>
      <c r="Q122" s="28" t="s">
        <v>83</v>
      </c>
      <c r="R122" s="32"/>
      <c r="S122" s="27" t="str">
        <f aca="false">IF($H122="","",IF(AND(ISNUMBER(SEARCH("CMT",$H122)),OR(ISNUMBER(SEARCH("완사입",$H122)),ISNUMBER(SEARCH("ODM",$H122)))),"본사/생산처 혼재",IF(ISNUMBER(SEARCH("CMT",$H122)),"본사(소재팀)","생산처")))</f>
        <v>생산처</v>
      </c>
      <c r="T122" s="27" t="s">
        <v>243</v>
      </c>
      <c r="U122" s="26" t="s">
        <v>90</v>
      </c>
      <c r="V122" s="33" t="n">
        <v>3000</v>
      </c>
      <c r="W122" s="27" t="s">
        <v>459</v>
      </c>
      <c r="X122" s="27" t="str">
        <f aca="false">IF($K122="","출고일 미정",IF($P122="X","작지 미발행",IF($P122="부분","작지 일부 미발행",IF(AND($R122&lt;&gt;"",$R122&gt;$N122),"소재입고 마감("&amp;TEXT($N122,"MM/DD")&amp;") 초과",IF($P122="","발행여부 확인 필요",IF($R122="","소재 입고일정 확인 필요","정상"))))))</f>
        <v>소재 입고일정 확인 필요</v>
      </c>
      <c r="Y122" s="25" t="str">
        <f aca="false">IF($K122="","",IF(OR(LEFT($X122,2)="작지",LEFT($X122,4)="소재입고"),IF(LEFT($G122,1)="S","★ 납기위험(S코드)","◆ 지연주의"),IF($X122="정상","✓ 정상","? 확인필요")))</f>
        <v>? 확인필요</v>
      </c>
      <c r="Z122" s="28"/>
      <c r="AA122" s="34"/>
    </row>
    <row r="123" customFormat="false" ht="15" hidden="false" customHeight="false" outlineLevel="0" collapsed="false">
      <c r="A123" s="25" t="n">
        <v>119</v>
      </c>
      <c r="B123" s="26" t="s">
        <v>204</v>
      </c>
      <c r="C123" s="26" t="s">
        <v>205</v>
      </c>
      <c r="D123" s="27" t="s">
        <v>460</v>
      </c>
      <c r="E123" s="26" t="s">
        <v>461</v>
      </c>
      <c r="F123" s="27" t="s">
        <v>219</v>
      </c>
      <c r="G123" s="25" t="str">
        <f aca="false">IF($D123="","",IF(MID($D123,5,1)="S","S(봄)",IF(MID($D123,5,1)="M","M(여름)",IF(MID($D123,5,1)="X","X(사계절)",MID($D123,5,1)))))</f>
        <v>M(여름)</v>
      </c>
      <c r="H123" s="27" t="s">
        <v>209</v>
      </c>
      <c r="I123" s="25"/>
      <c r="J123" s="28" t="s">
        <v>459</v>
      </c>
      <c r="K123" s="29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46440</v>
      </c>
      <c r="L123" s="29" t="n">
        <f aca="false">IF($K123="","",IF(AND($K123-기준정보!$C$5&gt;=기준정보!$C$10,$K123-기준정보!$C$5&lt;=기준정보!$C$11),기준정보!$C$10-1,$K123-기준정보!$C$5))</f>
        <v>46422</v>
      </c>
      <c r="M123" s="30" t="n">
        <f aca="false">IF($L123="","",IF(OR(ISNUMBER(SEARCH("중국",$U123)),ISNUMBER(SEARCH("베트남",$U123))),MAX(0,MIN($L123,기준정보!$C$9)-MAX($L123-기준정보!$C$6,기준정보!$C$8)+1),IF(ISNUMBER(SEARCH("한국",$U123)),MAX(0,MIN($L123,기준정보!$C$11)-MAX($L123-기준정보!$C$6,기준정보!$C$10)+1),0)))</f>
        <v>4</v>
      </c>
      <c r="N123" s="29" t="n">
        <f aca="false">IF($L123="","",$L123-기준정보!$C$6-$M123)</f>
        <v>46328</v>
      </c>
      <c r="O123" s="31" t="n">
        <f aca="false">IF($N123="","",$N123-기준정보!$C$4)</f>
        <v>86</v>
      </c>
      <c r="P123" s="28" t="s">
        <v>82</v>
      </c>
      <c r="Q123" s="28" t="s">
        <v>83</v>
      </c>
      <c r="R123" s="32"/>
      <c r="S123" s="27" t="str">
        <f aca="false">IF($H123="","",IF(AND(ISNUMBER(SEARCH("CMT",$H123)),OR(ISNUMBER(SEARCH("완사입",$H123)),ISNUMBER(SEARCH("ODM",$H123)))),"본사/생산처 혼재",IF(ISNUMBER(SEARCH("CMT",$H123)),"본사(소재팀)","생산처")))</f>
        <v>본사(소재팀)</v>
      </c>
      <c r="T123" s="27" t="s">
        <v>149</v>
      </c>
      <c r="U123" s="26" t="s">
        <v>85</v>
      </c>
      <c r="V123" s="33" t="n">
        <v>1800</v>
      </c>
      <c r="W123" s="27" t="s">
        <v>459</v>
      </c>
      <c r="X123" s="27" t="str">
        <f aca="false">IF($K123="","출고일 미정",IF($P123="X","작지 미발행",IF($P123="부분","작지 일부 미발행",IF(AND($R123&lt;&gt;"",$R123&gt;$N123),"소재입고 마감("&amp;TEXT($N123,"MM/DD")&amp;") 초과",IF($P123="","발행여부 확인 필요",IF($R123="","소재 입고일정 확인 필요","정상"))))))</f>
        <v>소재 입고일정 확인 필요</v>
      </c>
      <c r="Y123" s="25" t="str">
        <f aca="false">IF($K123="","",IF(OR(LEFT($X123,2)="작지",LEFT($X123,4)="소재입고"),IF(LEFT($G123,1)="S","★ 납기위험(S코드)","◆ 지연주의"),IF($X123="정상","✓ 정상","? 확인필요")))</f>
        <v>? 확인필요</v>
      </c>
      <c r="Z123" s="28"/>
      <c r="AA123" s="34"/>
    </row>
    <row r="124" customFormat="false" ht="15" hidden="false" customHeight="false" outlineLevel="0" collapsed="false">
      <c r="A124" s="25" t="n">
        <v>120</v>
      </c>
      <c r="B124" s="26" t="s">
        <v>204</v>
      </c>
      <c r="C124" s="26" t="s">
        <v>205</v>
      </c>
      <c r="D124" s="27" t="s">
        <v>462</v>
      </c>
      <c r="E124" s="26" t="s">
        <v>463</v>
      </c>
      <c r="F124" s="27" t="s">
        <v>146</v>
      </c>
      <c r="G124" s="25" t="str">
        <f aca="false">IF($D124="","",IF(MID($D124,5,1)="S","S(봄)",IF(MID($D124,5,1)="M","M(여름)",IF(MID($D124,5,1)="X","X(사계절)",MID($D124,5,1)))))</f>
        <v>M(여름)</v>
      </c>
      <c r="H124" s="26" t="s">
        <v>79</v>
      </c>
      <c r="I124" s="25"/>
      <c r="J124" s="28" t="s">
        <v>459</v>
      </c>
      <c r="K124" s="29" t="n">
        <f aca="false">IF($J124="","",IFERROR(DATE(IF(VALUE(LEFT($J124,FIND("월",$J124)-1))&gt;=9,기준정보!$C$7-1,기준정보!$C$7),VALUE(LEFT($J124,FIND("월",$J124)-1)),1+7*(VALUE(SUBSTITUTE(MID($J124,FIND("월",$J124)+1,5),"주",""))-1)),""))</f>
        <v>46440</v>
      </c>
      <c r="L124" s="29" t="n">
        <f aca="false">IF($K124="","",IF(AND($K124-기준정보!$C$5&gt;=기준정보!$C$10,$K124-기준정보!$C$5&lt;=기준정보!$C$11),기준정보!$C$10-1,$K124-기준정보!$C$5))</f>
        <v>46422</v>
      </c>
      <c r="M124" s="30" t="n">
        <f aca="false">IF($L124="","",IF(OR(ISNUMBER(SEARCH("중국",$U124)),ISNUMBER(SEARCH("베트남",$U124))),MAX(0,MIN($L124,기준정보!$C$9)-MAX($L124-기준정보!$C$6,기준정보!$C$8)+1),IF(ISNUMBER(SEARCH("한국",$U124)),MAX(0,MIN($L124,기준정보!$C$11)-MAX($L124-기준정보!$C$6,기준정보!$C$10)+1),0)))</f>
        <v>0</v>
      </c>
      <c r="N124" s="29" t="n">
        <f aca="false">IF($L124="","",$L124-기준정보!$C$6-$M124)</f>
        <v>46332</v>
      </c>
      <c r="O124" s="31" t="n">
        <f aca="false">IF($N124="","",$N124-기준정보!$C$4)</f>
        <v>90</v>
      </c>
      <c r="P124" s="28" t="s">
        <v>82</v>
      </c>
      <c r="Q124" s="28" t="s">
        <v>83</v>
      </c>
      <c r="R124" s="32"/>
      <c r="S124" s="27" t="str">
        <f aca="false">IF($H124="","",IF(AND(ISNUMBER(SEARCH("CMT",$H124)),OR(ISNUMBER(SEARCH("완사입",$H124)),ISNUMBER(SEARCH("ODM",$H124)))),"본사/생산처 혼재",IF(ISNUMBER(SEARCH("CMT",$H124)),"본사(소재팀)","생산처")))</f>
        <v>생산처</v>
      </c>
      <c r="T124" s="27" t="s">
        <v>243</v>
      </c>
      <c r="U124" s="26" t="s">
        <v>90</v>
      </c>
      <c r="V124" s="33" t="n">
        <v>1600</v>
      </c>
      <c r="W124" s="27" t="s">
        <v>459</v>
      </c>
      <c r="X124" s="27" t="str">
        <f aca="false">IF($K124="","출고일 미정",IF($P124="X","작지 미발행",IF($P124="부분","작지 일부 미발행",IF(AND($R124&lt;&gt;"",$R124&gt;$N124),"소재입고 마감("&amp;TEXT($N124,"MM/DD")&amp;") 초과",IF($P124="","발행여부 확인 필요",IF($R124="","소재 입고일정 확인 필요","정상"))))))</f>
        <v>소재 입고일정 확인 필요</v>
      </c>
      <c r="Y124" s="25" t="str">
        <f aca="false">IF($K124="","",IF(OR(LEFT($X124,2)="작지",LEFT($X124,4)="소재입고"),IF(LEFT($G124,1)="S","★ 납기위험(S코드)","◆ 지연주의"),IF($X124="정상","✓ 정상","? 확인필요")))</f>
        <v>? 확인필요</v>
      </c>
      <c r="Z124" s="28"/>
      <c r="AA124" s="34"/>
    </row>
    <row r="125" customFormat="false" ht="15" hidden="false" customHeight="false" outlineLevel="0" collapsed="false">
      <c r="A125" s="25" t="n">
        <v>121</v>
      </c>
      <c r="B125" s="26" t="s">
        <v>204</v>
      </c>
      <c r="C125" s="26" t="s">
        <v>205</v>
      </c>
      <c r="D125" s="27" t="s">
        <v>464</v>
      </c>
      <c r="E125" s="26" t="s">
        <v>465</v>
      </c>
      <c r="F125" s="27" t="s">
        <v>466</v>
      </c>
      <c r="G125" s="25" t="str">
        <f aca="false">IF($D125="","",IF(MID($D125,5,1)="S","S(봄)",IF(MID($D125,5,1)="M","M(여름)",IF(MID($D125,5,1)="X","X(사계절)",MID($D125,5,1)))))</f>
        <v>M(여름)</v>
      </c>
      <c r="H125" s="26" t="s">
        <v>79</v>
      </c>
      <c r="I125" s="25"/>
      <c r="J125" s="28" t="s">
        <v>459</v>
      </c>
      <c r="K125" s="29" t="n">
        <f aca="false">IF($J125="","",IFERROR(DATE(IF(VALUE(LEFT($J125,FIND("월",$J125)-1))&gt;=9,기준정보!$C$7-1,기준정보!$C$7),VALUE(LEFT($J125,FIND("월",$J125)-1)),1+7*(VALUE(SUBSTITUTE(MID($J125,FIND("월",$J125)+1,5),"주",""))-1)),""))</f>
        <v>46440</v>
      </c>
      <c r="L125" s="29" t="n">
        <f aca="false">IF($K125="","",IF(AND($K125-기준정보!$C$5&gt;=기준정보!$C$10,$K125-기준정보!$C$5&lt;=기준정보!$C$11),기준정보!$C$10-1,$K125-기준정보!$C$5))</f>
        <v>46422</v>
      </c>
      <c r="M125" s="30" t="n">
        <f aca="false">IF($L125="","",IF(OR(ISNUMBER(SEARCH("중국",$U125)),ISNUMBER(SEARCH("베트남",$U125))),MAX(0,MIN($L125,기준정보!$C$9)-MAX($L125-기준정보!$C$6,기준정보!$C$8)+1),IF(ISNUMBER(SEARCH("한국",$U125)),MAX(0,MIN($L125,기준정보!$C$11)-MAX($L125-기준정보!$C$6,기준정보!$C$10)+1),0)))</f>
        <v>4</v>
      </c>
      <c r="N125" s="29" t="n">
        <f aca="false">IF($L125="","",$L125-기준정보!$C$6-$M125)</f>
        <v>46328</v>
      </c>
      <c r="O125" s="31" t="n">
        <f aca="false">IF($N125="","",$N125-기준정보!$C$4)</f>
        <v>86</v>
      </c>
      <c r="P125" s="28" t="s">
        <v>82</v>
      </c>
      <c r="Q125" s="28" t="s">
        <v>83</v>
      </c>
      <c r="R125" s="32"/>
      <c r="S125" s="27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T125" s="27" t="s">
        <v>130</v>
      </c>
      <c r="U125" s="26" t="s">
        <v>85</v>
      </c>
      <c r="V125" s="33" t="n">
        <v>3000</v>
      </c>
      <c r="W125" s="27" t="s">
        <v>459</v>
      </c>
      <c r="X125" s="27" t="str">
        <f aca="false">IF($K125="","출고일 미정",IF($P125="X","작지 미발행",IF($P125="부분","작지 일부 미발행",IF(AND($R125&lt;&gt;"",$R125&gt;$N125),"소재입고 마감("&amp;TEXT($N125,"MM/DD")&amp;") 초과",IF($P125="","발행여부 확인 필요",IF($R125="","소재 입고일정 확인 필요","정상"))))))</f>
        <v>소재 입고일정 확인 필요</v>
      </c>
      <c r="Y125" s="25" t="str">
        <f aca="false">IF($K125="","",IF(OR(LEFT($X125,2)="작지",LEFT($X125,4)="소재입고"),IF(LEFT($G125,1)="S","★ 납기위험(S코드)","◆ 지연주의"),IF($X125="정상","✓ 정상","? 확인필요")))</f>
        <v>? 확인필요</v>
      </c>
      <c r="Z125" s="28"/>
      <c r="AA125" s="34"/>
    </row>
    <row r="126" customFormat="false" ht="15" hidden="false" customHeight="false" outlineLevel="0" collapsed="false">
      <c r="A126" s="25" t="n">
        <v>122</v>
      </c>
      <c r="B126" s="26" t="s">
        <v>204</v>
      </c>
      <c r="C126" s="26" t="s">
        <v>205</v>
      </c>
      <c r="D126" s="27" t="s">
        <v>467</v>
      </c>
      <c r="E126" s="26" t="s">
        <v>468</v>
      </c>
      <c r="F126" s="27" t="s">
        <v>469</v>
      </c>
      <c r="G126" s="25" t="str">
        <f aca="false">IF($D126="","",IF(MID($D126,5,1)="S","S(봄)",IF(MID($D126,5,1)="M","M(여름)",IF(MID($D126,5,1)="X","X(사계절)",MID($D126,5,1)))))</f>
        <v>M(여름)</v>
      </c>
      <c r="H126" s="26" t="s">
        <v>79</v>
      </c>
      <c r="I126" s="25"/>
      <c r="J126" s="28" t="s">
        <v>459</v>
      </c>
      <c r="K126" s="29" t="n">
        <f aca="false">IF($J126="","",IFERROR(DATE(IF(VALUE(LEFT($J126,FIND("월",$J126)-1))&gt;=9,기준정보!$C$7-1,기준정보!$C$7),VALUE(LEFT($J126,FIND("월",$J126)-1)),1+7*(VALUE(SUBSTITUTE(MID($J126,FIND("월",$J126)+1,5),"주",""))-1)),""))</f>
        <v>46440</v>
      </c>
      <c r="L126" s="29" t="n">
        <f aca="false">IF($K126="","",IF(AND($K126-기준정보!$C$5&gt;=기준정보!$C$10,$K126-기준정보!$C$5&lt;=기준정보!$C$11),기준정보!$C$10-1,$K126-기준정보!$C$5))</f>
        <v>46422</v>
      </c>
      <c r="M126" s="30" t="n">
        <f aca="false">IF($L126="","",IF(OR(ISNUMBER(SEARCH("중국",$U126)),ISNUMBER(SEARCH("베트남",$U126))),MAX(0,MIN($L126,기준정보!$C$9)-MAX($L126-기준정보!$C$6,기준정보!$C$8)+1),IF(ISNUMBER(SEARCH("한국",$U126)),MAX(0,MIN($L126,기준정보!$C$11)-MAX($L126-기준정보!$C$6,기준정보!$C$10)+1),0)))</f>
        <v>4</v>
      </c>
      <c r="N126" s="29" t="n">
        <f aca="false">IF($L126="","",$L126-기준정보!$C$6-$M126)</f>
        <v>46328</v>
      </c>
      <c r="O126" s="31" t="n">
        <f aca="false">IF($N126="","",$N126-기준정보!$C$4)</f>
        <v>86</v>
      </c>
      <c r="P126" s="28" t="s">
        <v>82</v>
      </c>
      <c r="Q126" s="28" t="s">
        <v>83</v>
      </c>
      <c r="R126" s="32"/>
      <c r="S126" s="27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T126" s="26" t="s">
        <v>106</v>
      </c>
      <c r="U126" s="26" t="s">
        <v>85</v>
      </c>
      <c r="V126" s="33" t="n">
        <v>2200</v>
      </c>
      <c r="W126" s="27" t="s">
        <v>459</v>
      </c>
      <c r="X126" s="27" t="str">
        <f aca="false">IF($K126="","출고일 미정",IF($P126="X","작지 미발행",IF($P126="부분","작지 일부 미발행",IF(AND($R126&lt;&gt;"",$R126&gt;$N126),"소재입고 마감("&amp;TEXT($N126,"MM/DD")&amp;") 초과",IF($P126="","발행여부 확인 필요",IF($R126="","소재 입고일정 확인 필요","정상"))))))</f>
        <v>소재 입고일정 확인 필요</v>
      </c>
      <c r="Y126" s="25" t="str">
        <f aca="false">IF($K126="","",IF(OR(LEFT($X126,2)="작지",LEFT($X126,4)="소재입고"),IF(LEFT($G126,1)="S","★ 납기위험(S코드)","◆ 지연주의"),IF($X126="정상","✓ 정상","? 확인필요")))</f>
        <v>? 확인필요</v>
      </c>
      <c r="Z126" s="28"/>
      <c r="AA126" s="34"/>
    </row>
    <row r="127" customFormat="false" ht="15" hidden="false" customHeight="false" outlineLevel="0" collapsed="false">
      <c r="A127" s="25" t="n">
        <v>123</v>
      </c>
      <c r="B127" s="26" t="s">
        <v>204</v>
      </c>
      <c r="C127" s="26" t="s">
        <v>205</v>
      </c>
      <c r="D127" s="27" t="s">
        <v>470</v>
      </c>
      <c r="E127" s="26" t="s">
        <v>471</v>
      </c>
      <c r="F127" s="27" t="s">
        <v>472</v>
      </c>
      <c r="G127" s="25" t="str">
        <f aca="false">IF($D127="","",IF(MID($D127,5,1)="S","S(봄)",IF(MID($D127,5,1)="M","M(여름)",IF(MID($D127,5,1)="X","X(사계절)",MID($D127,5,1)))))</f>
        <v>M(여름)</v>
      </c>
      <c r="H127" s="26" t="s">
        <v>79</v>
      </c>
      <c r="I127" s="25"/>
      <c r="J127" s="28" t="s">
        <v>459</v>
      </c>
      <c r="K127" s="29" t="n">
        <f aca="false">IF($J127="","",IFERROR(DATE(IF(VALUE(LEFT($J127,FIND("월",$J127)-1))&gt;=9,기준정보!$C$7-1,기준정보!$C$7),VALUE(LEFT($J127,FIND("월",$J127)-1)),1+7*(VALUE(SUBSTITUTE(MID($J127,FIND("월",$J127)+1,5),"주",""))-1)),""))</f>
        <v>46440</v>
      </c>
      <c r="L127" s="29" t="n">
        <f aca="false">IF($K127="","",IF(AND($K127-기준정보!$C$5&gt;=기준정보!$C$10,$K127-기준정보!$C$5&lt;=기준정보!$C$11),기준정보!$C$10-1,$K127-기준정보!$C$5))</f>
        <v>46422</v>
      </c>
      <c r="M127" s="30" t="n">
        <f aca="false">IF($L127="","",IF(OR(ISNUMBER(SEARCH("중국",$U127)),ISNUMBER(SEARCH("베트남",$U127))),MAX(0,MIN($L127,기준정보!$C$9)-MAX($L127-기준정보!$C$6,기준정보!$C$8)+1),IF(ISNUMBER(SEARCH("한국",$U127)),MAX(0,MIN($L127,기준정보!$C$11)-MAX($L127-기준정보!$C$6,기준정보!$C$10)+1),0)))</f>
        <v>4</v>
      </c>
      <c r="N127" s="29" t="n">
        <f aca="false">IF($L127="","",$L127-기준정보!$C$6-$M127)</f>
        <v>46328</v>
      </c>
      <c r="O127" s="31" t="n">
        <f aca="false">IF($N127="","",$N127-기준정보!$C$4)</f>
        <v>86</v>
      </c>
      <c r="P127" s="28" t="s">
        <v>82</v>
      </c>
      <c r="Q127" s="28" t="s">
        <v>83</v>
      </c>
      <c r="R127" s="32"/>
      <c r="S127" s="27" t="str">
        <f aca="false">IF($H127="","",IF(AND(ISNUMBER(SEARCH("CMT",$H127)),OR(ISNUMBER(SEARCH("완사입",$H127)),ISNUMBER(SEARCH("ODM",$H127)))),"본사/생산처 혼재",IF(ISNUMBER(SEARCH("CMT",$H127)),"본사(소재팀)","생산처")))</f>
        <v>생산처</v>
      </c>
      <c r="T127" s="26" t="s">
        <v>311</v>
      </c>
      <c r="U127" s="26" t="s">
        <v>85</v>
      </c>
      <c r="V127" s="33" t="n">
        <v>4500</v>
      </c>
      <c r="W127" s="27" t="s">
        <v>459</v>
      </c>
      <c r="X127" s="27" t="str">
        <f aca="false">IF($K127="","출고일 미정",IF($P127="X","작지 미발행",IF($P127="부분","작지 일부 미발행",IF(AND($R127&lt;&gt;"",$R127&gt;$N127),"소재입고 마감("&amp;TEXT($N127,"MM/DD")&amp;") 초과",IF($P127="","발행여부 확인 필요",IF($R127="","소재 입고일정 확인 필요","정상"))))))</f>
        <v>소재 입고일정 확인 필요</v>
      </c>
      <c r="Y127" s="25" t="str">
        <f aca="false">IF($K127="","",IF(OR(LEFT($X127,2)="작지",LEFT($X127,4)="소재입고"),IF(LEFT($G127,1)="S","★ 납기위험(S코드)","◆ 지연주의"),IF($X127="정상","✓ 정상","? 확인필요")))</f>
        <v>? 확인필요</v>
      </c>
      <c r="Z127" s="28"/>
      <c r="AA127" s="34"/>
    </row>
    <row r="128" customFormat="false" ht="15" hidden="false" customHeight="false" outlineLevel="0" collapsed="false">
      <c r="A128" s="25" t="n">
        <v>124</v>
      </c>
      <c r="B128" s="26" t="s">
        <v>204</v>
      </c>
      <c r="C128" s="26" t="s">
        <v>205</v>
      </c>
      <c r="D128" s="27" t="s">
        <v>473</v>
      </c>
      <c r="E128" s="26" t="s">
        <v>474</v>
      </c>
      <c r="F128" s="27" t="s">
        <v>475</v>
      </c>
      <c r="G128" s="25" t="str">
        <f aca="false">IF($D128="","",IF(MID($D128,5,1)="S","S(봄)",IF(MID($D128,5,1)="M","M(여름)",IF(MID($D128,5,1)="X","X(사계절)",MID($D128,5,1)))))</f>
        <v>M(여름)</v>
      </c>
      <c r="H128" s="26" t="s">
        <v>79</v>
      </c>
      <c r="I128" s="25"/>
      <c r="J128" s="28" t="s">
        <v>459</v>
      </c>
      <c r="K128" s="29" t="n">
        <f aca="false">IF($J128="","",IFERROR(DATE(IF(VALUE(LEFT($J128,FIND("월",$J128)-1))&gt;=9,기준정보!$C$7-1,기준정보!$C$7),VALUE(LEFT($J128,FIND("월",$J128)-1)),1+7*(VALUE(SUBSTITUTE(MID($J128,FIND("월",$J128)+1,5),"주",""))-1)),""))</f>
        <v>46440</v>
      </c>
      <c r="L128" s="29" t="n">
        <f aca="false">IF($K128="","",IF(AND($K128-기준정보!$C$5&gt;=기준정보!$C$10,$K128-기준정보!$C$5&lt;=기준정보!$C$11),기준정보!$C$10-1,$K128-기준정보!$C$5))</f>
        <v>46422</v>
      </c>
      <c r="M128" s="30" t="n">
        <f aca="false">IF($L128="","",IF(OR(ISNUMBER(SEARCH("중국",$U128)),ISNUMBER(SEARCH("베트남",$U128))),MAX(0,MIN($L128,기준정보!$C$9)-MAX($L128-기준정보!$C$6,기준정보!$C$8)+1),IF(ISNUMBER(SEARCH("한국",$U128)),MAX(0,MIN($L128,기준정보!$C$11)-MAX($L128-기준정보!$C$6,기준정보!$C$10)+1),0)))</f>
        <v>4</v>
      </c>
      <c r="N128" s="29" t="n">
        <f aca="false">IF($L128="","",$L128-기준정보!$C$6-$M128)</f>
        <v>46328</v>
      </c>
      <c r="O128" s="31" t="n">
        <f aca="false">IF($N128="","",$N128-기준정보!$C$4)</f>
        <v>86</v>
      </c>
      <c r="P128" s="28" t="s">
        <v>82</v>
      </c>
      <c r="Q128" s="28" t="s">
        <v>83</v>
      </c>
      <c r="R128" s="32"/>
      <c r="S128" s="27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T128" s="26" t="s">
        <v>311</v>
      </c>
      <c r="U128" s="26" t="s">
        <v>85</v>
      </c>
      <c r="V128" s="33" t="n">
        <v>2000</v>
      </c>
      <c r="W128" s="27" t="s">
        <v>459</v>
      </c>
      <c r="X128" s="27" t="str">
        <f aca="false">IF($K128="","출고일 미정",IF($P128="X","작지 미발행",IF($P128="부분","작지 일부 미발행",IF(AND($R128&lt;&gt;"",$R128&gt;$N128),"소재입고 마감("&amp;TEXT($N128,"MM/DD")&amp;") 초과",IF($P128="","발행여부 확인 필요",IF($R128="","소재 입고일정 확인 필요","정상"))))))</f>
        <v>소재 입고일정 확인 필요</v>
      </c>
      <c r="Y128" s="25" t="str">
        <f aca="false">IF($K128="","",IF(OR(LEFT($X128,2)="작지",LEFT($X128,4)="소재입고"),IF(LEFT($G128,1)="S","★ 납기위험(S코드)","◆ 지연주의"),IF($X128="정상","✓ 정상","? 확인필요")))</f>
        <v>? 확인필요</v>
      </c>
      <c r="Z128" s="28"/>
      <c r="AA128" s="34"/>
    </row>
    <row r="129" customFormat="false" ht="15" hidden="false" customHeight="false" outlineLevel="0" collapsed="false">
      <c r="A129" s="25" t="n">
        <v>125</v>
      </c>
      <c r="B129" s="26" t="s">
        <v>204</v>
      </c>
      <c r="C129" s="26" t="s">
        <v>205</v>
      </c>
      <c r="D129" s="27" t="s">
        <v>476</v>
      </c>
      <c r="E129" s="27" t="s">
        <v>477</v>
      </c>
      <c r="F129" s="27" t="s">
        <v>478</v>
      </c>
      <c r="G129" s="25" t="str">
        <f aca="false">IF($D129="","",IF(MID($D129,5,1)="S","S(봄)",IF(MID($D129,5,1)="M","M(여름)",IF(MID($D129,5,1)="X","X(사계절)",MID($D129,5,1)))))</f>
        <v>M(여름)</v>
      </c>
      <c r="H129" s="26" t="s">
        <v>79</v>
      </c>
      <c r="I129" s="25"/>
      <c r="J129" s="28" t="s">
        <v>459</v>
      </c>
      <c r="K129" s="29" t="n">
        <f aca="false">IF($J129="","",IFERROR(DATE(IF(VALUE(LEFT($J129,FIND("월",$J129)-1))&gt;=9,기준정보!$C$7-1,기준정보!$C$7),VALUE(LEFT($J129,FIND("월",$J129)-1)),1+7*(VALUE(SUBSTITUTE(MID($J129,FIND("월",$J129)+1,5),"주",""))-1)),""))</f>
        <v>46440</v>
      </c>
      <c r="L129" s="29" t="n">
        <f aca="false">IF($K129="","",IF(AND($K129-기준정보!$C$5&gt;=기준정보!$C$10,$K129-기준정보!$C$5&lt;=기준정보!$C$11),기준정보!$C$10-1,$K129-기준정보!$C$5))</f>
        <v>46422</v>
      </c>
      <c r="M129" s="30" t="n">
        <f aca="false">IF($L129="","",IF(OR(ISNUMBER(SEARCH("중국",$U129)),ISNUMBER(SEARCH("베트남",$U129))),MAX(0,MIN($L129,기준정보!$C$9)-MAX($L129-기준정보!$C$6,기준정보!$C$8)+1),IF(ISNUMBER(SEARCH("한국",$U129)),MAX(0,MIN($L129,기준정보!$C$11)-MAX($L129-기준정보!$C$6,기준정보!$C$10)+1),0)))</f>
        <v>4</v>
      </c>
      <c r="N129" s="29" t="n">
        <f aca="false">IF($L129="","",$L129-기준정보!$C$6-$M129)</f>
        <v>46328</v>
      </c>
      <c r="O129" s="31" t="n">
        <f aca="false">IF($N129="","",$N129-기준정보!$C$4)</f>
        <v>86</v>
      </c>
      <c r="P129" s="28" t="s">
        <v>82</v>
      </c>
      <c r="Q129" s="28" t="s">
        <v>83</v>
      </c>
      <c r="R129" s="32"/>
      <c r="S129" s="27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T129" s="26" t="s">
        <v>311</v>
      </c>
      <c r="U129" s="26" t="s">
        <v>85</v>
      </c>
      <c r="V129" s="33" t="n">
        <v>2500</v>
      </c>
      <c r="W129" s="27" t="s">
        <v>459</v>
      </c>
      <c r="X129" s="27" t="str">
        <f aca="false">IF($K129="","출고일 미정",IF($P129="X","작지 미발행",IF($P129="부분","작지 일부 미발행",IF(AND($R129&lt;&gt;"",$R129&gt;$N129),"소재입고 마감("&amp;TEXT($N129,"MM/DD")&amp;") 초과",IF($P129="","발행여부 확인 필요",IF($R129="","소재 입고일정 확인 필요","정상"))))))</f>
        <v>소재 입고일정 확인 필요</v>
      </c>
      <c r="Y129" s="25" t="str">
        <f aca="false">IF($K129="","",IF(OR(LEFT($X129,2)="작지",LEFT($X129,4)="소재입고"),IF(LEFT($G129,1)="S","★ 납기위험(S코드)","◆ 지연주의"),IF($X129="정상","✓ 정상","? 확인필요")))</f>
        <v>? 확인필요</v>
      </c>
      <c r="Z129" s="28"/>
      <c r="AA129" s="34"/>
    </row>
    <row r="130" customFormat="false" ht="15" hidden="false" customHeight="false" outlineLevel="0" collapsed="false">
      <c r="A130" s="25" t="n">
        <v>126</v>
      </c>
      <c r="B130" s="26" t="s">
        <v>224</v>
      </c>
      <c r="C130" s="26" t="s">
        <v>225</v>
      </c>
      <c r="D130" s="27" t="s">
        <v>479</v>
      </c>
      <c r="E130" s="26" t="s">
        <v>480</v>
      </c>
      <c r="F130" s="27" t="s">
        <v>238</v>
      </c>
      <c r="G130" s="25" t="str">
        <f aca="false">IF($D130="","",IF(MID($D130,5,1)="S","S(봄)",IF(MID($D130,5,1)="M","M(여름)",IF(MID($D130,5,1)="X","X(사계절)",MID($D130,5,1)))))</f>
        <v>M(여름)</v>
      </c>
      <c r="H130" s="26" t="s">
        <v>79</v>
      </c>
      <c r="I130" s="25" t="s">
        <v>481</v>
      </c>
      <c r="J130" s="28" t="s">
        <v>459</v>
      </c>
      <c r="K130" s="29" t="n">
        <f aca="false">IF($J130="","",IFERROR(DATE(IF(VALUE(LEFT($J130,FIND("월",$J130)-1))&gt;=9,기준정보!$C$7-1,기준정보!$C$7),VALUE(LEFT($J130,FIND("월",$J130)-1)),1+7*(VALUE(SUBSTITUTE(MID($J130,FIND("월",$J130)+1,5),"주",""))-1)),""))</f>
        <v>46440</v>
      </c>
      <c r="L130" s="29" t="n">
        <f aca="false">IF($K130="","",IF(AND($K130-기준정보!$C$5&gt;=기준정보!$C$10,$K130-기준정보!$C$5&lt;=기준정보!$C$11),기준정보!$C$10-1,$K130-기준정보!$C$5))</f>
        <v>46422</v>
      </c>
      <c r="M130" s="30" t="n">
        <f aca="false">IF($L130="","",IF(OR(ISNUMBER(SEARCH("중국",$U130)),ISNUMBER(SEARCH("베트남",$U130))),MAX(0,MIN($L130,기준정보!$C$9)-MAX($L130-기준정보!$C$6,기준정보!$C$8)+1),IF(ISNUMBER(SEARCH("한국",$U130)),MAX(0,MIN($L130,기준정보!$C$11)-MAX($L130-기준정보!$C$6,기준정보!$C$10)+1),0)))</f>
        <v>4</v>
      </c>
      <c r="N130" s="29" t="n">
        <f aca="false">IF($L130="","",$L130-기준정보!$C$6-$M130)</f>
        <v>46328</v>
      </c>
      <c r="O130" s="31" t="n">
        <f aca="false">IF($N130="","",$N130-기준정보!$C$4)</f>
        <v>86</v>
      </c>
      <c r="P130" s="28" t="s">
        <v>82</v>
      </c>
      <c r="Q130" s="28" t="s">
        <v>83</v>
      </c>
      <c r="R130" s="32"/>
      <c r="S130" s="27" t="str">
        <f aca="false">IF($H130="","",IF(AND(ISNUMBER(SEARCH("CMT",$H130)),OR(ISNUMBER(SEARCH("완사입",$H130)),ISNUMBER(SEARCH("ODM",$H130)))),"본사/생산처 혼재",IF(ISNUMBER(SEARCH("CMT",$H130)),"본사(소재팀)","생산처")))</f>
        <v>생산처</v>
      </c>
      <c r="T130" s="26" t="s">
        <v>99</v>
      </c>
      <c r="U130" s="26" t="s">
        <v>85</v>
      </c>
      <c r="V130" s="33" t="n">
        <v>1700</v>
      </c>
      <c r="W130" s="27" t="s">
        <v>459</v>
      </c>
      <c r="X130" s="27" t="str">
        <f aca="false">IF($K130="","출고일 미정",IF($P130="X","작지 미발행",IF($P130="부분","작지 일부 미발행",IF(AND($R130&lt;&gt;"",$R130&gt;$N130),"소재입고 마감("&amp;TEXT($N130,"MM/DD")&amp;") 초과",IF($P130="","발행여부 확인 필요",IF($R130="","소재 입고일정 확인 필요","정상"))))))</f>
        <v>소재 입고일정 확인 필요</v>
      </c>
      <c r="Y130" s="25" t="str">
        <f aca="false">IF($K130="","",IF(OR(LEFT($X130,2)="작지",LEFT($X130,4)="소재입고"),IF(LEFT($G130,1)="S","★ 납기위험(S코드)","◆ 지연주의"),IF($X130="정상","✓ 정상","? 확인필요")))</f>
        <v>? 확인필요</v>
      </c>
      <c r="Z130" s="28"/>
      <c r="AA130" s="34"/>
    </row>
    <row r="131" customFormat="false" ht="15" hidden="false" customHeight="false" outlineLevel="0" collapsed="false">
      <c r="A131" s="25" t="n">
        <v>127</v>
      </c>
      <c r="B131" s="26" t="s">
        <v>224</v>
      </c>
      <c r="C131" s="26" t="s">
        <v>225</v>
      </c>
      <c r="D131" s="27" t="s">
        <v>482</v>
      </c>
      <c r="E131" s="26" t="s">
        <v>483</v>
      </c>
      <c r="F131" s="27" t="s">
        <v>484</v>
      </c>
      <c r="G131" s="25" t="str">
        <f aca="false">IF($D131="","",IF(MID($D131,5,1)="S","S(봄)",IF(MID($D131,5,1)="M","M(여름)",IF(MID($D131,5,1)="X","X(사계절)",MID($D131,5,1)))))</f>
        <v>M(여름)</v>
      </c>
      <c r="H131" s="27" t="s">
        <v>209</v>
      </c>
      <c r="I131" s="25" t="s">
        <v>481</v>
      </c>
      <c r="J131" s="28" t="s">
        <v>459</v>
      </c>
      <c r="K131" s="29" t="n">
        <f aca="false">IF($J131="","",IFERROR(DATE(IF(VALUE(LEFT($J131,FIND("월",$J131)-1))&gt;=9,기준정보!$C$7-1,기준정보!$C$7),VALUE(LEFT($J131,FIND("월",$J131)-1)),1+7*(VALUE(SUBSTITUTE(MID($J131,FIND("월",$J131)+1,5),"주",""))-1)),""))</f>
        <v>46440</v>
      </c>
      <c r="L131" s="29" t="n">
        <f aca="false">IF($K131="","",IF(AND($K131-기준정보!$C$5&gt;=기준정보!$C$10,$K131-기준정보!$C$5&lt;=기준정보!$C$11),기준정보!$C$10-1,$K131-기준정보!$C$5))</f>
        <v>46422</v>
      </c>
      <c r="M131" s="30" t="n">
        <f aca="false">IF($L131="","",IF(OR(ISNUMBER(SEARCH("중국",$U131)),ISNUMBER(SEARCH("베트남",$U131))),MAX(0,MIN($L131,기준정보!$C$9)-MAX($L131-기준정보!$C$6,기준정보!$C$8)+1),IF(ISNUMBER(SEARCH("한국",$U131)),MAX(0,MIN($L131,기준정보!$C$11)-MAX($L131-기준정보!$C$6,기준정보!$C$10)+1),0)))</f>
        <v>4</v>
      </c>
      <c r="N131" s="29" t="n">
        <f aca="false">IF($L131="","",$L131-기준정보!$C$6-$M131)</f>
        <v>46328</v>
      </c>
      <c r="O131" s="31" t="n">
        <f aca="false">IF($N131="","",$N131-기준정보!$C$4)</f>
        <v>86</v>
      </c>
      <c r="P131" s="28" t="s">
        <v>82</v>
      </c>
      <c r="Q131" s="28" t="s">
        <v>83</v>
      </c>
      <c r="R131" s="32"/>
      <c r="S131" s="27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T131" s="26" t="s">
        <v>210</v>
      </c>
      <c r="U131" s="26" t="s">
        <v>85</v>
      </c>
      <c r="V131" s="33" t="n">
        <v>11000</v>
      </c>
      <c r="W131" s="27" t="s">
        <v>459</v>
      </c>
      <c r="X131" s="27" t="str">
        <f aca="false">IF($K131="","출고일 미정",IF($P131="X","작지 미발행",IF($P131="부분","작지 일부 미발행",IF(AND($R131&lt;&gt;"",$R131&gt;$N131),"소재입고 마감("&amp;TEXT($N131,"MM/DD")&amp;") 초과",IF($P131="","발행여부 확인 필요",IF($R131="","소재 입고일정 확인 필요","정상"))))))</f>
        <v>소재 입고일정 확인 필요</v>
      </c>
      <c r="Y131" s="25" t="str">
        <f aca="false">IF($K131="","",IF(OR(LEFT($X131,2)="작지",LEFT($X131,4)="소재입고"),IF(LEFT($G131,1)="S","★ 납기위험(S코드)","◆ 지연주의"),IF($X131="정상","✓ 정상","? 확인필요")))</f>
        <v>? 확인필요</v>
      </c>
      <c r="Z131" s="28"/>
      <c r="AA131" s="34"/>
    </row>
    <row r="132" customFormat="false" ht="15" hidden="false" customHeight="false" outlineLevel="0" collapsed="false">
      <c r="A132" s="25" t="n">
        <v>128</v>
      </c>
      <c r="B132" s="26" t="s">
        <v>224</v>
      </c>
      <c r="C132" s="26" t="s">
        <v>225</v>
      </c>
      <c r="D132" s="27" t="s">
        <v>485</v>
      </c>
      <c r="E132" s="26" t="s">
        <v>486</v>
      </c>
      <c r="F132" s="27" t="s">
        <v>487</v>
      </c>
      <c r="G132" s="25" t="str">
        <f aca="false">IF($D132="","",IF(MID($D132,5,1)="S","S(봄)",IF(MID($D132,5,1)="M","M(여름)",IF(MID($D132,5,1)="X","X(사계절)",MID($D132,5,1)))))</f>
        <v>M(여름)</v>
      </c>
      <c r="H132" s="27" t="s">
        <v>209</v>
      </c>
      <c r="I132" s="25" t="s">
        <v>481</v>
      </c>
      <c r="J132" s="28" t="s">
        <v>459</v>
      </c>
      <c r="K132" s="29" t="n">
        <f aca="false">IF($J132="","",IFERROR(DATE(IF(VALUE(LEFT($J132,FIND("월",$J132)-1))&gt;=9,기준정보!$C$7-1,기준정보!$C$7),VALUE(LEFT($J132,FIND("월",$J132)-1)),1+7*(VALUE(SUBSTITUTE(MID($J132,FIND("월",$J132)+1,5),"주",""))-1)),""))</f>
        <v>46440</v>
      </c>
      <c r="L132" s="29" t="n">
        <f aca="false">IF($K132="","",IF(AND($K132-기준정보!$C$5&gt;=기준정보!$C$10,$K132-기준정보!$C$5&lt;=기준정보!$C$11),기준정보!$C$10-1,$K132-기준정보!$C$5))</f>
        <v>46422</v>
      </c>
      <c r="M132" s="30" t="n">
        <f aca="false">IF($L132="","",IF(OR(ISNUMBER(SEARCH("중국",$U132)),ISNUMBER(SEARCH("베트남",$U132))),MAX(0,MIN($L132,기준정보!$C$9)-MAX($L132-기준정보!$C$6,기준정보!$C$8)+1),IF(ISNUMBER(SEARCH("한국",$U132)),MAX(0,MIN($L132,기준정보!$C$11)-MAX($L132-기준정보!$C$6,기준정보!$C$10)+1),0)))</f>
        <v>4</v>
      </c>
      <c r="N132" s="29" t="n">
        <f aca="false">IF($L132="","",$L132-기준정보!$C$6-$M132)</f>
        <v>46328</v>
      </c>
      <c r="O132" s="31" t="n">
        <f aca="false">IF($N132="","",$N132-기준정보!$C$4)</f>
        <v>86</v>
      </c>
      <c r="P132" s="28" t="s">
        <v>82</v>
      </c>
      <c r="Q132" s="28" t="s">
        <v>83</v>
      </c>
      <c r="R132" s="32"/>
      <c r="S132" s="27" t="str">
        <f aca="false">IF($H132="","",IF(AND(ISNUMBER(SEARCH("CMT",$H132)),OR(ISNUMBER(SEARCH("완사입",$H132)),ISNUMBER(SEARCH("ODM",$H132)))),"본사/생산처 혼재",IF(ISNUMBER(SEARCH("CMT",$H132)),"본사(소재팀)","생산처")))</f>
        <v>본사(소재팀)</v>
      </c>
      <c r="T132" s="26" t="s">
        <v>210</v>
      </c>
      <c r="U132" s="26" t="s">
        <v>85</v>
      </c>
      <c r="V132" s="33" t="n">
        <v>14000</v>
      </c>
      <c r="W132" s="27" t="s">
        <v>459</v>
      </c>
      <c r="X132" s="27" t="str">
        <f aca="false">IF($K132="","출고일 미정",IF($P132="X","작지 미발행",IF($P132="부분","작지 일부 미발행",IF(AND($R132&lt;&gt;"",$R132&gt;$N132),"소재입고 마감("&amp;TEXT($N132,"MM/DD")&amp;") 초과",IF($P132="","발행여부 확인 필요",IF($R132="","소재 입고일정 확인 필요","정상"))))))</f>
        <v>소재 입고일정 확인 필요</v>
      </c>
      <c r="Y132" s="25" t="str">
        <f aca="false">IF($K132="","",IF(OR(LEFT($X132,2)="작지",LEFT($X132,4)="소재입고"),IF(LEFT($G132,1)="S","★ 납기위험(S코드)","◆ 지연주의"),IF($X132="정상","✓ 정상","? 확인필요")))</f>
        <v>? 확인필요</v>
      </c>
      <c r="Z132" s="28"/>
      <c r="AA132" s="34"/>
    </row>
    <row r="133" customFormat="false" ht="15" hidden="false" customHeight="false" outlineLevel="0" collapsed="false">
      <c r="A133" s="25" t="n">
        <v>129</v>
      </c>
      <c r="B133" s="26" t="s">
        <v>220</v>
      </c>
      <c r="C133" s="26" t="s">
        <v>225</v>
      </c>
      <c r="D133" s="27" t="s">
        <v>488</v>
      </c>
      <c r="E133" s="26" t="s">
        <v>489</v>
      </c>
      <c r="F133" s="27" t="s">
        <v>490</v>
      </c>
      <c r="G133" s="25" t="str">
        <f aca="false">IF($D133="","",IF(MID($D133,5,1)="S","S(봄)",IF(MID($D133,5,1)="M","M(여름)",IF(MID($D133,5,1)="X","X(사계절)",MID($D133,5,1)))))</f>
        <v>M(여름)</v>
      </c>
      <c r="H133" s="26" t="s">
        <v>79</v>
      </c>
      <c r="I133" s="25"/>
      <c r="J133" s="28" t="s">
        <v>459</v>
      </c>
      <c r="K133" s="29" t="n">
        <f aca="false">IF($J133="","",IFERROR(DATE(IF(VALUE(LEFT($J133,FIND("월",$J133)-1))&gt;=9,기준정보!$C$7-1,기준정보!$C$7),VALUE(LEFT($J133,FIND("월",$J133)-1)),1+7*(VALUE(SUBSTITUTE(MID($J133,FIND("월",$J133)+1,5),"주",""))-1)),""))</f>
        <v>46440</v>
      </c>
      <c r="L133" s="29" t="n">
        <f aca="false">IF($K133="","",IF(AND($K133-기준정보!$C$5&gt;=기준정보!$C$10,$K133-기준정보!$C$5&lt;=기준정보!$C$11),기준정보!$C$10-1,$K133-기준정보!$C$5))</f>
        <v>46422</v>
      </c>
      <c r="M133" s="30" t="n">
        <f aca="false">IF($L133="","",IF(OR(ISNUMBER(SEARCH("중국",$U133)),ISNUMBER(SEARCH("베트남",$U133))),MAX(0,MIN($L133,기준정보!$C$9)-MAX($L133-기준정보!$C$6,기준정보!$C$8)+1),IF(ISNUMBER(SEARCH("한국",$U133)),MAX(0,MIN($L133,기준정보!$C$11)-MAX($L133-기준정보!$C$6,기준정보!$C$10)+1),0)))</f>
        <v>0</v>
      </c>
      <c r="N133" s="29" t="n">
        <f aca="false">IF($L133="","",$L133-기준정보!$C$6-$M133)</f>
        <v>46332</v>
      </c>
      <c r="O133" s="31" t="n">
        <f aca="false">IF($N133="","",$N133-기준정보!$C$4)</f>
        <v>90</v>
      </c>
      <c r="P133" s="28" t="s">
        <v>82</v>
      </c>
      <c r="Q133" s="28" t="s">
        <v>83</v>
      </c>
      <c r="R133" s="32"/>
      <c r="S133" s="27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T133" s="27" t="s">
        <v>243</v>
      </c>
      <c r="U133" s="26" t="s">
        <v>90</v>
      </c>
      <c r="V133" s="33" t="n">
        <v>1200</v>
      </c>
      <c r="W133" s="27" t="s">
        <v>491</v>
      </c>
      <c r="X133" s="27" t="str">
        <f aca="false">IF($K133="","출고일 미정",IF($P133="X","작지 미발행",IF($P133="부분","작지 일부 미발행",IF(AND($R133&lt;&gt;"",$R133&gt;$N133),"소재입고 마감("&amp;TEXT($N133,"MM/DD")&amp;") 초과",IF($P133="","발행여부 확인 필요",IF($R133="","소재 입고일정 확인 필요","정상"))))))</f>
        <v>소재 입고일정 확인 필요</v>
      </c>
      <c r="Y133" s="25" t="str">
        <f aca="false">IF($K133="","",IF(OR(LEFT($X133,2)="작지",LEFT($X133,4)="소재입고"),IF(LEFT($G133,1)="S","★ 납기위험(S코드)","◆ 지연주의"),IF($X133="정상","✓ 정상","? 확인필요")))</f>
        <v>? 확인필요</v>
      </c>
      <c r="Z133" s="28"/>
      <c r="AA133" s="34"/>
    </row>
    <row r="134" customFormat="false" ht="15" hidden="false" customHeight="false" outlineLevel="0" collapsed="false">
      <c r="A134" s="25" t="n">
        <v>130</v>
      </c>
      <c r="B134" s="26" t="s">
        <v>220</v>
      </c>
      <c r="C134" s="26" t="s">
        <v>225</v>
      </c>
      <c r="D134" s="27" t="s">
        <v>492</v>
      </c>
      <c r="E134" s="26" t="s">
        <v>493</v>
      </c>
      <c r="F134" s="27" t="s">
        <v>494</v>
      </c>
      <c r="G134" s="25" t="str">
        <f aca="false">IF($D134="","",IF(MID($D134,5,1)="S","S(봄)",IF(MID($D134,5,1)="M","M(여름)",IF(MID($D134,5,1)="X","X(사계절)",MID($D134,5,1)))))</f>
        <v>M(여름)</v>
      </c>
      <c r="H134" s="26" t="s">
        <v>79</v>
      </c>
      <c r="I134" s="25"/>
      <c r="J134" s="28" t="s">
        <v>459</v>
      </c>
      <c r="K134" s="29" t="n">
        <f aca="false">IF($J134="","",IFERROR(DATE(IF(VALUE(LEFT($J134,FIND("월",$J134)-1))&gt;=9,기준정보!$C$7-1,기준정보!$C$7),VALUE(LEFT($J134,FIND("월",$J134)-1)),1+7*(VALUE(SUBSTITUTE(MID($J134,FIND("월",$J134)+1,5),"주",""))-1)),""))</f>
        <v>46440</v>
      </c>
      <c r="L134" s="29" t="n">
        <f aca="false">IF($K134="","",IF(AND($K134-기준정보!$C$5&gt;=기준정보!$C$10,$K134-기준정보!$C$5&lt;=기준정보!$C$11),기준정보!$C$10-1,$K134-기준정보!$C$5))</f>
        <v>46422</v>
      </c>
      <c r="M134" s="30" t="n">
        <f aca="false">IF($L134="","",IF(OR(ISNUMBER(SEARCH("중국",$U134)),ISNUMBER(SEARCH("베트남",$U134))),MAX(0,MIN($L134,기준정보!$C$9)-MAX($L134-기준정보!$C$6,기준정보!$C$8)+1),IF(ISNUMBER(SEARCH("한국",$U134)),MAX(0,MIN($L134,기준정보!$C$11)-MAX($L134-기준정보!$C$6,기준정보!$C$10)+1),0)))</f>
        <v>4</v>
      </c>
      <c r="N134" s="29" t="n">
        <f aca="false">IF($L134="","",$L134-기준정보!$C$6-$M134)</f>
        <v>46328</v>
      </c>
      <c r="O134" s="31" t="n">
        <f aca="false">IF($N134="","",$N134-기준정보!$C$4)</f>
        <v>86</v>
      </c>
      <c r="P134" s="28" t="s">
        <v>82</v>
      </c>
      <c r="Q134" s="28" t="s">
        <v>83</v>
      </c>
      <c r="R134" s="32"/>
      <c r="S134" s="27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T134" s="26" t="s">
        <v>106</v>
      </c>
      <c r="U134" s="26" t="s">
        <v>85</v>
      </c>
      <c r="V134" s="33" t="n">
        <v>12000</v>
      </c>
      <c r="W134" s="27" t="s">
        <v>491</v>
      </c>
      <c r="X134" s="27" t="str">
        <f aca="false">IF($K134="","출고일 미정",IF($P134="X","작지 미발행",IF($P134="부분","작지 일부 미발행",IF(AND($R134&lt;&gt;"",$R134&gt;$N134),"소재입고 마감("&amp;TEXT($N134,"MM/DD")&amp;") 초과",IF($P134="","발행여부 확인 필요",IF($R134="","소재 입고일정 확인 필요","정상"))))))</f>
        <v>소재 입고일정 확인 필요</v>
      </c>
      <c r="Y134" s="25" t="str">
        <f aca="false">IF($K134="","",IF(OR(LEFT($X134,2)="작지",LEFT($X134,4)="소재입고"),IF(LEFT($G134,1)="S","★ 납기위험(S코드)","◆ 지연주의"),IF($X134="정상","✓ 정상","? 확인필요")))</f>
        <v>? 확인필요</v>
      </c>
      <c r="Z134" s="28"/>
      <c r="AA134" s="34"/>
    </row>
    <row r="135" customFormat="false" ht="15" hidden="false" customHeight="false" outlineLevel="0" collapsed="false">
      <c r="A135" s="25" t="n">
        <v>131</v>
      </c>
      <c r="B135" s="26" t="s">
        <v>204</v>
      </c>
      <c r="C135" s="26" t="s">
        <v>495</v>
      </c>
      <c r="D135" s="27" t="s">
        <v>496</v>
      </c>
      <c r="E135" s="26" t="s">
        <v>497</v>
      </c>
      <c r="F135" s="27" t="s">
        <v>498</v>
      </c>
      <c r="G135" s="25" t="str">
        <f aca="false">IF($D135="","",IF(MID($D135,5,1)="S","S(봄)",IF(MID($D135,5,1)="M","M(여름)",IF(MID($D135,5,1)="X","X(사계절)",MID($D135,5,1)))))</f>
        <v>M(여름)</v>
      </c>
      <c r="H135" s="26" t="s">
        <v>79</v>
      </c>
      <c r="I135" s="25"/>
      <c r="J135" s="28" t="s">
        <v>459</v>
      </c>
      <c r="K135" s="29" t="n">
        <f aca="false">IF($J135="","",IFERROR(DATE(IF(VALUE(LEFT($J135,FIND("월",$J135)-1))&gt;=9,기준정보!$C$7-1,기준정보!$C$7),VALUE(LEFT($J135,FIND("월",$J135)-1)),1+7*(VALUE(SUBSTITUTE(MID($J135,FIND("월",$J135)+1,5),"주",""))-1)),""))</f>
        <v>46440</v>
      </c>
      <c r="L135" s="29" t="n">
        <f aca="false">IF($K135="","",IF(AND($K135-기준정보!$C$5&gt;=기준정보!$C$10,$K135-기준정보!$C$5&lt;=기준정보!$C$11),기준정보!$C$10-1,$K135-기준정보!$C$5))</f>
        <v>46422</v>
      </c>
      <c r="M135" s="30" t="n">
        <f aca="false">IF($L135="","",IF(OR(ISNUMBER(SEARCH("중국",$U135)),ISNUMBER(SEARCH("베트남",$U135))),MAX(0,MIN($L135,기준정보!$C$9)-MAX($L135-기준정보!$C$6,기준정보!$C$8)+1),IF(ISNUMBER(SEARCH("한국",$U135)),MAX(0,MIN($L135,기준정보!$C$11)-MAX($L135-기준정보!$C$6,기준정보!$C$10)+1),0)))</f>
        <v>4</v>
      </c>
      <c r="N135" s="29" t="n">
        <f aca="false">IF($L135="","",$L135-기준정보!$C$6-$M135)</f>
        <v>46328</v>
      </c>
      <c r="O135" s="31" t="n">
        <f aca="false">IF($N135="","",$N135-기준정보!$C$4)</f>
        <v>86</v>
      </c>
      <c r="P135" s="28" t="s">
        <v>83</v>
      </c>
      <c r="Q135" s="28" t="s">
        <v>83</v>
      </c>
      <c r="R135" s="32"/>
      <c r="S135" s="27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T135" s="26" t="s">
        <v>499</v>
      </c>
      <c r="U135" s="26" t="s">
        <v>85</v>
      </c>
      <c r="V135" s="33" t="n">
        <v>4700</v>
      </c>
      <c r="W135" s="27"/>
      <c r="X135" s="27" t="str">
        <f aca="false">IF($K135="","출고일 미정",IF($P135="X","작지 미발행",IF($P135="부분","작지 일부 미발행",IF(AND($R135&lt;&gt;"",$R135&gt;$N135),"소재입고 마감("&amp;TEXT($N135,"MM/DD")&amp;") 초과",IF($P135="","발행여부 확인 필요",IF($R135="","소재 입고일정 확인 필요","정상"))))))</f>
        <v>작지 미발행</v>
      </c>
      <c r="Y135" s="25" t="str">
        <f aca="false">IF($K135="","",IF(OR(LEFT($X135,2)="작지",LEFT($X135,4)="소재입고"),IF(LEFT($G135,1)="S","★ 납기위험(S코드)","◆ 지연주의"),IF($X135="정상","✓ 정상","? 확인필요")))</f>
        <v>◆ 지연주의</v>
      </c>
      <c r="Z135" s="28"/>
      <c r="AA135" s="34"/>
    </row>
    <row r="136" customFormat="false" ht="15" hidden="false" customHeight="false" outlineLevel="0" collapsed="false">
      <c r="A136" s="25" t="n">
        <v>132</v>
      </c>
      <c r="B136" s="26" t="s">
        <v>204</v>
      </c>
      <c r="C136" s="26" t="s">
        <v>495</v>
      </c>
      <c r="D136" s="27" t="s">
        <v>500</v>
      </c>
      <c r="E136" s="26" t="s">
        <v>501</v>
      </c>
      <c r="F136" s="27" t="s">
        <v>502</v>
      </c>
      <c r="G136" s="25" t="str">
        <f aca="false">IF($D136="","",IF(MID($D136,5,1)="S","S(봄)",IF(MID($D136,5,1)="M","M(여름)",IF(MID($D136,5,1)="X","X(사계절)",MID($D136,5,1)))))</f>
        <v>M(여름)</v>
      </c>
      <c r="H136" s="26" t="s">
        <v>79</v>
      </c>
      <c r="I136" s="25"/>
      <c r="J136" s="28" t="s">
        <v>459</v>
      </c>
      <c r="K136" s="29" t="n">
        <f aca="false">IF($J136="","",IFERROR(DATE(IF(VALUE(LEFT($J136,FIND("월",$J136)-1))&gt;=9,기준정보!$C$7-1,기준정보!$C$7),VALUE(LEFT($J136,FIND("월",$J136)-1)),1+7*(VALUE(SUBSTITUTE(MID($J136,FIND("월",$J136)+1,5),"주",""))-1)),""))</f>
        <v>46440</v>
      </c>
      <c r="L136" s="29" t="n">
        <f aca="false">IF($K136="","",IF(AND($K136-기준정보!$C$5&gt;=기준정보!$C$10,$K136-기준정보!$C$5&lt;=기준정보!$C$11),기준정보!$C$10-1,$K136-기준정보!$C$5))</f>
        <v>46422</v>
      </c>
      <c r="M136" s="30" t="n">
        <f aca="false">IF($L136="","",IF(OR(ISNUMBER(SEARCH("중국",$U136)),ISNUMBER(SEARCH("베트남",$U136))),MAX(0,MIN($L136,기준정보!$C$9)-MAX($L136-기준정보!$C$6,기준정보!$C$8)+1),IF(ISNUMBER(SEARCH("한국",$U136)),MAX(0,MIN($L136,기준정보!$C$11)-MAX($L136-기준정보!$C$6,기준정보!$C$10)+1),0)))</f>
        <v>4</v>
      </c>
      <c r="N136" s="29" t="n">
        <f aca="false">IF($L136="","",$L136-기준정보!$C$6-$M136)</f>
        <v>46328</v>
      </c>
      <c r="O136" s="31" t="n">
        <f aca="false">IF($N136="","",$N136-기준정보!$C$4)</f>
        <v>86</v>
      </c>
      <c r="P136" s="28" t="s">
        <v>83</v>
      </c>
      <c r="Q136" s="28" t="s">
        <v>83</v>
      </c>
      <c r="R136" s="32"/>
      <c r="S136" s="27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T136" s="26" t="s">
        <v>499</v>
      </c>
      <c r="U136" s="26" t="s">
        <v>85</v>
      </c>
      <c r="V136" s="33" t="n">
        <v>4500</v>
      </c>
      <c r="W136" s="27"/>
      <c r="X136" s="27" t="str">
        <f aca="false">IF($K136="","출고일 미정",IF($P136="X","작지 미발행",IF($P136="부분","작지 일부 미발행",IF(AND($R136&lt;&gt;"",$R136&gt;$N136),"소재입고 마감("&amp;TEXT($N136,"MM/DD")&amp;") 초과",IF($P136="","발행여부 확인 필요",IF($R136="","소재 입고일정 확인 필요","정상"))))))</f>
        <v>작지 미발행</v>
      </c>
      <c r="Y136" s="25" t="str">
        <f aca="false">IF($K136="","",IF(OR(LEFT($X136,2)="작지",LEFT($X136,4)="소재입고"),IF(LEFT($G136,1)="S","★ 납기위험(S코드)","◆ 지연주의"),IF($X136="정상","✓ 정상","? 확인필요")))</f>
        <v>◆ 지연주의</v>
      </c>
      <c r="Z136" s="28"/>
      <c r="AA136" s="34"/>
    </row>
    <row r="137" customFormat="false" ht="15" hidden="false" customHeight="false" outlineLevel="0" collapsed="false">
      <c r="A137" s="25" t="n">
        <v>133</v>
      </c>
      <c r="B137" s="26" t="s">
        <v>267</v>
      </c>
      <c r="C137" s="26" t="s">
        <v>268</v>
      </c>
      <c r="D137" s="27" t="s">
        <v>503</v>
      </c>
      <c r="E137" s="26" t="s">
        <v>504</v>
      </c>
      <c r="F137" s="27" t="s">
        <v>505</v>
      </c>
      <c r="G137" s="25" t="str">
        <f aca="false">IF($D137="","",IF(MID($D137,5,1)="S","S(봄)",IF(MID($D137,5,1)="M","M(여름)",IF(MID($D137,5,1)="X","X(사계절)",MID($D137,5,1)))))</f>
        <v>M(여름)</v>
      </c>
      <c r="H137" s="27" t="s">
        <v>209</v>
      </c>
      <c r="I137" s="25" t="s">
        <v>506</v>
      </c>
      <c r="J137" s="28" t="s">
        <v>459</v>
      </c>
      <c r="K137" s="29" t="n">
        <f aca="false">IF($J137="","",IFERROR(DATE(IF(VALUE(LEFT($J137,FIND("월",$J137)-1))&gt;=9,기준정보!$C$7-1,기준정보!$C$7),VALUE(LEFT($J137,FIND("월",$J137)-1)),1+7*(VALUE(SUBSTITUTE(MID($J137,FIND("월",$J137)+1,5),"주",""))-1)),""))</f>
        <v>46440</v>
      </c>
      <c r="L137" s="29" t="n">
        <f aca="false">IF($K137="","",IF(AND($K137-기준정보!$C$5&gt;=기준정보!$C$10,$K137-기준정보!$C$5&lt;=기준정보!$C$11),기준정보!$C$10-1,$K137-기준정보!$C$5))</f>
        <v>46422</v>
      </c>
      <c r="M137" s="30" t="n">
        <f aca="false">IF($L137="","",IF(OR(ISNUMBER(SEARCH("중국",$U137)),ISNUMBER(SEARCH("베트남",$U137))),MAX(0,MIN($L137,기준정보!$C$9)-MAX($L137-기준정보!$C$6,기준정보!$C$8)+1),IF(ISNUMBER(SEARCH("한국",$U137)),MAX(0,MIN($L137,기준정보!$C$11)-MAX($L137-기준정보!$C$6,기준정보!$C$10)+1),0)))</f>
        <v>4</v>
      </c>
      <c r="N137" s="29" t="n">
        <f aca="false">IF($L137="","",$L137-기준정보!$C$6-$M137)</f>
        <v>46328</v>
      </c>
      <c r="O137" s="31" t="n">
        <f aca="false">IF($N137="","",$N137-기준정보!$C$4)</f>
        <v>86</v>
      </c>
      <c r="P137" s="28" t="s">
        <v>82</v>
      </c>
      <c r="Q137" s="28" t="s">
        <v>83</v>
      </c>
      <c r="R137" s="32"/>
      <c r="S137" s="27" t="str">
        <f aca="false">IF($H137="","",IF(AND(ISNUMBER(SEARCH("CMT",$H137)),OR(ISNUMBER(SEARCH("완사입",$H137)),ISNUMBER(SEARCH("ODM",$H137)))),"본사/생산처 혼재",IF(ISNUMBER(SEARCH("CMT",$H137)),"본사(소재팀)","생산처")))</f>
        <v>본사(소재팀)</v>
      </c>
      <c r="T137" s="27" t="s">
        <v>149</v>
      </c>
      <c r="U137" s="26" t="s">
        <v>85</v>
      </c>
      <c r="V137" s="33" t="n">
        <v>5000</v>
      </c>
      <c r="W137" s="27"/>
      <c r="X137" s="27" t="str">
        <f aca="false">IF($K137="","출고일 미정",IF($P137="X","작지 미발행",IF($P137="부분","작지 일부 미발행",IF(AND($R137&lt;&gt;"",$R137&gt;$N137),"소재입고 마감("&amp;TEXT($N137,"MM/DD")&amp;") 초과",IF($P137="","발행여부 확인 필요",IF($R137="","소재 입고일정 확인 필요","정상"))))))</f>
        <v>소재 입고일정 확인 필요</v>
      </c>
      <c r="Y137" s="25" t="str">
        <f aca="false">IF($K137="","",IF(OR(LEFT($X137,2)="작지",LEFT($X137,4)="소재입고"),IF(LEFT($G137,1)="S","★ 납기위험(S코드)","◆ 지연주의"),IF($X137="정상","✓ 정상","? 확인필요")))</f>
        <v>? 확인필요</v>
      </c>
      <c r="Z137" s="28"/>
      <c r="AA137" s="34"/>
    </row>
    <row r="138" customFormat="false" ht="15" hidden="false" customHeight="false" outlineLevel="0" collapsed="false">
      <c r="A138" s="25" t="n">
        <v>134</v>
      </c>
      <c r="B138" s="26" t="s">
        <v>267</v>
      </c>
      <c r="C138" s="26" t="s">
        <v>268</v>
      </c>
      <c r="D138" s="27" t="s">
        <v>507</v>
      </c>
      <c r="E138" s="26" t="s">
        <v>508</v>
      </c>
      <c r="F138" s="27" t="s">
        <v>119</v>
      </c>
      <c r="G138" s="25" t="str">
        <f aca="false">IF($D138="","",IF(MID($D138,5,1)="S","S(봄)",IF(MID($D138,5,1)="M","M(여름)",IF(MID($D138,5,1)="X","X(사계절)",MID($D138,5,1)))))</f>
        <v>M(여름)</v>
      </c>
      <c r="H138" s="27" t="s">
        <v>209</v>
      </c>
      <c r="I138" s="25" t="s">
        <v>509</v>
      </c>
      <c r="J138" s="28" t="s">
        <v>459</v>
      </c>
      <c r="K138" s="29" t="n">
        <f aca="false">IF($J138="","",IFERROR(DATE(IF(VALUE(LEFT($J138,FIND("월",$J138)-1))&gt;=9,기준정보!$C$7-1,기준정보!$C$7),VALUE(LEFT($J138,FIND("월",$J138)-1)),1+7*(VALUE(SUBSTITUTE(MID($J138,FIND("월",$J138)+1,5),"주",""))-1)),""))</f>
        <v>46440</v>
      </c>
      <c r="L138" s="29" t="n">
        <f aca="false">IF($K138="","",IF(AND($K138-기준정보!$C$5&gt;=기준정보!$C$10,$K138-기준정보!$C$5&lt;=기준정보!$C$11),기준정보!$C$10-1,$K138-기준정보!$C$5))</f>
        <v>46422</v>
      </c>
      <c r="M138" s="30" t="n">
        <f aca="false">IF($L138="","",IF(OR(ISNUMBER(SEARCH("중국",$U138)),ISNUMBER(SEARCH("베트남",$U138))),MAX(0,MIN($L138,기준정보!$C$9)-MAX($L138-기준정보!$C$6,기준정보!$C$8)+1),IF(ISNUMBER(SEARCH("한국",$U138)),MAX(0,MIN($L138,기준정보!$C$11)-MAX($L138-기준정보!$C$6,기준정보!$C$10)+1),0)))</f>
        <v>4</v>
      </c>
      <c r="N138" s="29" t="n">
        <f aca="false">IF($L138="","",$L138-기준정보!$C$6-$M138)</f>
        <v>46328</v>
      </c>
      <c r="O138" s="31" t="n">
        <f aca="false">IF($N138="","",$N138-기준정보!$C$4)</f>
        <v>86</v>
      </c>
      <c r="P138" s="35" t="s">
        <v>510</v>
      </c>
      <c r="Q138" s="28" t="s">
        <v>83</v>
      </c>
      <c r="R138" s="32"/>
      <c r="S138" s="27" t="str">
        <f aca="false">IF($H138="","",IF(AND(ISNUMBER(SEARCH("CMT",$H138)),OR(ISNUMBER(SEARCH("완사입",$H138)),ISNUMBER(SEARCH("ODM",$H138)))),"본사/생산처 혼재",IF(ISNUMBER(SEARCH("CMT",$H138)),"본사(소재팀)","생산처")))</f>
        <v>본사(소재팀)</v>
      </c>
      <c r="T138" s="26" t="s">
        <v>99</v>
      </c>
      <c r="U138" s="26" t="s">
        <v>85</v>
      </c>
      <c r="V138" s="33" t="n">
        <v>1500</v>
      </c>
      <c r="W138" s="27"/>
      <c r="X138" s="27" t="str">
        <f aca="false">IF($K138="","출고일 미정",IF($P138="X","작지 미발행",IF($P138="부분","작지 일부 미발행",IF(AND($R138&lt;&gt;"",$R138&gt;$N138),"소재입고 마감("&amp;TEXT($N138,"MM/DD")&amp;") 초과",IF($P138="","발행여부 확인 필요",IF($R138="","소재 입고일정 확인 필요","정상"))))))</f>
        <v>작지 일부 미발행</v>
      </c>
      <c r="Y138" s="25" t="str">
        <f aca="false">IF($K138="","",IF(OR(LEFT($X138,2)="작지",LEFT($X138,4)="소재입고"),IF(LEFT($G138,1)="S","★ 납기위험(S코드)","◆ 지연주의"),IF($X138="정상","✓ 정상","? 확인필요")))</f>
        <v>◆ 지연주의</v>
      </c>
      <c r="Z138" s="28"/>
      <c r="AA138" s="34"/>
    </row>
    <row r="139" customFormat="false" ht="15" hidden="false" customHeight="false" outlineLevel="0" collapsed="false">
      <c r="A139" s="25" t="n">
        <v>135</v>
      </c>
      <c r="B139" s="26" t="s">
        <v>124</v>
      </c>
      <c r="C139" s="26" t="s">
        <v>268</v>
      </c>
      <c r="D139" s="27" t="s">
        <v>511</v>
      </c>
      <c r="E139" s="26" t="s">
        <v>512</v>
      </c>
      <c r="F139" s="27" t="s">
        <v>381</v>
      </c>
      <c r="G139" s="25" t="str">
        <f aca="false">IF($D139="","",IF(MID($D139,5,1)="S","S(봄)",IF(MID($D139,5,1)="M","M(여름)",IF(MID($D139,5,1)="X","X(사계절)",MID($D139,5,1)))))</f>
        <v>M(여름)</v>
      </c>
      <c r="H139" s="26" t="s">
        <v>79</v>
      </c>
      <c r="I139" s="25"/>
      <c r="J139" s="28" t="s">
        <v>459</v>
      </c>
      <c r="K139" s="29" t="n">
        <f aca="false">IF($J139="","",IFERROR(DATE(IF(VALUE(LEFT($J139,FIND("월",$J139)-1))&gt;=9,기준정보!$C$7-1,기준정보!$C$7),VALUE(LEFT($J139,FIND("월",$J139)-1)),1+7*(VALUE(SUBSTITUTE(MID($J139,FIND("월",$J139)+1,5),"주",""))-1)),""))</f>
        <v>46440</v>
      </c>
      <c r="L139" s="29" t="n">
        <f aca="false">IF($K139="","",IF(AND($K139-기준정보!$C$5&gt;=기준정보!$C$10,$K139-기준정보!$C$5&lt;=기준정보!$C$11),기준정보!$C$10-1,$K139-기준정보!$C$5))</f>
        <v>46422</v>
      </c>
      <c r="M139" s="30" t="n">
        <f aca="false">IF($L139="","",IF(OR(ISNUMBER(SEARCH("중국",$U139)),ISNUMBER(SEARCH("베트남",$U139))),MAX(0,MIN($L139,기준정보!$C$9)-MAX($L139-기준정보!$C$6,기준정보!$C$8)+1),IF(ISNUMBER(SEARCH("한국",$U139)),MAX(0,MIN($L139,기준정보!$C$11)-MAX($L139-기준정보!$C$6,기준정보!$C$10)+1),0)))</f>
        <v>4</v>
      </c>
      <c r="N139" s="29" t="n">
        <f aca="false">IF($L139="","",$L139-기준정보!$C$6-$M139)</f>
        <v>46328</v>
      </c>
      <c r="O139" s="31" t="n">
        <f aca="false">IF($N139="","",$N139-기준정보!$C$4)</f>
        <v>86</v>
      </c>
      <c r="P139" s="28" t="s">
        <v>82</v>
      </c>
      <c r="Q139" s="28" t="s">
        <v>83</v>
      </c>
      <c r="R139" s="32"/>
      <c r="S139" s="27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T139" s="26" t="s">
        <v>513</v>
      </c>
      <c r="U139" s="26" t="s">
        <v>85</v>
      </c>
      <c r="V139" s="33" t="n">
        <v>2000</v>
      </c>
      <c r="W139" s="27" t="s">
        <v>459</v>
      </c>
      <c r="X139" s="27" t="str">
        <f aca="false">IF($K139="","출고일 미정",IF($P139="X","작지 미발행",IF($P139="부분","작지 일부 미발행",IF(AND($R139&lt;&gt;"",$R139&gt;$N139),"소재입고 마감("&amp;TEXT($N139,"MM/DD")&amp;") 초과",IF($P139="","발행여부 확인 필요",IF($R139="","소재 입고일정 확인 필요","정상"))))))</f>
        <v>소재 입고일정 확인 필요</v>
      </c>
      <c r="Y139" s="25" t="str">
        <f aca="false">IF($K139="","",IF(OR(LEFT($X139,2)="작지",LEFT($X139,4)="소재입고"),IF(LEFT($G139,1)="S","★ 납기위험(S코드)","◆ 지연주의"),IF($X139="정상","✓ 정상","? 확인필요")))</f>
        <v>? 확인필요</v>
      </c>
      <c r="Z139" s="28"/>
      <c r="AA139" s="34"/>
    </row>
    <row r="140" customFormat="false" ht="15" hidden="false" customHeight="false" outlineLevel="0" collapsed="false">
      <c r="A140" s="25" t="n">
        <v>136</v>
      </c>
      <c r="B140" s="26" t="s">
        <v>124</v>
      </c>
      <c r="C140" s="26" t="s">
        <v>268</v>
      </c>
      <c r="D140" s="27" t="s">
        <v>514</v>
      </c>
      <c r="E140" s="26" t="s">
        <v>515</v>
      </c>
      <c r="F140" s="27" t="s">
        <v>516</v>
      </c>
      <c r="G140" s="25" t="str">
        <f aca="false">IF($D140="","",IF(MID($D140,5,1)="S","S(봄)",IF(MID($D140,5,1)="M","M(여름)",IF(MID($D140,5,1)="X","X(사계절)",MID($D140,5,1)))))</f>
        <v>M(여름)</v>
      </c>
      <c r="H140" s="26" t="s">
        <v>79</v>
      </c>
      <c r="I140" s="25"/>
      <c r="J140" s="28" t="s">
        <v>459</v>
      </c>
      <c r="K140" s="29" t="n">
        <f aca="false">IF($J140="","",IFERROR(DATE(IF(VALUE(LEFT($J140,FIND("월",$J140)-1))&gt;=9,기준정보!$C$7-1,기준정보!$C$7),VALUE(LEFT($J140,FIND("월",$J140)-1)),1+7*(VALUE(SUBSTITUTE(MID($J140,FIND("월",$J140)+1,5),"주",""))-1)),""))</f>
        <v>46440</v>
      </c>
      <c r="L140" s="29" t="n">
        <f aca="false">IF($K140="","",IF(AND($K140-기준정보!$C$5&gt;=기준정보!$C$10,$K140-기준정보!$C$5&lt;=기준정보!$C$11),기준정보!$C$10-1,$K140-기준정보!$C$5))</f>
        <v>46422</v>
      </c>
      <c r="M140" s="30" t="n">
        <f aca="false">IF($L140="","",IF(OR(ISNUMBER(SEARCH("중국",$U140)),ISNUMBER(SEARCH("베트남",$U140))),MAX(0,MIN($L140,기준정보!$C$9)-MAX($L140-기준정보!$C$6,기준정보!$C$8)+1),IF(ISNUMBER(SEARCH("한국",$U140)),MAX(0,MIN($L140,기준정보!$C$11)-MAX($L140-기준정보!$C$6,기준정보!$C$10)+1),0)))</f>
        <v>4</v>
      </c>
      <c r="N140" s="29" t="n">
        <f aca="false">IF($L140="","",$L140-기준정보!$C$6-$M140)</f>
        <v>46328</v>
      </c>
      <c r="O140" s="31" t="n">
        <f aca="false">IF($N140="","",$N140-기준정보!$C$4)</f>
        <v>86</v>
      </c>
      <c r="P140" s="28" t="s">
        <v>82</v>
      </c>
      <c r="Q140" s="28" t="s">
        <v>83</v>
      </c>
      <c r="R140" s="32"/>
      <c r="S140" s="27" t="str">
        <f aca="false">IF($H140="","",IF(AND(ISNUMBER(SEARCH("CMT",$H140)),OR(ISNUMBER(SEARCH("완사입",$H140)),ISNUMBER(SEARCH("ODM",$H140)))),"본사/생산처 혼재",IF(ISNUMBER(SEARCH("CMT",$H140)),"본사(소재팀)","생산처")))</f>
        <v>생산처</v>
      </c>
      <c r="T140" s="26" t="s">
        <v>513</v>
      </c>
      <c r="U140" s="26" t="s">
        <v>85</v>
      </c>
      <c r="V140" s="33" t="n">
        <v>1600</v>
      </c>
      <c r="W140" s="27" t="s">
        <v>517</v>
      </c>
      <c r="X140" s="27" t="str">
        <f aca="false">IF($K140="","출고일 미정",IF($P140="X","작지 미발행",IF($P140="부분","작지 일부 미발행",IF(AND($R140&lt;&gt;"",$R140&gt;$N140),"소재입고 마감("&amp;TEXT($N140,"MM/DD")&amp;") 초과",IF($P140="","발행여부 확인 필요",IF($R140="","소재 입고일정 확인 필요","정상"))))))</f>
        <v>소재 입고일정 확인 필요</v>
      </c>
      <c r="Y140" s="25" t="str">
        <f aca="false">IF($K140="","",IF(OR(LEFT($X140,2)="작지",LEFT($X140,4)="소재입고"),IF(LEFT($G140,1)="S","★ 납기위험(S코드)","◆ 지연주의"),IF($X140="정상","✓ 정상","? 확인필요")))</f>
        <v>? 확인필요</v>
      </c>
      <c r="Z140" s="28"/>
      <c r="AA140" s="34"/>
    </row>
    <row r="141" customFormat="false" ht="15" hidden="false" customHeight="false" outlineLevel="0" collapsed="false">
      <c r="A141" s="25" t="n">
        <v>137</v>
      </c>
      <c r="B141" s="26" t="s">
        <v>124</v>
      </c>
      <c r="C141" s="26" t="s">
        <v>125</v>
      </c>
      <c r="D141" s="27" t="s">
        <v>518</v>
      </c>
      <c r="E141" s="26" t="s">
        <v>519</v>
      </c>
      <c r="F141" s="27" t="s">
        <v>520</v>
      </c>
      <c r="G141" s="25" t="str">
        <f aca="false">IF($D141="","",IF(MID($D141,5,1)="S","S(봄)",IF(MID($D141,5,1)="M","M(여름)",IF(MID($D141,5,1)="X","X(사계절)",MID($D141,5,1)))))</f>
        <v>M(여름)</v>
      </c>
      <c r="H141" s="26" t="s">
        <v>79</v>
      </c>
      <c r="I141" s="25"/>
      <c r="J141" s="28" t="s">
        <v>459</v>
      </c>
      <c r="K141" s="29" t="n">
        <f aca="false">IF($J141="","",IFERROR(DATE(IF(VALUE(LEFT($J141,FIND("월",$J141)-1))&gt;=9,기준정보!$C$7-1,기준정보!$C$7),VALUE(LEFT($J141,FIND("월",$J141)-1)),1+7*(VALUE(SUBSTITUTE(MID($J141,FIND("월",$J141)+1,5),"주",""))-1)),""))</f>
        <v>46440</v>
      </c>
      <c r="L141" s="29" t="n">
        <f aca="false">IF($K141="","",IF(AND($K141-기준정보!$C$5&gt;=기준정보!$C$10,$K141-기준정보!$C$5&lt;=기준정보!$C$11),기준정보!$C$10-1,$K141-기준정보!$C$5))</f>
        <v>46422</v>
      </c>
      <c r="M141" s="30" t="n">
        <f aca="false">IF($L141="","",IF(OR(ISNUMBER(SEARCH("중국",$U141)),ISNUMBER(SEARCH("베트남",$U141))),MAX(0,MIN($L141,기준정보!$C$9)-MAX($L141-기준정보!$C$6,기준정보!$C$8)+1),IF(ISNUMBER(SEARCH("한국",$U141)),MAX(0,MIN($L141,기준정보!$C$11)-MAX($L141-기준정보!$C$6,기준정보!$C$10)+1),0)))</f>
        <v>0</v>
      </c>
      <c r="N141" s="29" t="n">
        <f aca="false">IF($L141="","",$L141-기준정보!$C$6-$M141)</f>
        <v>46332</v>
      </c>
      <c r="O141" s="31" t="n">
        <f aca="false">IF($N141="","",$N141-기준정보!$C$4)</f>
        <v>90</v>
      </c>
      <c r="P141" s="28" t="s">
        <v>82</v>
      </c>
      <c r="Q141" s="28" t="s">
        <v>83</v>
      </c>
      <c r="R141" s="32"/>
      <c r="S141" s="27" t="str">
        <f aca="false">IF($H141="","",IF(AND(ISNUMBER(SEARCH("CMT",$H141)),OR(ISNUMBER(SEARCH("완사입",$H141)),ISNUMBER(SEARCH("ODM",$H141)))),"본사/생산처 혼재",IF(ISNUMBER(SEARCH("CMT",$H141)),"본사(소재팀)","생산처")))</f>
        <v>생산처</v>
      </c>
      <c r="T141" s="27" t="s">
        <v>243</v>
      </c>
      <c r="U141" s="26" t="s">
        <v>90</v>
      </c>
      <c r="V141" s="33" t="n">
        <v>10000</v>
      </c>
      <c r="W141" s="27"/>
      <c r="X141" s="27" t="str">
        <f aca="false">IF($K141="","출고일 미정",IF($P141="X","작지 미발행",IF($P141="부분","작지 일부 미발행",IF(AND($R141&lt;&gt;"",$R141&gt;$N141),"소재입고 마감("&amp;TEXT($N141,"MM/DD")&amp;") 초과",IF($P141="","발행여부 확인 필요",IF($R141="","소재 입고일정 확인 필요","정상"))))))</f>
        <v>소재 입고일정 확인 필요</v>
      </c>
      <c r="Y141" s="25" t="str">
        <f aca="false">IF($K141="","",IF(OR(LEFT($X141,2)="작지",LEFT($X141,4)="소재입고"),IF(LEFT($G141,1)="S","★ 납기위험(S코드)","◆ 지연주의"),IF($X141="정상","✓ 정상","? 확인필요")))</f>
        <v>? 확인필요</v>
      </c>
      <c r="Z141" s="28"/>
      <c r="AA141" s="34"/>
    </row>
    <row r="142" customFormat="false" ht="15" hidden="false" customHeight="false" outlineLevel="0" collapsed="false">
      <c r="A142" s="25" t="n">
        <v>138</v>
      </c>
      <c r="B142" s="26" t="s">
        <v>124</v>
      </c>
      <c r="C142" s="26" t="s">
        <v>125</v>
      </c>
      <c r="D142" s="27" t="s">
        <v>521</v>
      </c>
      <c r="E142" s="26" t="s">
        <v>522</v>
      </c>
      <c r="F142" s="27" t="s">
        <v>523</v>
      </c>
      <c r="G142" s="25" t="str">
        <f aca="false">IF($D142="","",IF(MID($D142,5,1)="S","S(봄)",IF(MID($D142,5,1)="M","M(여름)",IF(MID($D142,5,1)="X","X(사계절)",MID($D142,5,1)))))</f>
        <v>M(여름)</v>
      </c>
      <c r="H142" s="26" t="s">
        <v>79</v>
      </c>
      <c r="I142" s="25"/>
      <c r="J142" s="28" t="s">
        <v>459</v>
      </c>
      <c r="K142" s="29" t="n">
        <f aca="false">IF($J142="","",IFERROR(DATE(IF(VALUE(LEFT($J142,FIND("월",$J142)-1))&gt;=9,기준정보!$C$7-1,기준정보!$C$7),VALUE(LEFT($J142,FIND("월",$J142)-1)),1+7*(VALUE(SUBSTITUTE(MID($J142,FIND("월",$J142)+1,5),"주",""))-1)),""))</f>
        <v>46440</v>
      </c>
      <c r="L142" s="29" t="n">
        <f aca="false">IF($K142="","",IF(AND($K142-기준정보!$C$5&gt;=기준정보!$C$10,$K142-기준정보!$C$5&lt;=기준정보!$C$11),기준정보!$C$10-1,$K142-기준정보!$C$5))</f>
        <v>46422</v>
      </c>
      <c r="M142" s="30" t="n">
        <f aca="false">IF($L142="","",IF(OR(ISNUMBER(SEARCH("중국",$U142)),ISNUMBER(SEARCH("베트남",$U142))),MAX(0,MIN($L142,기준정보!$C$9)-MAX($L142-기준정보!$C$6,기준정보!$C$8)+1),IF(ISNUMBER(SEARCH("한국",$U142)),MAX(0,MIN($L142,기준정보!$C$11)-MAX($L142-기준정보!$C$6,기준정보!$C$10)+1),0)))</f>
        <v>0</v>
      </c>
      <c r="N142" s="29" t="n">
        <f aca="false">IF($L142="","",$L142-기준정보!$C$6-$M142)</f>
        <v>46332</v>
      </c>
      <c r="O142" s="31" t="n">
        <f aca="false">IF($N142="","",$N142-기준정보!$C$4)</f>
        <v>90</v>
      </c>
      <c r="P142" s="28" t="s">
        <v>82</v>
      </c>
      <c r="Q142" s="28" t="s">
        <v>83</v>
      </c>
      <c r="R142" s="32"/>
      <c r="S142" s="27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T142" s="27" t="s">
        <v>243</v>
      </c>
      <c r="U142" s="26" t="s">
        <v>90</v>
      </c>
      <c r="V142" s="33" t="n">
        <v>1600</v>
      </c>
      <c r="W142" s="27" t="s">
        <v>459</v>
      </c>
      <c r="X142" s="27" t="str">
        <f aca="false">IF($K142="","출고일 미정",IF($P142="X","작지 미발행",IF($P142="부분","작지 일부 미발행",IF(AND($R142&lt;&gt;"",$R142&gt;$N142),"소재입고 마감("&amp;TEXT($N142,"MM/DD")&amp;") 초과",IF($P142="","발행여부 확인 필요",IF($R142="","소재 입고일정 확인 필요","정상"))))))</f>
        <v>소재 입고일정 확인 필요</v>
      </c>
      <c r="Y142" s="25" t="str">
        <f aca="false">IF($K142="","",IF(OR(LEFT($X142,2)="작지",LEFT($X142,4)="소재입고"),IF(LEFT($G142,1)="S","★ 납기위험(S코드)","◆ 지연주의"),IF($X142="정상","✓ 정상","? 확인필요")))</f>
        <v>? 확인필요</v>
      </c>
      <c r="Z142" s="28"/>
      <c r="AA142" s="34"/>
    </row>
    <row r="143" customFormat="false" ht="15" hidden="false" customHeight="false" outlineLevel="0" collapsed="false">
      <c r="A143" s="25" t="n">
        <v>139</v>
      </c>
      <c r="B143" s="26" t="s">
        <v>267</v>
      </c>
      <c r="C143" s="26" t="s">
        <v>254</v>
      </c>
      <c r="D143" s="27" t="s">
        <v>524</v>
      </c>
      <c r="E143" s="26" t="s">
        <v>525</v>
      </c>
      <c r="F143" s="27" t="s">
        <v>526</v>
      </c>
      <c r="G143" s="25" t="str">
        <f aca="false">IF($D143="","",IF(MID($D143,5,1)="S","S(봄)",IF(MID($D143,5,1)="M","M(여름)",IF(MID($D143,5,1)="X","X(사계절)",MID($D143,5,1)))))</f>
        <v>M(여름)</v>
      </c>
      <c r="H143" s="26" t="s">
        <v>79</v>
      </c>
      <c r="I143" s="25" t="s">
        <v>506</v>
      </c>
      <c r="J143" s="28" t="s">
        <v>459</v>
      </c>
      <c r="K143" s="29" t="n">
        <f aca="false">IF($J143="","",IFERROR(DATE(IF(VALUE(LEFT($J143,FIND("월",$J143)-1))&gt;=9,기준정보!$C$7-1,기준정보!$C$7),VALUE(LEFT($J143,FIND("월",$J143)-1)),1+7*(VALUE(SUBSTITUTE(MID($J143,FIND("월",$J143)+1,5),"주",""))-1)),""))</f>
        <v>46440</v>
      </c>
      <c r="L143" s="29" t="n">
        <f aca="false">IF($K143="","",IF(AND($K143-기준정보!$C$5&gt;=기준정보!$C$10,$K143-기준정보!$C$5&lt;=기준정보!$C$11),기준정보!$C$10-1,$K143-기준정보!$C$5))</f>
        <v>46422</v>
      </c>
      <c r="M143" s="30" t="n">
        <f aca="false">IF($L143="","",IF(OR(ISNUMBER(SEARCH("중국",$U143)),ISNUMBER(SEARCH("베트남",$U143))),MAX(0,MIN($L143,기준정보!$C$9)-MAX($L143-기준정보!$C$6,기준정보!$C$8)+1),IF(ISNUMBER(SEARCH("한국",$U143)),MAX(0,MIN($L143,기준정보!$C$11)-MAX($L143-기준정보!$C$6,기준정보!$C$10)+1),0)))</f>
        <v>4</v>
      </c>
      <c r="N143" s="29" t="n">
        <f aca="false">IF($L143="","",$L143-기준정보!$C$6-$M143)</f>
        <v>46328</v>
      </c>
      <c r="O143" s="31" t="n">
        <f aca="false">IF($N143="","",$N143-기준정보!$C$4)</f>
        <v>86</v>
      </c>
      <c r="P143" s="28" t="s">
        <v>82</v>
      </c>
      <c r="Q143" s="28" t="s">
        <v>83</v>
      </c>
      <c r="R143" s="32"/>
      <c r="S143" s="27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T143" s="26" t="s">
        <v>89</v>
      </c>
      <c r="U143" s="26" t="s">
        <v>85</v>
      </c>
      <c r="V143" s="33" t="n">
        <v>3000</v>
      </c>
      <c r="W143" s="27"/>
      <c r="X143" s="27" t="str">
        <f aca="false">IF($K143="","출고일 미정",IF($P143="X","작지 미발행",IF($P143="부분","작지 일부 미발행",IF(AND($R143&lt;&gt;"",$R143&gt;$N143),"소재입고 마감("&amp;TEXT($N143,"MM/DD")&amp;") 초과",IF($P143="","발행여부 확인 필요",IF($R143="","소재 입고일정 확인 필요","정상"))))))</f>
        <v>소재 입고일정 확인 필요</v>
      </c>
      <c r="Y143" s="25" t="str">
        <f aca="false">IF($K143="","",IF(OR(LEFT($X143,2)="작지",LEFT($X143,4)="소재입고"),IF(LEFT($G143,1)="S","★ 납기위험(S코드)","◆ 지연주의"),IF($X143="정상","✓ 정상","? 확인필요")))</f>
        <v>? 확인필요</v>
      </c>
      <c r="Z143" s="28"/>
      <c r="AA143" s="34"/>
    </row>
    <row r="144" customFormat="false" ht="15" hidden="false" customHeight="false" outlineLevel="0" collapsed="false">
      <c r="A144" s="25" t="n">
        <v>140</v>
      </c>
      <c r="B144" s="26" t="s">
        <v>267</v>
      </c>
      <c r="C144" s="26" t="s">
        <v>254</v>
      </c>
      <c r="D144" s="27" t="s">
        <v>527</v>
      </c>
      <c r="E144" s="26" t="s">
        <v>528</v>
      </c>
      <c r="F144" s="27" t="s">
        <v>529</v>
      </c>
      <c r="G144" s="25" t="str">
        <f aca="false">IF($D144="","",IF(MID($D144,5,1)="S","S(봄)",IF(MID($D144,5,1)="M","M(여름)",IF(MID($D144,5,1)="X","X(사계절)",MID($D144,5,1)))))</f>
        <v>M(여름)</v>
      </c>
      <c r="H144" s="26" t="s">
        <v>79</v>
      </c>
      <c r="I144" s="25" t="s">
        <v>506</v>
      </c>
      <c r="J144" s="28" t="s">
        <v>459</v>
      </c>
      <c r="K144" s="29" t="n">
        <f aca="false">IF($J144="","",IFERROR(DATE(IF(VALUE(LEFT($J144,FIND("월",$J144)-1))&gt;=9,기준정보!$C$7-1,기준정보!$C$7),VALUE(LEFT($J144,FIND("월",$J144)-1)),1+7*(VALUE(SUBSTITUTE(MID($J144,FIND("월",$J144)+1,5),"주",""))-1)),""))</f>
        <v>46440</v>
      </c>
      <c r="L144" s="29" t="n">
        <f aca="false">IF($K144="","",IF(AND($K144-기준정보!$C$5&gt;=기준정보!$C$10,$K144-기준정보!$C$5&lt;=기준정보!$C$11),기준정보!$C$10-1,$K144-기준정보!$C$5))</f>
        <v>46422</v>
      </c>
      <c r="M144" s="30" t="n">
        <f aca="false">IF($L144="","",IF(OR(ISNUMBER(SEARCH("중국",$U144)),ISNUMBER(SEARCH("베트남",$U144))),MAX(0,MIN($L144,기준정보!$C$9)-MAX($L144-기준정보!$C$6,기준정보!$C$8)+1),IF(ISNUMBER(SEARCH("한국",$U144)),MAX(0,MIN($L144,기준정보!$C$11)-MAX($L144-기준정보!$C$6,기준정보!$C$10)+1),0)))</f>
        <v>4</v>
      </c>
      <c r="N144" s="29" t="n">
        <f aca="false">IF($L144="","",$L144-기준정보!$C$6-$M144)</f>
        <v>46328</v>
      </c>
      <c r="O144" s="31" t="n">
        <f aca="false">IF($N144="","",$N144-기준정보!$C$4)</f>
        <v>86</v>
      </c>
      <c r="P144" s="28" t="s">
        <v>82</v>
      </c>
      <c r="Q144" s="28" t="s">
        <v>83</v>
      </c>
      <c r="R144" s="32"/>
      <c r="S144" s="27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T144" s="26" t="s">
        <v>266</v>
      </c>
      <c r="U144" s="26" t="s">
        <v>85</v>
      </c>
      <c r="V144" s="33" t="n">
        <v>3500</v>
      </c>
      <c r="W144" s="27"/>
      <c r="X144" s="27" t="str">
        <f aca="false">IF($K144="","출고일 미정",IF($P144="X","작지 미발행",IF($P144="부분","작지 일부 미발행",IF(AND($R144&lt;&gt;"",$R144&gt;$N144),"소재입고 마감("&amp;TEXT($N144,"MM/DD")&amp;") 초과",IF($P144="","발행여부 확인 필요",IF($R144="","소재 입고일정 확인 필요","정상"))))))</f>
        <v>소재 입고일정 확인 필요</v>
      </c>
      <c r="Y144" s="25" t="str">
        <f aca="false">IF($K144="","",IF(OR(LEFT($X144,2)="작지",LEFT($X144,4)="소재입고"),IF(LEFT($G144,1)="S","★ 납기위험(S코드)","◆ 지연주의"),IF($X144="정상","✓ 정상","? 확인필요")))</f>
        <v>? 확인필요</v>
      </c>
      <c r="Z144" s="28"/>
      <c r="AA144" s="34"/>
    </row>
    <row r="145" customFormat="false" ht="15" hidden="false" customHeight="false" outlineLevel="0" collapsed="false">
      <c r="A145" s="25" t="n">
        <v>141</v>
      </c>
      <c r="B145" s="26" t="s">
        <v>199</v>
      </c>
      <c r="C145" s="26" t="s">
        <v>254</v>
      </c>
      <c r="D145" s="27" t="s">
        <v>530</v>
      </c>
      <c r="E145" s="26" t="s">
        <v>531</v>
      </c>
      <c r="F145" s="27" t="s">
        <v>532</v>
      </c>
      <c r="G145" s="25" t="str">
        <f aca="false">IF($D145="","",IF(MID($D145,5,1)="S","S(봄)",IF(MID($D145,5,1)="M","M(여름)",IF(MID($D145,5,1)="X","X(사계절)",MID($D145,5,1)))))</f>
        <v>M(여름)</v>
      </c>
      <c r="H145" s="26" t="s">
        <v>79</v>
      </c>
      <c r="I145" s="25"/>
      <c r="J145" s="28" t="s">
        <v>459</v>
      </c>
      <c r="K145" s="29" t="n">
        <f aca="false">IF($J145="","",IFERROR(DATE(IF(VALUE(LEFT($J145,FIND("월",$J145)-1))&gt;=9,기준정보!$C$7-1,기준정보!$C$7),VALUE(LEFT($J145,FIND("월",$J145)-1)),1+7*(VALUE(SUBSTITUTE(MID($J145,FIND("월",$J145)+1,5),"주",""))-1)),""))</f>
        <v>46440</v>
      </c>
      <c r="L145" s="29" t="n">
        <f aca="false">IF($K145="","",IF(AND($K145-기준정보!$C$5&gt;=기준정보!$C$10,$K145-기준정보!$C$5&lt;=기준정보!$C$11),기준정보!$C$10-1,$K145-기준정보!$C$5))</f>
        <v>46422</v>
      </c>
      <c r="M145" s="30" t="n">
        <f aca="false">IF($L145="","",IF(OR(ISNUMBER(SEARCH("중국",$U145)),ISNUMBER(SEARCH("베트남",$U145))),MAX(0,MIN($L145,기준정보!$C$9)-MAX($L145-기준정보!$C$6,기준정보!$C$8)+1),IF(ISNUMBER(SEARCH("한국",$U145)),MAX(0,MIN($L145,기준정보!$C$11)-MAX($L145-기준정보!$C$6,기준정보!$C$10)+1),0)))</f>
        <v>0</v>
      </c>
      <c r="N145" s="29" t="n">
        <f aca="false">IF($L145="","",$L145-기준정보!$C$6-$M145)</f>
        <v>46332</v>
      </c>
      <c r="O145" s="31" t="n">
        <f aca="false">IF($N145="","",$N145-기준정보!$C$4)</f>
        <v>90</v>
      </c>
      <c r="P145" s="28" t="s">
        <v>82</v>
      </c>
      <c r="Q145" s="28"/>
      <c r="R145" s="32"/>
      <c r="S145" s="27" t="str">
        <f aca="false">IF($H145="","",IF(AND(ISNUMBER(SEARCH("CMT",$H145)),OR(ISNUMBER(SEARCH("완사입",$H145)),ISNUMBER(SEARCH("ODM",$H145)))),"본사/생산처 혼재",IF(ISNUMBER(SEARCH("CMT",$H145)),"본사(소재팀)","생산처")))</f>
        <v>생산처</v>
      </c>
      <c r="T145" s="26" t="s">
        <v>89</v>
      </c>
      <c r="U145" s="27"/>
      <c r="V145" s="33" t="n">
        <v>3000</v>
      </c>
      <c r="W145" s="27" t="s">
        <v>459</v>
      </c>
      <c r="X145" s="27" t="str">
        <f aca="false">IF($K145="","출고일 미정",IF($P145="X","작지 미발행",IF($P145="부분","작지 일부 미발행",IF(AND($R145&lt;&gt;"",$R145&gt;$N145),"소재입고 마감("&amp;TEXT($N145,"MM/DD")&amp;") 초과",IF($P145="","발행여부 확인 필요",IF($R145="","소재 입고일정 확인 필요","정상"))))))</f>
        <v>소재 입고일정 확인 필요</v>
      </c>
      <c r="Y145" s="25" t="str">
        <f aca="false">IF($K145="","",IF(OR(LEFT($X145,2)="작지",LEFT($X145,4)="소재입고"),IF(LEFT($G145,1)="S","★ 납기위험(S코드)","◆ 지연주의"),IF($X145="정상","✓ 정상","? 확인필요")))</f>
        <v>? 확인필요</v>
      </c>
      <c r="Z145" s="28"/>
      <c r="AA145" s="34"/>
    </row>
    <row r="146" customFormat="false" ht="15" hidden="false" customHeight="false" outlineLevel="0" collapsed="false">
      <c r="A146" s="25" t="n">
        <v>142</v>
      </c>
      <c r="B146" s="26" t="s">
        <v>124</v>
      </c>
      <c r="C146" s="26" t="s">
        <v>125</v>
      </c>
      <c r="D146" s="27" t="s">
        <v>533</v>
      </c>
      <c r="E146" s="26" t="s">
        <v>534</v>
      </c>
      <c r="F146" s="27" t="s">
        <v>535</v>
      </c>
      <c r="G146" s="25" t="str">
        <f aca="false">IF($D146="","",IF(MID($D146,5,1)="S","S(봄)",IF(MID($D146,5,1)="M","M(여름)",IF(MID($D146,5,1)="X","X(사계절)",MID($D146,5,1)))))</f>
        <v>M(여름)</v>
      </c>
      <c r="H146" s="27" t="s">
        <v>129</v>
      </c>
      <c r="I146" s="25"/>
      <c r="J146" s="28" t="s">
        <v>459</v>
      </c>
      <c r="K146" s="29" t="n">
        <f aca="false">IF($J146="","",IFERROR(DATE(IF(VALUE(LEFT($J146,FIND("월",$J146)-1))&gt;=9,기준정보!$C$7-1,기준정보!$C$7),VALUE(LEFT($J146,FIND("월",$J146)-1)),1+7*(VALUE(SUBSTITUTE(MID($J146,FIND("월",$J146)+1,5),"주",""))-1)),""))</f>
        <v>46440</v>
      </c>
      <c r="L146" s="29" t="n">
        <f aca="false">IF($K146="","",IF(AND($K146-기준정보!$C$5&gt;=기준정보!$C$10,$K146-기준정보!$C$5&lt;=기준정보!$C$11),기준정보!$C$10-1,$K146-기준정보!$C$5))</f>
        <v>46422</v>
      </c>
      <c r="M146" s="30" t="n">
        <f aca="false">IF($L146="","",IF(OR(ISNUMBER(SEARCH("중국",$U146)),ISNUMBER(SEARCH("베트남",$U146))),MAX(0,MIN($L146,기준정보!$C$9)-MAX($L146-기준정보!$C$6,기준정보!$C$8)+1),IF(ISNUMBER(SEARCH("한국",$U146)),MAX(0,MIN($L146,기준정보!$C$11)-MAX($L146-기준정보!$C$6,기준정보!$C$10)+1),0)))</f>
        <v>4</v>
      </c>
      <c r="N146" s="29" t="n">
        <f aca="false">IF($L146="","",$L146-기준정보!$C$6-$M146)</f>
        <v>46328</v>
      </c>
      <c r="O146" s="31" t="n">
        <f aca="false">IF($N146="","",$N146-기준정보!$C$4)</f>
        <v>86</v>
      </c>
      <c r="P146" s="28" t="s">
        <v>82</v>
      </c>
      <c r="Q146" s="28" t="s">
        <v>83</v>
      </c>
      <c r="R146" s="32"/>
      <c r="S146" s="27" t="str">
        <f aca="false">IF($H146="","",IF(AND(ISNUMBER(SEARCH("CMT",$H146)),OR(ISNUMBER(SEARCH("완사입",$H146)),ISNUMBER(SEARCH("ODM",$H146)))),"본사/생산처 혼재",IF(ISNUMBER(SEARCH("CMT",$H146)),"본사(소재팀)","생산처")))</f>
        <v>생산처</v>
      </c>
      <c r="T146" s="27" t="s">
        <v>130</v>
      </c>
      <c r="U146" s="26" t="s">
        <v>131</v>
      </c>
      <c r="V146" s="33" t="n">
        <v>9500</v>
      </c>
      <c r="W146" s="27" t="s">
        <v>459</v>
      </c>
      <c r="X146" s="27" t="str">
        <f aca="false">IF($K146="","출고일 미정",IF($P146="X","작지 미발행",IF($P146="부분","작지 일부 미발행",IF(AND($R146&lt;&gt;"",$R146&gt;$N146),"소재입고 마감("&amp;TEXT($N146,"MM/DD")&amp;") 초과",IF($P146="","발행여부 확인 필요",IF($R146="","소재 입고일정 확인 필요","정상"))))))</f>
        <v>소재 입고일정 확인 필요</v>
      </c>
      <c r="Y146" s="25" t="str">
        <f aca="false">IF($K146="","",IF(OR(LEFT($X146,2)="작지",LEFT($X146,4)="소재입고"),IF(LEFT($G146,1)="S","★ 납기위험(S코드)","◆ 지연주의"),IF($X146="정상","✓ 정상","? 확인필요")))</f>
        <v>? 확인필요</v>
      </c>
      <c r="Z146" s="28"/>
      <c r="AA146" s="34"/>
    </row>
    <row r="147" customFormat="false" ht="15" hidden="false" customHeight="false" outlineLevel="0" collapsed="false">
      <c r="A147" s="25" t="n">
        <v>143</v>
      </c>
      <c r="B147" s="26" t="s">
        <v>124</v>
      </c>
      <c r="C147" s="26" t="s">
        <v>125</v>
      </c>
      <c r="D147" s="27" t="s">
        <v>536</v>
      </c>
      <c r="E147" s="26" t="s">
        <v>537</v>
      </c>
      <c r="F147" s="27" t="s">
        <v>538</v>
      </c>
      <c r="G147" s="25" t="str">
        <f aca="false">IF($D147="","",IF(MID($D147,5,1)="S","S(봄)",IF(MID($D147,5,1)="M","M(여름)",IF(MID($D147,5,1)="X","X(사계절)",MID($D147,5,1)))))</f>
        <v>M(여름)</v>
      </c>
      <c r="H147" s="26" t="s">
        <v>79</v>
      </c>
      <c r="I147" s="25"/>
      <c r="J147" s="28" t="s">
        <v>459</v>
      </c>
      <c r="K147" s="29" t="n">
        <f aca="false">IF($J147="","",IFERROR(DATE(IF(VALUE(LEFT($J147,FIND("월",$J147)-1))&gt;=9,기준정보!$C$7-1,기준정보!$C$7),VALUE(LEFT($J147,FIND("월",$J147)-1)),1+7*(VALUE(SUBSTITUTE(MID($J147,FIND("월",$J147)+1,5),"주",""))-1)),""))</f>
        <v>46440</v>
      </c>
      <c r="L147" s="29" t="n">
        <f aca="false">IF($K147="","",IF(AND($K147-기준정보!$C$5&gt;=기준정보!$C$10,$K147-기준정보!$C$5&lt;=기준정보!$C$11),기준정보!$C$10-1,$K147-기준정보!$C$5))</f>
        <v>46422</v>
      </c>
      <c r="M147" s="30" t="n">
        <f aca="false">IF($L147="","",IF(OR(ISNUMBER(SEARCH("중국",$U147)),ISNUMBER(SEARCH("베트남",$U147))),MAX(0,MIN($L147,기준정보!$C$9)-MAX($L147-기준정보!$C$6,기준정보!$C$8)+1),IF(ISNUMBER(SEARCH("한국",$U147)),MAX(0,MIN($L147,기준정보!$C$11)-MAX($L147-기준정보!$C$6,기준정보!$C$10)+1),0)))</f>
        <v>4</v>
      </c>
      <c r="N147" s="29" t="n">
        <f aca="false">IF($L147="","",$L147-기준정보!$C$6-$M147)</f>
        <v>46328</v>
      </c>
      <c r="O147" s="31" t="n">
        <f aca="false">IF($N147="","",$N147-기준정보!$C$4)</f>
        <v>86</v>
      </c>
      <c r="P147" s="28" t="s">
        <v>82</v>
      </c>
      <c r="Q147" s="28" t="s">
        <v>83</v>
      </c>
      <c r="R147" s="32"/>
      <c r="S147" s="27" t="str">
        <f aca="false">IF($H147="","",IF(AND(ISNUMBER(SEARCH("CMT",$H147)),OR(ISNUMBER(SEARCH("완사입",$H147)),ISNUMBER(SEARCH("ODM",$H147)))),"본사/생산처 혼재",IF(ISNUMBER(SEARCH("CMT",$H147)),"본사(소재팀)","생산처")))</f>
        <v>생산처</v>
      </c>
      <c r="T147" s="26" t="s">
        <v>311</v>
      </c>
      <c r="U147" s="26" t="s">
        <v>85</v>
      </c>
      <c r="V147" s="33" t="n">
        <v>2000</v>
      </c>
      <c r="W147" s="27"/>
      <c r="X147" s="27" t="str">
        <f aca="false">IF($K147="","출고일 미정",IF($P147="X","작지 미발행",IF($P147="부분","작지 일부 미발행",IF(AND($R147&lt;&gt;"",$R147&gt;$N147),"소재입고 마감("&amp;TEXT($N147,"MM/DD")&amp;") 초과",IF($P147="","발행여부 확인 필요",IF($R147="","소재 입고일정 확인 필요","정상"))))))</f>
        <v>소재 입고일정 확인 필요</v>
      </c>
      <c r="Y147" s="25" t="str">
        <f aca="false">IF($K147="","",IF(OR(LEFT($X147,2)="작지",LEFT($X147,4)="소재입고"),IF(LEFT($G147,1)="S","★ 납기위험(S코드)","◆ 지연주의"),IF($X147="정상","✓ 정상","? 확인필요")))</f>
        <v>? 확인필요</v>
      </c>
      <c r="Z147" s="28"/>
      <c r="AA147" s="34"/>
    </row>
    <row r="148" customFormat="false" ht="15" hidden="false" customHeight="false" outlineLevel="0" collapsed="false">
      <c r="A148" s="25" t="n">
        <v>144</v>
      </c>
      <c r="B148" s="26" t="s">
        <v>199</v>
      </c>
      <c r="C148" s="26" t="s">
        <v>200</v>
      </c>
      <c r="D148" s="27" t="s">
        <v>539</v>
      </c>
      <c r="E148" s="26" t="s">
        <v>540</v>
      </c>
      <c r="F148" s="27" t="s">
        <v>219</v>
      </c>
      <c r="G148" s="25" t="str">
        <f aca="false">IF($D148="","",IF(MID($D148,5,1)="S","S(봄)",IF(MID($D148,5,1)="M","M(여름)",IF(MID($D148,5,1)="X","X(사계절)",MID($D148,5,1)))))</f>
        <v>M(여름)</v>
      </c>
      <c r="H148" s="26" t="s">
        <v>79</v>
      </c>
      <c r="I148" s="25"/>
      <c r="J148" s="28" t="s">
        <v>541</v>
      </c>
      <c r="K148" s="29" t="n">
        <f aca="false">IF($J148="","",IFERROR(DATE(IF(VALUE(LEFT($J148,FIND("월",$J148)-1))&gt;=9,기준정보!$C$7-1,기준정보!$C$7),VALUE(LEFT($J148,FIND("월",$J148)-1)),1+7*(VALUE(SUBSTITUTE(MID($J148,FIND("월",$J148)+1,5),"주",""))-1)),""))</f>
        <v>46447</v>
      </c>
      <c r="L148" s="29" t="n">
        <f aca="false">IF($K148="","",IF(AND($K148-기준정보!$C$5&gt;=기준정보!$C$10,$K148-기준정보!$C$5&lt;=기준정보!$C$11),기준정보!$C$10-1,$K148-기준정보!$C$5))</f>
        <v>46433</v>
      </c>
      <c r="M148" s="30" t="n">
        <f aca="false">IF($L148="","",IF(OR(ISNUMBER(SEARCH("중국",$U148)),ISNUMBER(SEARCH("베트남",$U148))),MAX(0,MIN($L148,기준정보!$C$9)-MAX($L148-기준정보!$C$6,기준정보!$C$8)+1),IF(ISNUMBER(SEARCH("한국",$U148)),MAX(0,MIN($L148,기준정보!$C$11)-MAX($L148-기준정보!$C$6,기준정보!$C$10)+1),0)))</f>
        <v>0</v>
      </c>
      <c r="N148" s="29" t="n">
        <f aca="false">IF($L148="","",$L148-기준정보!$C$6-$M148)</f>
        <v>46343</v>
      </c>
      <c r="O148" s="31" t="n">
        <f aca="false">IF($N148="","",$N148-기준정보!$C$4)</f>
        <v>101</v>
      </c>
      <c r="P148" s="28" t="s">
        <v>82</v>
      </c>
      <c r="Q148" s="28" t="s">
        <v>83</v>
      </c>
      <c r="R148" s="32"/>
      <c r="S148" s="27" t="str">
        <f aca="false">IF($H148="","",IF(AND(ISNUMBER(SEARCH("CMT",$H148)),OR(ISNUMBER(SEARCH("완사입",$H148)),ISNUMBER(SEARCH("ODM",$H148)))),"본사/생산처 혼재",IF(ISNUMBER(SEARCH("CMT",$H148)),"본사(소재팀)","생산처")))</f>
        <v>생산처</v>
      </c>
      <c r="T148" s="26" t="s">
        <v>89</v>
      </c>
      <c r="U148" s="27"/>
      <c r="V148" s="33" t="n">
        <v>1800</v>
      </c>
      <c r="W148" s="27" t="s">
        <v>541</v>
      </c>
      <c r="X148" s="27" t="str">
        <f aca="false">IF($K148="","출고일 미정",IF($P148="X","작지 미발행",IF($P148="부분","작지 일부 미발행",IF(AND($R148&lt;&gt;"",$R148&gt;$N148),"소재입고 마감("&amp;TEXT($N148,"MM/DD")&amp;") 초과",IF($P148="","발행여부 확인 필요",IF($R148="","소재 입고일정 확인 필요","정상"))))))</f>
        <v>소재 입고일정 확인 필요</v>
      </c>
      <c r="Y148" s="25" t="str">
        <f aca="false">IF($K148="","",IF(OR(LEFT($X148,2)="작지",LEFT($X148,4)="소재입고"),IF(LEFT($G148,1)="S","★ 납기위험(S코드)","◆ 지연주의"),IF($X148="정상","✓ 정상","? 확인필요")))</f>
        <v>? 확인필요</v>
      </c>
      <c r="Z148" s="28"/>
      <c r="AA148" s="34"/>
    </row>
    <row r="149" customFormat="false" ht="15" hidden="false" customHeight="false" outlineLevel="0" collapsed="false">
      <c r="A149" s="25" t="n">
        <v>145</v>
      </c>
      <c r="B149" s="26" t="s">
        <v>199</v>
      </c>
      <c r="C149" s="26" t="s">
        <v>200</v>
      </c>
      <c r="D149" s="27" t="s">
        <v>542</v>
      </c>
      <c r="E149" s="26" t="s">
        <v>543</v>
      </c>
      <c r="F149" s="27" t="s">
        <v>544</v>
      </c>
      <c r="G149" s="25" t="str">
        <f aca="false">IF($D149="","",IF(MID($D149,5,1)="S","S(봄)",IF(MID($D149,5,1)="M","M(여름)",IF(MID($D149,5,1)="X","X(사계절)",MID($D149,5,1)))))</f>
        <v>M(여름)</v>
      </c>
      <c r="H149" s="27" t="s">
        <v>209</v>
      </c>
      <c r="I149" s="25"/>
      <c r="J149" s="28" t="s">
        <v>541</v>
      </c>
      <c r="K149" s="29" t="n">
        <f aca="false">IF($J149="","",IFERROR(DATE(IF(VALUE(LEFT($J149,FIND("월",$J149)-1))&gt;=9,기준정보!$C$7-1,기준정보!$C$7),VALUE(LEFT($J149,FIND("월",$J149)-1)),1+7*(VALUE(SUBSTITUTE(MID($J149,FIND("월",$J149)+1,5),"주",""))-1)),""))</f>
        <v>46447</v>
      </c>
      <c r="L149" s="29" t="n">
        <f aca="false">IF($K149="","",IF(AND($K149-기준정보!$C$5&gt;=기준정보!$C$10,$K149-기준정보!$C$5&lt;=기준정보!$C$11),기준정보!$C$10-1,$K149-기준정보!$C$5))</f>
        <v>46433</v>
      </c>
      <c r="M149" s="30" t="n">
        <f aca="false">IF($L149="","",IF(OR(ISNUMBER(SEARCH("중국",$U149)),ISNUMBER(SEARCH("베트남",$U149))),MAX(0,MIN($L149,기준정보!$C$9)-MAX($L149-기준정보!$C$6,기준정보!$C$8)+1),IF(ISNUMBER(SEARCH("한국",$U149)),MAX(0,MIN($L149,기준정보!$C$11)-MAX($L149-기준정보!$C$6,기준정보!$C$10)+1),0)))</f>
        <v>0</v>
      </c>
      <c r="N149" s="29" t="n">
        <f aca="false">IF($L149="","",$L149-기준정보!$C$6-$M149)</f>
        <v>46343</v>
      </c>
      <c r="O149" s="31" t="n">
        <f aca="false">IF($N149="","",$N149-기준정보!$C$4)</f>
        <v>101</v>
      </c>
      <c r="P149" s="28" t="s">
        <v>82</v>
      </c>
      <c r="Q149" s="28" t="s">
        <v>83</v>
      </c>
      <c r="R149" s="32"/>
      <c r="S149" s="27" t="str">
        <f aca="false">IF($H149="","",IF(AND(ISNUMBER(SEARCH("CMT",$H149)),OR(ISNUMBER(SEARCH("완사입",$H149)),ISNUMBER(SEARCH("ODM",$H149)))),"본사/생산처 혼재",IF(ISNUMBER(SEARCH("CMT",$H149)),"본사(소재팀)","생산처")))</f>
        <v>본사(소재팀)</v>
      </c>
      <c r="T149" s="26" t="s">
        <v>89</v>
      </c>
      <c r="U149" s="27"/>
      <c r="V149" s="33" t="n">
        <v>15000</v>
      </c>
      <c r="W149" s="27" t="s">
        <v>541</v>
      </c>
      <c r="X149" s="27" t="str">
        <f aca="false">IF($K149="","출고일 미정",IF($P149="X","작지 미발행",IF($P149="부분","작지 일부 미발행",IF(AND($R149&lt;&gt;"",$R149&gt;$N149),"소재입고 마감("&amp;TEXT($N149,"MM/DD")&amp;") 초과",IF($P149="","발행여부 확인 필요",IF($R149="","소재 입고일정 확인 필요","정상"))))))</f>
        <v>소재 입고일정 확인 필요</v>
      </c>
      <c r="Y149" s="25" t="str">
        <f aca="false">IF($K149="","",IF(OR(LEFT($X149,2)="작지",LEFT($X149,4)="소재입고"),IF(LEFT($G149,1)="S","★ 납기위험(S코드)","◆ 지연주의"),IF($X149="정상","✓ 정상","? 확인필요")))</f>
        <v>? 확인필요</v>
      </c>
      <c r="Z149" s="28"/>
      <c r="AA149" s="34"/>
    </row>
    <row r="150" customFormat="false" ht="15" hidden="false" customHeight="false" outlineLevel="0" collapsed="false">
      <c r="A150" s="25" t="n">
        <v>146</v>
      </c>
      <c r="B150" s="26" t="s">
        <v>199</v>
      </c>
      <c r="C150" s="26" t="s">
        <v>200</v>
      </c>
      <c r="D150" s="27" t="s">
        <v>545</v>
      </c>
      <c r="E150" s="26" t="s">
        <v>546</v>
      </c>
      <c r="F150" s="27" t="s">
        <v>547</v>
      </c>
      <c r="G150" s="25" t="str">
        <f aca="false">IF($D150="","",IF(MID($D150,5,1)="S","S(봄)",IF(MID($D150,5,1)="M","M(여름)",IF(MID($D150,5,1)="X","X(사계절)",MID($D150,5,1)))))</f>
        <v>M(여름)</v>
      </c>
      <c r="H150" s="27" t="s">
        <v>209</v>
      </c>
      <c r="I150" s="25"/>
      <c r="J150" s="28" t="s">
        <v>541</v>
      </c>
      <c r="K150" s="29" t="n">
        <f aca="false">IF($J150="","",IFERROR(DATE(IF(VALUE(LEFT($J150,FIND("월",$J150)-1))&gt;=9,기준정보!$C$7-1,기준정보!$C$7),VALUE(LEFT($J150,FIND("월",$J150)-1)),1+7*(VALUE(SUBSTITUTE(MID($J150,FIND("월",$J150)+1,5),"주",""))-1)),""))</f>
        <v>46447</v>
      </c>
      <c r="L150" s="29" t="n">
        <f aca="false">IF($K150="","",IF(AND($K150-기준정보!$C$5&gt;=기준정보!$C$10,$K150-기준정보!$C$5&lt;=기준정보!$C$11),기준정보!$C$10-1,$K150-기준정보!$C$5))</f>
        <v>46433</v>
      </c>
      <c r="M150" s="30" t="n">
        <f aca="false">IF($L150="","",IF(OR(ISNUMBER(SEARCH("중국",$U150)),ISNUMBER(SEARCH("베트남",$U150))),MAX(0,MIN($L150,기준정보!$C$9)-MAX($L150-기준정보!$C$6,기준정보!$C$8)+1),IF(ISNUMBER(SEARCH("한국",$U150)),MAX(0,MIN($L150,기준정보!$C$11)-MAX($L150-기준정보!$C$6,기준정보!$C$10)+1),0)))</f>
        <v>0</v>
      </c>
      <c r="N150" s="29" t="n">
        <f aca="false">IF($L150="","",$L150-기준정보!$C$6-$M150)</f>
        <v>46343</v>
      </c>
      <c r="O150" s="31" t="n">
        <f aca="false">IF($N150="","",$N150-기준정보!$C$4)</f>
        <v>101</v>
      </c>
      <c r="P150" s="28" t="s">
        <v>82</v>
      </c>
      <c r="Q150" s="28" t="s">
        <v>83</v>
      </c>
      <c r="R150" s="32"/>
      <c r="S150" s="27" t="str">
        <f aca="false">IF($H150="","",IF(AND(ISNUMBER(SEARCH("CMT",$H150)),OR(ISNUMBER(SEARCH("완사입",$H150)),ISNUMBER(SEARCH("ODM",$H150)))),"본사/생산처 혼재",IF(ISNUMBER(SEARCH("CMT",$H150)),"본사(소재팀)","생산처")))</f>
        <v>본사(소재팀)</v>
      </c>
      <c r="T150" s="26" t="s">
        <v>89</v>
      </c>
      <c r="U150" s="27"/>
      <c r="V150" s="33" t="n">
        <v>6500</v>
      </c>
      <c r="W150" s="27" t="s">
        <v>541</v>
      </c>
      <c r="X150" s="27" t="str">
        <f aca="false">IF($K150="","출고일 미정",IF($P150="X","작지 미발행",IF($P150="부분","작지 일부 미발행",IF(AND($R150&lt;&gt;"",$R150&gt;$N150),"소재입고 마감("&amp;TEXT($N150,"MM/DD")&amp;") 초과",IF($P150="","발행여부 확인 필요",IF($R150="","소재 입고일정 확인 필요","정상"))))))</f>
        <v>소재 입고일정 확인 필요</v>
      </c>
      <c r="Y150" s="25" t="str">
        <f aca="false">IF($K150="","",IF(OR(LEFT($X150,2)="작지",LEFT($X150,4)="소재입고"),IF(LEFT($G150,1)="S","★ 납기위험(S코드)","◆ 지연주의"),IF($X150="정상","✓ 정상","? 확인필요")))</f>
        <v>? 확인필요</v>
      </c>
      <c r="Z150" s="28"/>
      <c r="AA150" s="34"/>
    </row>
    <row r="151" customFormat="false" ht="15" hidden="false" customHeight="false" outlineLevel="0" collapsed="false">
      <c r="A151" s="25" t="n">
        <v>147</v>
      </c>
      <c r="B151" s="26" t="s">
        <v>220</v>
      </c>
      <c r="C151" s="26" t="s">
        <v>200</v>
      </c>
      <c r="D151" s="27" t="s">
        <v>548</v>
      </c>
      <c r="E151" s="26" t="s">
        <v>549</v>
      </c>
      <c r="F151" s="27" t="s">
        <v>505</v>
      </c>
      <c r="G151" s="25" t="str">
        <f aca="false">IF($D151="","",IF(MID($D151,5,1)="S","S(봄)",IF(MID($D151,5,1)="M","M(여름)",IF(MID($D151,5,1)="X","X(사계절)",MID($D151,5,1)))))</f>
        <v>M(여름)</v>
      </c>
      <c r="H151" s="26" t="s">
        <v>79</v>
      </c>
      <c r="I151" s="25"/>
      <c r="J151" s="28" t="s">
        <v>541</v>
      </c>
      <c r="K151" s="29" t="n">
        <f aca="false">IF($J151="","",IFERROR(DATE(IF(VALUE(LEFT($J151,FIND("월",$J151)-1))&gt;=9,기준정보!$C$7-1,기준정보!$C$7),VALUE(LEFT($J151,FIND("월",$J151)-1)),1+7*(VALUE(SUBSTITUTE(MID($J151,FIND("월",$J151)+1,5),"주",""))-1)),""))</f>
        <v>46447</v>
      </c>
      <c r="L151" s="29" t="n">
        <f aca="false">IF($K151="","",IF(AND($K151-기준정보!$C$5&gt;=기준정보!$C$10,$K151-기준정보!$C$5&lt;=기준정보!$C$11),기준정보!$C$10-1,$K151-기준정보!$C$5))</f>
        <v>46433</v>
      </c>
      <c r="M151" s="30" t="n">
        <f aca="false">IF($L151="","",IF(OR(ISNUMBER(SEARCH("중국",$U151)),ISNUMBER(SEARCH("베트남",$U151))),MAX(0,MIN($L151,기준정보!$C$9)-MAX($L151-기준정보!$C$6,기준정보!$C$8)+1),IF(ISNUMBER(SEARCH("한국",$U151)),MAX(0,MIN($L151,기준정보!$C$11)-MAX($L151-기준정보!$C$6,기준정보!$C$10)+1),0)))</f>
        <v>0</v>
      </c>
      <c r="N151" s="29" t="n">
        <f aca="false">IF($L151="","",$L151-기준정보!$C$6-$M151)</f>
        <v>46343</v>
      </c>
      <c r="O151" s="31" t="n">
        <f aca="false">IF($N151="","",$N151-기준정보!$C$4)</f>
        <v>101</v>
      </c>
      <c r="P151" s="28" t="s">
        <v>82</v>
      </c>
      <c r="Q151" s="28" t="s">
        <v>83</v>
      </c>
      <c r="R151" s="32"/>
      <c r="S151" s="27" t="str">
        <f aca="false">IF($H151="","",IF(AND(ISNUMBER(SEARCH("CMT",$H151)),OR(ISNUMBER(SEARCH("완사입",$H151)),ISNUMBER(SEARCH("ODM",$H151)))),"본사/생산처 혼재",IF(ISNUMBER(SEARCH("CMT",$H151)),"본사(소재팀)","생산처")))</f>
        <v>생산처</v>
      </c>
      <c r="T151" s="26" t="s">
        <v>89</v>
      </c>
      <c r="U151" s="26" t="s">
        <v>90</v>
      </c>
      <c r="V151" s="33" t="n">
        <v>1600</v>
      </c>
      <c r="W151" s="27"/>
      <c r="X151" s="27" t="str">
        <f aca="false">IF($K151="","출고일 미정",IF($P151="X","작지 미발행",IF($P151="부분","작지 일부 미발행",IF(AND($R151&lt;&gt;"",$R151&gt;$N151),"소재입고 마감("&amp;TEXT($N151,"MM/DD")&amp;") 초과",IF($P151="","발행여부 확인 필요",IF($R151="","소재 입고일정 확인 필요","정상"))))))</f>
        <v>소재 입고일정 확인 필요</v>
      </c>
      <c r="Y151" s="25" t="str">
        <f aca="false">IF($K151="","",IF(OR(LEFT($X151,2)="작지",LEFT($X151,4)="소재입고"),IF(LEFT($G151,1)="S","★ 납기위험(S코드)","◆ 지연주의"),IF($X151="정상","✓ 정상","? 확인필요")))</f>
        <v>? 확인필요</v>
      </c>
      <c r="Z151" s="28"/>
      <c r="AA151" s="34"/>
    </row>
    <row r="152" customFormat="false" ht="15" hidden="false" customHeight="false" outlineLevel="0" collapsed="false">
      <c r="A152" s="25" t="n">
        <v>148</v>
      </c>
      <c r="B152" s="26" t="s">
        <v>220</v>
      </c>
      <c r="C152" s="26" t="s">
        <v>200</v>
      </c>
      <c r="D152" s="27" t="s">
        <v>550</v>
      </c>
      <c r="E152" s="26" t="s">
        <v>551</v>
      </c>
      <c r="F152" s="27" t="s">
        <v>552</v>
      </c>
      <c r="G152" s="25" t="str">
        <f aca="false">IF($D152="","",IF(MID($D152,5,1)="S","S(봄)",IF(MID($D152,5,1)="M","M(여름)",IF(MID($D152,5,1)="X","X(사계절)",MID($D152,5,1)))))</f>
        <v>M(여름)</v>
      </c>
      <c r="H152" s="27" t="s">
        <v>209</v>
      </c>
      <c r="I152" s="25"/>
      <c r="J152" s="28" t="s">
        <v>541</v>
      </c>
      <c r="K152" s="29" t="n">
        <f aca="false">IF($J152="","",IFERROR(DATE(IF(VALUE(LEFT($J152,FIND("월",$J152)-1))&gt;=9,기준정보!$C$7-1,기준정보!$C$7),VALUE(LEFT($J152,FIND("월",$J152)-1)),1+7*(VALUE(SUBSTITUTE(MID($J152,FIND("월",$J152)+1,5),"주",""))-1)),""))</f>
        <v>46447</v>
      </c>
      <c r="L152" s="29" t="n">
        <f aca="false">IF($K152="","",IF(AND($K152-기준정보!$C$5&gt;=기준정보!$C$10,$K152-기준정보!$C$5&lt;=기준정보!$C$11),기준정보!$C$10-1,$K152-기준정보!$C$5))</f>
        <v>46433</v>
      </c>
      <c r="M152" s="30" t="n">
        <f aca="false">IF($L152="","",IF(OR(ISNUMBER(SEARCH("중국",$U152)),ISNUMBER(SEARCH("베트남",$U152))),MAX(0,MIN($L152,기준정보!$C$9)-MAX($L152-기준정보!$C$6,기준정보!$C$8)+1),IF(ISNUMBER(SEARCH("한국",$U152)),MAX(0,MIN($L152,기준정보!$C$11)-MAX($L152-기준정보!$C$6,기준정보!$C$10)+1),0)))</f>
        <v>0</v>
      </c>
      <c r="N152" s="29" t="n">
        <f aca="false">IF($L152="","",$L152-기준정보!$C$6-$M152)</f>
        <v>46343</v>
      </c>
      <c r="O152" s="31" t="n">
        <f aca="false">IF($N152="","",$N152-기준정보!$C$4)</f>
        <v>101</v>
      </c>
      <c r="P152" s="28" t="s">
        <v>82</v>
      </c>
      <c r="Q152" s="28" t="s">
        <v>83</v>
      </c>
      <c r="R152" s="32"/>
      <c r="S152" s="27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T152" s="26" t="s">
        <v>89</v>
      </c>
      <c r="U152" s="26" t="s">
        <v>90</v>
      </c>
      <c r="V152" s="33" t="n">
        <v>27500</v>
      </c>
      <c r="W152" s="27"/>
      <c r="X152" s="27" t="str">
        <f aca="false">IF($K152="","출고일 미정",IF($P152="X","작지 미발행",IF($P152="부분","작지 일부 미발행",IF(AND($R152&lt;&gt;"",$R152&gt;$N152),"소재입고 마감("&amp;TEXT($N152,"MM/DD")&amp;") 초과",IF($P152="","발행여부 확인 필요",IF($R152="","소재 입고일정 확인 필요","정상"))))))</f>
        <v>소재 입고일정 확인 필요</v>
      </c>
      <c r="Y152" s="25" t="str">
        <f aca="false">IF($K152="","",IF(OR(LEFT($X152,2)="작지",LEFT($X152,4)="소재입고"),IF(LEFT($G152,1)="S","★ 납기위험(S코드)","◆ 지연주의"),IF($X152="정상","✓ 정상","? 확인필요")))</f>
        <v>? 확인필요</v>
      </c>
      <c r="Z152" s="28"/>
      <c r="AA152" s="34"/>
    </row>
    <row r="153" customFormat="false" ht="15" hidden="false" customHeight="false" outlineLevel="0" collapsed="false">
      <c r="A153" s="25" t="n">
        <v>149</v>
      </c>
      <c r="B153" s="26" t="s">
        <v>204</v>
      </c>
      <c r="C153" s="26" t="s">
        <v>225</v>
      </c>
      <c r="D153" s="27" t="s">
        <v>553</v>
      </c>
      <c r="E153" s="26" t="s">
        <v>554</v>
      </c>
      <c r="F153" s="27" t="s">
        <v>286</v>
      </c>
      <c r="G153" s="25" t="str">
        <f aca="false">IF($D153="","",IF(MID($D153,5,1)="S","S(봄)",IF(MID($D153,5,1)="M","M(여름)",IF(MID($D153,5,1)="X","X(사계절)",MID($D153,5,1)))))</f>
        <v>M(여름)</v>
      </c>
      <c r="H153" s="26" t="s">
        <v>79</v>
      </c>
      <c r="I153" s="25"/>
      <c r="J153" s="28" t="s">
        <v>541</v>
      </c>
      <c r="K153" s="29" t="n">
        <f aca="false">IF($J153="","",IFERROR(DATE(IF(VALUE(LEFT($J153,FIND("월",$J153)-1))&gt;=9,기준정보!$C$7-1,기준정보!$C$7),VALUE(LEFT($J153,FIND("월",$J153)-1)),1+7*(VALUE(SUBSTITUTE(MID($J153,FIND("월",$J153)+1,5),"주",""))-1)),""))</f>
        <v>46447</v>
      </c>
      <c r="L153" s="29" t="n">
        <f aca="false">IF($K153="","",IF(AND($K153-기준정보!$C$5&gt;=기준정보!$C$10,$K153-기준정보!$C$5&lt;=기준정보!$C$11),기준정보!$C$10-1,$K153-기준정보!$C$5))</f>
        <v>46433</v>
      </c>
      <c r="M153" s="30" t="n">
        <f aca="false">IF($L153="","",IF(OR(ISNUMBER(SEARCH("중국",$U153)),ISNUMBER(SEARCH("베트남",$U153))),MAX(0,MIN($L153,기준정보!$C$9)-MAX($L153-기준정보!$C$6,기준정보!$C$8)+1),IF(ISNUMBER(SEARCH("한국",$U153)),MAX(0,MIN($L153,기준정보!$C$11)-MAX($L153-기준정보!$C$6,기준정보!$C$10)+1),0)))</f>
        <v>0</v>
      </c>
      <c r="N153" s="29" t="n">
        <f aca="false">IF($L153="","",$L153-기준정보!$C$6-$M153)</f>
        <v>46343</v>
      </c>
      <c r="O153" s="31" t="n">
        <f aca="false">IF($N153="","",$N153-기준정보!$C$4)</f>
        <v>101</v>
      </c>
      <c r="P153" s="28" t="s">
        <v>82</v>
      </c>
      <c r="Q153" s="28" t="s">
        <v>83</v>
      </c>
      <c r="R153" s="32"/>
      <c r="S153" s="27" t="str">
        <f aca="false">IF($H153="","",IF(AND(ISNUMBER(SEARCH("CMT",$H153)),OR(ISNUMBER(SEARCH("완사입",$H153)),ISNUMBER(SEARCH("ODM",$H153)))),"본사/생산처 혼재",IF(ISNUMBER(SEARCH("CMT",$H153)),"본사(소재팀)","생산처")))</f>
        <v>생산처</v>
      </c>
      <c r="T153" s="27" t="s">
        <v>243</v>
      </c>
      <c r="U153" s="26" t="s">
        <v>90</v>
      </c>
      <c r="V153" s="33" t="n">
        <v>4000</v>
      </c>
      <c r="W153" s="27" t="s">
        <v>541</v>
      </c>
      <c r="X153" s="27" t="str">
        <f aca="false">IF($K153="","출고일 미정",IF($P153="X","작지 미발행",IF($P153="부분","작지 일부 미발행",IF(AND($R153&lt;&gt;"",$R153&gt;$N153),"소재입고 마감("&amp;TEXT($N153,"MM/DD")&amp;") 초과",IF($P153="","발행여부 확인 필요",IF($R153="","소재 입고일정 확인 필요","정상"))))))</f>
        <v>소재 입고일정 확인 필요</v>
      </c>
      <c r="Y153" s="25" t="str">
        <f aca="false">IF($K153="","",IF(OR(LEFT($X153,2)="작지",LEFT($X153,4)="소재입고"),IF(LEFT($G153,1)="S","★ 납기위험(S코드)","◆ 지연주의"),IF($X153="정상","✓ 정상","? 확인필요")))</f>
        <v>? 확인필요</v>
      </c>
      <c r="Z153" s="28"/>
      <c r="AA153" s="34"/>
    </row>
    <row r="154" customFormat="false" ht="15" hidden="false" customHeight="false" outlineLevel="0" collapsed="false">
      <c r="A154" s="25" t="n">
        <v>150</v>
      </c>
      <c r="B154" s="26" t="s">
        <v>204</v>
      </c>
      <c r="C154" s="26" t="s">
        <v>205</v>
      </c>
      <c r="D154" s="27" t="s">
        <v>555</v>
      </c>
      <c r="E154" s="26" t="s">
        <v>554</v>
      </c>
      <c r="F154" s="27" t="s">
        <v>556</v>
      </c>
      <c r="G154" s="25" t="str">
        <f aca="false">IF($D154="","",IF(MID($D154,5,1)="S","S(봄)",IF(MID($D154,5,1)="M","M(여름)",IF(MID($D154,5,1)="X","X(사계절)",MID($D154,5,1)))))</f>
        <v>M(여름)</v>
      </c>
      <c r="H154" s="26" t="s">
        <v>79</v>
      </c>
      <c r="I154" s="25"/>
      <c r="J154" s="28" t="s">
        <v>541</v>
      </c>
      <c r="K154" s="29" t="n">
        <f aca="false">IF($J154="","",IFERROR(DATE(IF(VALUE(LEFT($J154,FIND("월",$J154)-1))&gt;=9,기준정보!$C$7-1,기준정보!$C$7),VALUE(LEFT($J154,FIND("월",$J154)-1)),1+7*(VALUE(SUBSTITUTE(MID($J154,FIND("월",$J154)+1,5),"주",""))-1)),""))</f>
        <v>46447</v>
      </c>
      <c r="L154" s="29" t="n">
        <f aca="false">IF($K154="","",IF(AND($K154-기준정보!$C$5&gt;=기준정보!$C$10,$K154-기준정보!$C$5&lt;=기준정보!$C$11),기준정보!$C$10-1,$K154-기준정보!$C$5))</f>
        <v>46433</v>
      </c>
      <c r="M154" s="30" t="n">
        <f aca="false">IF($L154="","",IF(OR(ISNUMBER(SEARCH("중국",$U154)),ISNUMBER(SEARCH("베트남",$U154))),MAX(0,MIN($L154,기준정보!$C$9)-MAX($L154-기준정보!$C$6,기준정보!$C$8)+1),IF(ISNUMBER(SEARCH("한국",$U154)),MAX(0,MIN($L154,기준정보!$C$11)-MAX($L154-기준정보!$C$6,기준정보!$C$10)+1),0)))</f>
        <v>0</v>
      </c>
      <c r="N154" s="29" t="n">
        <f aca="false">IF($L154="","",$L154-기준정보!$C$6-$M154)</f>
        <v>46343</v>
      </c>
      <c r="O154" s="31" t="n">
        <f aca="false">IF($N154="","",$N154-기준정보!$C$4)</f>
        <v>101</v>
      </c>
      <c r="P154" s="28" t="s">
        <v>82</v>
      </c>
      <c r="Q154" s="28" t="s">
        <v>83</v>
      </c>
      <c r="R154" s="32"/>
      <c r="S154" s="27" t="str">
        <f aca="false">IF($H154="","",IF(AND(ISNUMBER(SEARCH("CMT",$H154)),OR(ISNUMBER(SEARCH("완사입",$H154)),ISNUMBER(SEARCH("ODM",$H154)))),"본사/생산처 혼재",IF(ISNUMBER(SEARCH("CMT",$H154)),"본사(소재팀)","생산처")))</f>
        <v>생산처</v>
      </c>
      <c r="T154" s="27" t="s">
        <v>243</v>
      </c>
      <c r="U154" s="26" t="s">
        <v>90</v>
      </c>
      <c r="V154" s="33" t="n">
        <v>4000</v>
      </c>
      <c r="W154" s="27" t="s">
        <v>541</v>
      </c>
      <c r="X154" s="27" t="str">
        <f aca="false">IF($K154="","출고일 미정",IF($P154="X","작지 미발행",IF($P154="부분","작지 일부 미발행",IF(AND($R154&lt;&gt;"",$R154&gt;$N154),"소재입고 마감("&amp;TEXT($N154,"MM/DD")&amp;") 초과",IF($P154="","발행여부 확인 필요",IF($R154="","소재 입고일정 확인 필요","정상"))))))</f>
        <v>소재 입고일정 확인 필요</v>
      </c>
      <c r="Y154" s="25" t="str">
        <f aca="false">IF($K154="","",IF(OR(LEFT($X154,2)="작지",LEFT($X154,4)="소재입고"),IF(LEFT($G154,1)="S","★ 납기위험(S코드)","◆ 지연주의"),IF($X154="정상","✓ 정상","? 확인필요")))</f>
        <v>? 확인필요</v>
      </c>
      <c r="Z154" s="28"/>
      <c r="AA154" s="34"/>
    </row>
    <row r="155" customFormat="false" ht="15" hidden="false" customHeight="false" outlineLevel="0" collapsed="false">
      <c r="A155" s="25" t="n">
        <v>151</v>
      </c>
      <c r="B155" s="26" t="s">
        <v>204</v>
      </c>
      <c r="C155" s="26" t="s">
        <v>225</v>
      </c>
      <c r="D155" s="27" t="s">
        <v>557</v>
      </c>
      <c r="E155" s="26" t="s">
        <v>558</v>
      </c>
      <c r="F155" s="27" t="s">
        <v>559</v>
      </c>
      <c r="G155" s="25" t="str">
        <f aca="false">IF($D155="","",IF(MID($D155,5,1)="S","S(봄)",IF(MID($D155,5,1)="M","M(여름)",IF(MID($D155,5,1)="X","X(사계절)",MID($D155,5,1)))))</f>
        <v>M(여름)</v>
      </c>
      <c r="H155" s="26" t="s">
        <v>79</v>
      </c>
      <c r="I155" s="25"/>
      <c r="J155" s="28" t="s">
        <v>541</v>
      </c>
      <c r="K155" s="29" t="n">
        <f aca="false">IF($J155="","",IFERROR(DATE(IF(VALUE(LEFT($J155,FIND("월",$J155)-1))&gt;=9,기준정보!$C$7-1,기준정보!$C$7),VALUE(LEFT($J155,FIND("월",$J155)-1)),1+7*(VALUE(SUBSTITUTE(MID($J155,FIND("월",$J155)+1,5),"주",""))-1)),""))</f>
        <v>46447</v>
      </c>
      <c r="L155" s="29" t="n">
        <f aca="false">IF($K155="","",IF(AND($K155-기준정보!$C$5&gt;=기준정보!$C$10,$K155-기준정보!$C$5&lt;=기준정보!$C$11),기준정보!$C$10-1,$K155-기준정보!$C$5))</f>
        <v>46433</v>
      </c>
      <c r="M155" s="30" t="n">
        <f aca="false">IF($L155="","",IF(OR(ISNUMBER(SEARCH("중국",$U155)),ISNUMBER(SEARCH("베트남",$U155))),MAX(0,MIN($L155,기준정보!$C$9)-MAX($L155-기준정보!$C$6,기준정보!$C$8)+1),IF(ISNUMBER(SEARCH("한국",$U155)),MAX(0,MIN($L155,기준정보!$C$11)-MAX($L155-기준정보!$C$6,기준정보!$C$10)+1),0)))</f>
        <v>15</v>
      </c>
      <c r="N155" s="29" t="n">
        <f aca="false">IF($L155="","",$L155-기준정보!$C$6-$M155)</f>
        <v>46328</v>
      </c>
      <c r="O155" s="31" t="n">
        <f aca="false">IF($N155="","",$N155-기준정보!$C$4)</f>
        <v>86</v>
      </c>
      <c r="P155" s="28" t="s">
        <v>82</v>
      </c>
      <c r="Q155" s="28" t="s">
        <v>83</v>
      </c>
      <c r="R155" s="32"/>
      <c r="S155" s="27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T155" s="26" t="s">
        <v>106</v>
      </c>
      <c r="U155" s="26" t="s">
        <v>85</v>
      </c>
      <c r="V155" s="33" t="n">
        <v>3000</v>
      </c>
      <c r="W155" s="27" t="s">
        <v>541</v>
      </c>
      <c r="X155" s="27" t="str">
        <f aca="false">IF($K155="","출고일 미정",IF($P155="X","작지 미발행",IF($P155="부분","작지 일부 미발행",IF(AND($R155&lt;&gt;"",$R155&gt;$N155),"소재입고 마감("&amp;TEXT($N155,"MM/DD")&amp;") 초과",IF($P155="","발행여부 확인 필요",IF($R155="","소재 입고일정 확인 필요","정상"))))))</f>
        <v>소재 입고일정 확인 필요</v>
      </c>
      <c r="Y155" s="25" t="str">
        <f aca="false">IF($K155="","",IF(OR(LEFT($X155,2)="작지",LEFT($X155,4)="소재입고"),IF(LEFT($G155,1)="S","★ 납기위험(S코드)","◆ 지연주의"),IF($X155="정상","✓ 정상","? 확인필요")))</f>
        <v>? 확인필요</v>
      </c>
      <c r="Z155" s="28"/>
      <c r="AA155" s="34"/>
    </row>
    <row r="156" customFormat="false" ht="15" hidden="false" customHeight="false" outlineLevel="0" collapsed="false">
      <c r="A156" s="25" t="n">
        <v>152</v>
      </c>
      <c r="B156" s="26" t="s">
        <v>253</v>
      </c>
      <c r="C156" s="26" t="s">
        <v>254</v>
      </c>
      <c r="D156" s="27" t="s">
        <v>560</v>
      </c>
      <c r="E156" s="26" t="s">
        <v>561</v>
      </c>
      <c r="F156" s="27" t="s">
        <v>562</v>
      </c>
      <c r="G156" s="25" t="str">
        <f aca="false">IF($D156="","",IF(MID($D156,5,1)="S","S(봄)",IF(MID($D156,5,1)="M","M(여름)",IF(MID($D156,5,1)="X","X(사계절)",MID($D156,5,1)))))</f>
        <v>M(여름)</v>
      </c>
      <c r="H156" s="26" t="s">
        <v>79</v>
      </c>
      <c r="I156" s="25"/>
      <c r="J156" s="28" t="s">
        <v>541</v>
      </c>
      <c r="K156" s="29" t="n">
        <f aca="false">IF($J156="","",IFERROR(DATE(IF(VALUE(LEFT($J156,FIND("월",$J156)-1))&gt;=9,기준정보!$C$7-1,기준정보!$C$7),VALUE(LEFT($J156,FIND("월",$J156)-1)),1+7*(VALUE(SUBSTITUTE(MID($J156,FIND("월",$J156)+1,5),"주",""))-1)),""))</f>
        <v>46447</v>
      </c>
      <c r="L156" s="29" t="n">
        <f aca="false">IF($K156="","",IF(AND($K156-기준정보!$C$5&gt;=기준정보!$C$10,$K156-기준정보!$C$5&lt;=기준정보!$C$11),기준정보!$C$10-1,$K156-기준정보!$C$5))</f>
        <v>46433</v>
      </c>
      <c r="M156" s="30" t="n">
        <f aca="false">IF($L156="","",IF(OR(ISNUMBER(SEARCH("중국",$U156)),ISNUMBER(SEARCH("베트남",$U156))),MAX(0,MIN($L156,기준정보!$C$9)-MAX($L156-기준정보!$C$6,기준정보!$C$8)+1),IF(ISNUMBER(SEARCH("한국",$U156)),MAX(0,MIN($L156,기준정보!$C$11)-MAX($L156-기준정보!$C$6,기준정보!$C$10)+1),0)))</f>
        <v>0</v>
      </c>
      <c r="N156" s="29" t="n">
        <f aca="false">IF($L156="","",$L156-기준정보!$C$6-$M156)</f>
        <v>46343</v>
      </c>
      <c r="O156" s="31" t="n">
        <f aca="false">IF($N156="","",$N156-기준정보!$C$4)</f>
        <v>101</v>
      </c>
      <c r="P156" s="28" t="s">
        <v>82</v>
      </c>
      <c r="Q156" s="28" t="s">
        <v>83</v>
      </c>
      <c r="R156" s="32"/>
      <c r="S156" s="27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T156" s="26" t="s">
        <v>89</v>
      </c>
      <c r="U156" s="26" t="s">
        <v>332</v>
      </c>
      <c r="V156" s="33" t="n">
        <v>3200</v>
      </c>
      <c r="W156" s="27" t="s">
        <v>541</v>
      </c>
      <c r="X156" s="27" t="str">
        <f aca="false">IF($K156="","출고일 미정",IF($P156="X","작지 미발행",IF($P156="부분","작지 일부 미발행",IF(AND($R156&lt;&gt;"",$R156&gt;$N156),"소재입고 마감("&amp;TEXT($N156,"MM/DD")&amp;") 초과",IF($P156="","발행여부 확인 필요",IF($R156="","소재 입고일정 확인 필요","정상"))))))</f>
        <v>소재 입고일정 확인 필요</v>
      </c>
      <c r="Y156" s="25" t="str">
        <f aca="false">IF($K156="","",IF(OR(LEFT($X156,2)="작지",LEFT($X156,4)="소재입고"),IF(LEFT($G156,1)="S","★ 납기위험(S코드)","◆ 지연주의"),IF($X156="정상","✓ 정상","? 확인필요")))</f>
        <v>? 확인필요</v>
      </c>
      <c r="Z156" s="28"/>
      <c r="AA156" s="34"/>
    </row>
    <row r="157" customFormat="false" ht="15" hidden="false" customHeight="false" outlineLevel="0" collapsed="false">
      <c r="A157" s="25" t="n">
        <v>153</v>
      </c>
      <c r="B157" s="26" t="s">
        <v>253</v>
      </c>
      <c r="C157" s="26" t="s">
        <v>262</v>
      </c>
      <c r="D157" s="27" t="s">
        <v>563</v>
      </c>
      <c r="E157" s="26" t="s">
        <v>564</v>
      </c>
      <c r="F157" s="27" t="s">
        <v>565</v>
      </c>
      <c r="G157" s="25" t="str">
        <f aca="false">IF($D157="","",IF(MID($D157,5,1)="S","S(봄)",IF(MID($D157,5,1)="M","M(여름)",IF(MID($D157,5,1)="X","X(사계절)",MID($D157,5,1)))))</f>
        <v>M(여름)</v>
      </c>
      <c r="H157" s="26" t="s">
        <v>79</v>
      </c>
      <c r="I157" s="25"/>
      <c r="J157" s="28" t="s">
        <v>541</v>
      </c>
      <c r="K157" s="29" t="n">
        <f aca="false">IF($J157="","",IFERROR(DATE(IF(VALUE(LEFT($J157,FIND("월",$J157)-1))&gt;=9,기준정보!$C$7-1,기준정보!$C$7),VALUE(LEFT($J157,FIND("월",$J157)-1)),1+7*(VALUE(SUBSTITUTE(MID($J157,FIND("월",$J157)+1,5),"주",""))-1)),""))</f>
        <v>46447</v>
      </c>
      <c r="L157" s="29" t="n">
        <f aca="false">IF($K157="","",IF(AND($K157-기준정보!$C$5&gt;=기준정보!$C$10,$K157-기준정보!$C$5&lt;=기준정보!$C$11),기준정보!$C$10-1,$K157-기준정보!$C$5))</f>
        <v>46433</v>
      </c>
      <c r="M157" s="30" t="n">
        <f aca="false">IF($L157="","",IF(OR(ISNUMBER(SEARCH("중국",$U157)),ISNUMBER(SEARCH("베트남",$U157))),MAX(0,MIN($L157,기준정보!$C$9)-MAX($L157-기준정보!$C$6,기준정보!$C$8)+1),IF(ISNUMBER(SEARCH("한국",$U157)),MAX(0,MIN($L157,기준정보!$C$11)-MAX($L157-기준정보!$C$6,기준정보!$C$10)+1),0)))</f>
        <v>15</v>
      </c>
      <c r="N157" s="29" t="n">
        <f aca="false">IF($L157="","",$L157-기준정보!$C$6-$M157)</f>
        <v>46328</v>
      </c>
      <c r="O157" s="31" t="n">
        <f aca="false">IF($N157="","",$N157-기준정보!$C$4)</f>
        <v>86</v>
      </c>
      <c r="P157" s="28" t="s">
        <v>82</v>
      </c>
      <c r="Q157" s="28" t="s">
        <v>83</v>
      </c>
      <c r="R157" s="32"/>
      <c r="S157" s="27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T157" s="26" t="s">
        <v>266</v>
      </c>
      <c r="U157" s="26" t="s">
        <v>85</v>
      </c>
      <c r="V157" s="33" t="n">
        <v>12500</v>
      </c>
      <c r="W157" s="27" t="s">
        <v>541</v>
      </c>
      <c r="X157" s="27" t="str">
        <f aca="false">IF($K157="","출고일 미정",IF($P157="X","작지 미발행",IF($P157="부분","작지 일부 미발행",IF(AND($R157&lt;&gt;"",$R157&gt;$N157),"소재입고 마감("&amp;TEXT($N157,"MM/DD")&amp;") 초과",IF($P157="","발행여부 확인 필요",IF($R157="","소재 입고일정 확인 필요","정상"))))))</f>
        <v>소재 입고일정 확인 필요</v>
      </c>
      <c r="Y157" s="25" t="str">
        <f aca="false">IF($K157="","",IF(OR(LEFT($X157,2)="작지",LEFT($X157,4)="소재입고"),IF(LEFT($G157,1)="S","★ 납기위험(S코드)","◆ 지연주의"),IF($X157="정상","✓ 정상","? 확인필요")))</f>
        <v>? 확인필요</v>
      </c>
      <c r="Z157" s="28"/>
      <c r="AA157" s="34"/>
    </row>
    <row r="158" customFormat="false" ht="15" hidden="false" customHeight="false" outlineLevel="0" collapsed="false">
      <c r="A158" s="25" t="n">
        <v>154</v>
      </c>
      <c r="B158" s="26" t="s">
        <v>224</v>
      </c>
      <c r="C158" s="26" t="s">
        <v>566</v>
      </c>
      <c r="D158" s="27" t="s">
        <v>567</v>
      </c>
      <c r="E158" s="26" t="s">
        <v>568</v>
      </c>
      <c r="F158" s="27" t="s">
        <v>569</v>
      </c>
      <c r="G158" s="25" t="str">
        <f aca="false">IF($D158="","",IF(MID($D158,5,1)="S","S(봄)",IF(MID($D158,5,1)="M","M(여름)",IF(MID($D158,5,1)="X","X(사계절)",MID($D158,5,1)))))</f>
        <v>M(여름)</v>
      </c>
      <c r="H158" s="26" t="s">
        <v>79</v>
      </c>
      <c r="I158" s="25" t="s">
        <v>481</v>
      </c>
      <c r="J158" s="28" t="s">
        <v>541</v>
      </c>
      <c r="K158" s="29" t="n">
        <f aca="false">IF($J158="","",IFERROR(DATE(IF(VALUE(LEFT($J158,FIND("월",$J158)-1))&gt;=9,기준정보!$C$7-1,기준정보!$C$7),VALUE(LEFT($J158,FIND("월",$J158)-1)),1+7*(VALUE(SUBSTITUTE(MID($J158,FIND("월",$J158)+1,5),"주",""))-1)),""))</f>
        <v>46447</v>
      </c>
      <c r="L158" s="29" t="n">
        <f aca="false">IF($K158="","",IF(AND($K158-기준정보!$C$5&gt;=기준정보!$C$10,$K158-기준정보!$C$5&lt;=기준정보!$C$11),기준정보!$C$10-1,$K158-기준정보!$C$5))</f>
        <v>46433</v>
      </c>
      <c r="M158" s="30" t="n">
        <f aca="false">IF($L158="","",IF(OR(ISNUMBER(SEARCH("중국",$U158)),ISNUMBER(SEARCH("베트남",$U158))),MAX(0,MIN($L158,기준정보!$C$9)-MAX($L158-기준정보!$C$6,기준정보!$C$8)+1),IF(ISNUMBER(SEARCH("한국",$U158)),MAX(0,MIN($L158,기준정보!$C$11)-MAX($L158-기준정보!$C$6,기준정보!$C$10)+1),0)))</f>
        <v>15</v>
      </c>
      <c r="N158" s="29" t="n">
        <f aca="false">IF($L158="","",$L158-기준정보!$C$6-$M158)</f>
        <v>46328</v>
      </c>
      <c r="O158" s="31" t="n">
        <f aca="false">IF($N158="","",$N158-기준정보!$C$4)</f>
        <v>86</v>
      </c>
      <c r="P158" s="28" t="s">
        <v>82</v>
      </c>
      <c r="Q158" s="28" t="s">
        <v>83</v>
      </c>
      <c r="R158" s="32"/>
      <c r="S158" s="27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T158" s="26" t="s">
        <v>84</v>
      </c>
      <c r="U158" s="26" t="s">
        <v>85</v>
      </c>
      <c r="V158" s="33" t="n">
        <v>250</v>
      </c>
      <c r="W158" s="27"/>
      <c r="X158" s="27" t="str">
        <f aca="false">IF($K158="","출고일 미정",IF($P158="X","작지 미발행",IF($P158="부분","작지 일부 미발행",IF(AND($R158&lt;&gt;"",$R158&gt;$N158),"소재입고 마감("&amp;TEXT($N158,"MM/DD")&amp;") 초과",IF($P158="","발행여부 확인 필요",IF($R158="","소재 입고일정 확인 필요","정상"))))))</f>
        <v>소재 입고일정 확인 필요</v>
      </c>
      <c r="Y158" s="25" t="str">
        <f aca="false">IF($K158="","",IF(OR(LEFT($X158,2)="작지",LEFT($X158,4)="소재입고"),IF(LEFT($G158,1)="S","★ 납기위험(S코드)","◆ 지연주의"),IF($X158="정상","✓ 정상","? 확인필요")))</f>
        <v>? 확인필요</v>
      </c>
      <c r="Z158" s="28"/>
      <c r="AA158" s="34"/>
    </row>
    <row r="159" customFormat="false" ht="15" hidden="false" customHeight="false" outlineLevel="0" collapsed="false">
      <c r="A159" s="25" t="n">
        <v>155</v>
      </c>
      <c r="B159" s="26" t="s">
        <v>224</v>
      </c>
      <c r="C159" s="26" t="s">
        <v>566</v>
      </c>
      <c r="D159" s="27" t="s">
        <v>570</v>
      </c>
      <c r="E159" s="26" t="s">
        <v>571</v>
      </c>
      <c r="F159" s="27" t="s">
        <v>572</v>
      </c>
      <c r="G159" s="25" t="str">
        <f aca="false">IF($D159="","",IF(MID($D159,5,1)="S","S(봄)",IF(MID($D159,5,1)="M","M(여름)",IF(MID($D159,5,1)="X","X(사계절)",MID($D159,5,1)))))</f>
        <v>M(여름)</v>
      </c>
      <c r="H159" s="26" t="s">
        <v>79</v>
      </c>
      <c r="I159" s="25" t="s">
        <v>481</v>
      </c>
      <c r="J159" s="28" t="s">
        <v>541</v>
      </c>
      <c r="K159" s="29" t="n">
        <f aca="false">IF($J159="","",IFERROR(DATE(IF(VALUE(LEFT($J159,FIND("월",$J159)-1))&gt;=9,기준정보!$C$7-1,기준정보!$C$7),VALUE(LEFT($J159,FIND("월",$J159)-1)),1+7*(VALUE(SUBSTITUTE(MID($J159,FIND("월",$J159)+1,5),"주",""))-1)),""))</f>
        <v>46447</v>
      </c>
      <c r="L159" s="29" t="n">
        <f aca="false">IF($K159="","",IF(AND($K159-기준정보!$C$5&gt;=기준정보!$C$10,$K159-기준정보!$C$5&lt;=기준정보!$C$11),기준정보!$C$10-1,$K159-기준정보!$C$5))</f>
        <v>46433</v>
      </c>
      <c r="M159" s="30" t="n">
        <f aca="false">IF($L159="","",IF(OR(ISNUMBER(SEARCH("중국",$U159)),ISNUMBER(SEARCH("베트남",$U159))),MAX(0,MIN($L159,기준정보!$C$9)-MAX($L159-기준정보!$C$6,기준정보!$C$8)+1),IF(ISNUMBER(SEARCH("한국",$U159)),MAX(0,MIN($L159,기준정보!$C$11)-MAX($L159-기준정보!$C$6,기준정보!$C$10)+1),0)))</f>
        <v>15</v>
      </c>
      <c r="N159" s="29" t="n">
        <f aca="false">IF($L159="","",$L159-기준정보!$C$6-$M159)</f>
        <v>46328</v>
      </c>
      <c r="O159" s="31" t="n">
        <f aca="false">IF($N159="","",$N159-기준정보!$C$4)</f>
        <v>86</v>
      </c>
      <c r="P159" s="28" t="s">
        <v>82</v>
      </c>
      <c r="Q159" s="28" t="s">
        <v>83</v>
      </c>
      <c r="R159" s="32"/>
      <c r="S159" s="27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T159" s="26" t="s">
        <v>84</v>
      </c>
      <c r="U159" s="26" t="s">
        <v>85</v>
      </c>
      <c r="V159" s="33" t="n">
        <v>250</v>
      </c>
      <c r="W159" s="27"/>
      <c r="X159" s="27" t="str">
        <f aca="false">IF($K159="","출고일 미정",IF($P159="X","작지 미발행",IF($P159="부분","작지 일부 미발행",IF(AND($R159&lt;&gt;"",$R159&gt;$N159),"소재입고 마감("&amp;TEXT($N159,"MM/DD")&amp;") 초과",IF($P159="","발행여부 확인 필요",IF($R159="","소재 입고일정 확인 필요","정상"))))))</f>
        <v>소재 입고일정 확인 필요</v>
      </c>
      <c r="Y159" s="25" t="str">
        <f aca="false">IF($K159="","",IF(OR(LEFT($X159,2)="작지",LEFT($X159,4)="소재입고"),IF(LEFT($G159,1)="S","★ 납기위험(S코드)","◆ 지연주의"),IF($X159="정상","✓ 정상","? 확인필요")))</f>
        <v>? 확인필요</v>
      </c>
      <c r="Z159" s="28"/>
      <c r="AA159" s="34"/>
    </row>
    <row r="160" customFormat="false" ht="15" hidden="false" customHeight="false" outlineLevel="0" collapsed="false">
      <c r="A160" s="25" t="n">
        <v>156</v>
      </c>
      <c r="B160" s="26" t="s">
        <v>224</v>
      </c>
      <c r="C160" s="26" t="s">
        <v>93</v>
      </c>
      <c r="D160" s="27" t="s">
        <v>573</v>
      </c>
      <c r="E160" s="26" t="s">
        <v>574</v>
      </c>
      <c r="F160" s="27" t="s">
        <v>160</v>
      </c>
      <c r="G160" s="25" t="str">
        <f aca="false">IF($D160="","",IF(MID($D160,5,1)="S","S(봄)",IF(MID($D160,5,1)="M","M(여름)",IF(MID($D160,5,1)="X","X(사계절)",MID($D160,5,1)))))</f>
        <v>M(여름)</v>
      </c>
      <c r="H160" s="26" t="s">
        <v>79</v>
      </c>
      <c r="I160" s="25" t="s">
        <v>481</v>
      </c>
      <c r="J160" s="28" t="s">
        <v>541</v>
      </c>
      <c r="K160" s="29" t="n">
        <f aca="false">IF($J160="","",IFERROR(DATE(IF(VALUE(LEFT($J160,FIND("월",$J160)-1))&gt;=9,기준정보!$C$7-1,기준정보!$C$7),VALUE(LEFT($J160,FIND("월",$J160)-1)),1+7*(VALUE(SUBSTITUTE(MID($J160,FIND("월",$J160)+1,5),"주",""))-1)),""))</f>
        <v>46447</v>
      </c>
      <c r="L160" s="29" t="n">
        <f aca="false">IF($K160="","",IF(AND($K160-기준정보!$C$5&gt;=기준정보!$C$10,$K160-기준정보!$C$5&lt;=기준정보!$C$11),기준정보!$C$10-1,$K160-기준정보!$C$5))</f>
        <v>46433</v>
      </c>
      <c r="M160" s="30" t="n">
        <f aca="false">IF($L160="","",IF(OR(ISNUMBER(SEARCH("중국",$U160)),ISNUMBER(SEARCH("베트남",$U160))),MAX(0,MIN($L160,기준정보!$C$9)-MAX($L160-기준정보!$C$6,기준정보!$C$8)+1),IF(ISNUMBER(SEARCH("한국",$U160)),MAX(0,MIN($L160,기준정보!$C$11)-MAX($L160-기준정보!$C$6,기준정보!$C$10)+1),0)))</f>
        <v>15</v>
      </c>
      <c r="N160" s="29" t="n">
        <f aca="false">IF($L160="","",$L160-기준정보!$C$6-$M160)</f>
        <v>46328</v>
      </c>
      <c r="O160" s="31" t="n">
        <f aca="false">IF($N160="","",$N160-기준정보!$C$4)</f>
        <v>86</v>
      </c>
      <c r="P160" s="28" t="s">
        <v>82</v>
      </c>
      <c r="Q160" s="28" t="s">
        <v>83</v>
      </c>
      <c r="R160" s="32"/>
      <c r="S160" s="27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T160" s="27" t="s">
        <v>149</v>
      </c>
      <c r="U160" s="26" t="s">
        <v>85</v>
      </c>
      <c r="V160" s="33" t="n">
        <v>400</v>
      </c>
      <c r="W160" s="27"/>
      <c r="X160" s="27" t="str">
        <f aca="false">IF($K160="","출고일 미정",IF($P160="X","작지 미발행",IF($P160="부분","작지 일부 미발행",IF(AND($R160&lt;&gt;"",$R160&gt;$N160),"소재입고 마감("&amp;TEXT($N160,"MM/DD")&amp;") 초과",IF($P160="","발행여부 확인 필요",IF($R160="","소재 입고일정 확인 필요","정상"))))))</f>
        <v>소재 입고일정 확인 필요</v>
      </c>
      <c r="Y160" s="25" t="str">
        <f aca="false">IF($K160="","",IF(OR(LEFT($X160,2)="작지",LEFT($X160,4)="소재입고"),IF(LEFT($G160,1)="S","★ 납기위험(S코드)","◆ 지연주의"),IF($X160="정상","✓ 정상","? 확인필요")))</f>
        <v>? 확인필요</v>
      </c>
      <c r="Z160" s="28"/>
      <c r="AA160" s="34"/>
    </row>
    <row r="161" customFormat="false" ht="15" hidden="false" customHeight="false" outlineLevel="0" collapsed="false">
      <c r="A161" s="25" t="n">
        <v>157</v>
      </c>
      <c r="B161" s="26" t="s">
        <v>224</v>
      </c>
      <c r="C161" s="26" t="s">
        <v>93</v>
      </c>
      <c r="D161" s="27" t="s">
        <v>575</v>
      </c>
      <c r="E161" s="26" t="s">
        <v>576</v>
      </c>
      <c r="F161" s="27" t="s">
        <v>577</v>
      </c>
      <c r="G161" s="25" t="str">
        <f aca="false">IF($D161="","",IF(MID($D161,5,1)="S","S(봄)",IF(MID($D161,5,1)="M","M(여름)",IF(MID($D161,5,1)="X","X(사계절)",MID($D161,5,1)))))</f>
        <v>M(여름)</v>
      </c>
      <c r="H161" s="26" t="s">
        <v>79</v>
      </c>
      <c r="I161" s="25" t="s">
        <v>481</v>
      </c>
      <c r="J161" s="28" t="s">
        <v>541</v>
      </c>
      <c r="K161" s="29" t="n">
        <f aca="false">IF($J161="","",IFERROR(DATE(IF(VALUE(LEFT($J161,FIND("월",$J161)-1))&gt;=9,기준정보!$C$7-1,기준정보!$C$7),VALUE(LEFT($J161,FIND("월",$J161)-1)),1+7*(VALUE(SUBSTITUTE(MID($J161,FIND("월",$J161)+1,5),"주",""))-1)),""))</f>
        <v>46447</v>
      </c>
      <c r="L161" s="29" t="n">
        <f aca="false">IF($K161="","",IF(AND($K161-기준정보!$C$5&gt;=기준정보!$C$10,$K161-기준정보!$C$5&lt;=기준정보!$C$11),기준정보!$C$10-1,$K161-기준정보!$C$5))</f>
        <v>46433</v>
      </c>
      <c r="M161" s="30" t="n">
        <f aca="false">IF($L161="","",IF(OR(ISNUMBER(SEARCH("중국",$U161)),ISNUMBER(SEARCH("베트남",$U161))),MAX(0,MIN($L161,기준정보!$C$9)-MAX($L161-기준정보!$C$6,기준정보!$C$8)+1),IF(ISNUMBER(SEARCH("한국",$U161)),MAX(0,MIN($L161,기준정보!$C$11)-MAX($L161-기준정보!$C$6,기준정보!$C$10)+1),0)))</f>
        <v>15</v>
      </c>
      <c r="N161" s="29" t="n">
        <f aca="false">IF($L161="","",$L161-기준정보!$C$6-$M161)</f>
        <v>46328</v>
      </c>
      <c r="O161" s="31" t="n">
        <f aca="false">IF($N161="","",$N161-기준정보!$C$4)</f>
        <v>86</v>
      </c>
      <c r="P161" s="28" t="s">
        <v>82</v>
      </c>
      <c r="Q161" s="28" t="s">
        <v>83</v>
      </c>
      <c r="R161" s="32"/>
      <c r="S161" s="27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T161" s="27" t="s">
        <v>149</v>
      </c>
      <c r="U161" s="26" t="s">
        <v>85</v>
      </c>
      <c r="V161" s="33" t="n">
        <v>900</v>
      </c>
      <c r="W161" s="27"/>
      <c r="X161" s="27" t="str">
        <f aca="false">IF($K161="","출고일 미정",IF($P161="X","작지 미발행",IF($P161="부분","작지 일부 미발행",IF(AND($R161&lt;&gt;"",$R161&gt;$N161),"소재입고 마감("&amp;TEXT($N161,"MM/DD")&amp;") 초과",IF($P161="","발행여부 확인 필요",IF($R161="","소재 입고일정 확인 필요","정상"))))))</f>
        <v>소재 입고일정 확인 필요</v>
      </c>
      <c r="Y161" s="25" t="str">
        <f aca="false">IF($K161="","",IF(OR(LEFT($X161,2)="작지",LEFT($X161,4)="소재입고"),IF(LEFT($G161,1)="S","★ 납기위험(S코드)","◆ 지연주의"),IF($X161="정상","✓ 정상","? 확인필요")))</f>
        <v>? 확인필요</v>
      </c>
      <c r="Z161" s="28"/>
      <c r="AA161" s="34"/>
    </row>
    <row r="162" customFormat="false" ht="15" hidden="false" customHeight="false" outlineLevel="0" collapsed="false">
      <c r="A162" s="25" t="n">
        <v>158</v>
      </c>
      <c r="B162" s="26" t="s">
        <v>224</v>
      </c>
      <c r="C162" s="26" t="s">
        <v>93</v>
      </c>
      <c r="D162" s="27" t="s">
        <v>578</v>
      </c>
      <c r="E162" s="26" t="s">
        <v>579</v>
      </c>
      <c r="F162" s="27" t="s">
        <v>580</v>
      </c>
      <c r="G162" s="25" t="str">
        <f aca="false">IF($D162="","",IF(MID($D162,5,1)="S","S(봄)",IF(MID($D162,5,1)="M","M(여름)",IF(MID($D162,5,1)="X","X(사계절)",MID($D162,5,1)))))</f>
        <v>M(여름)</v>
      </c>
      <c r="H162" s="26" t="s">
        <v>79</v>
      </c>
      <c r="I162" s="25" t="s">
        <v>481</v>
      </c>
      <c r="J162" s="28" t="s">
        <v>541</v>
      </c>
      <c r="K162" s="29" t="n">
        <f aca="false">IF($J162="","",IFERROR(DATE(IF(VALUE(LEFT($J162,FIND("월",$J162)-1))&gt;=9,기준정보!$C$7-1,기준정보!$C$7),VALUE(LEFT($J162,FIND("월",$J162)-1)),1+7*(VALUE(SUBSTITUTE(MID($J162,FIND("월",$J162)+1,5),"주",""))-1)),""))</f>
        <v>46447</v>
      </c>
      <c r="L162" s="29" t="n">
        <f aca="false">IF($K162="","",IF(AND($K162-기준정보!$C$5&gt;=기준정보!$C$10,$K162-기준정보!$C$5&lt;=기준정보!$C$11),기준정보!$C$10-1,$K162-기준정보!$C$5))</f>
        <v>46433</v>
      </c>
      <c r="M162" s="30" t="n">
        <f aca="false">IF($L162="","",IF(OR(ISNUMBER(SEARCH("중국",$U162)),ISNUMBER(SEARCH("베트남",$U162))),MAX(0,MIN($L162,기준정보!$C$9)-MAX($L162-기준정보!$C$6,기준정보!$C$8)+1),IF(ISNUMBER(SEARCH("한국",$U162)),MAX(0,MIN($L162,기준정보!$C$11)-MAX($L162-기준정보!$C$6,기준정보!$C$10)+1),0)))</f>
        <v>15</v>
      </c>
      <c r="N162" s="29" t="n">
        <f aca="false">IF($L162="","",$L162-기준정보!$C$6-$M162)</f>
        <v>46328</v>
      </c>
      <c r="O162" s="31" t="n">
        <f aca="false">IF($N162="","",$N162-기준정보!$C$4)</f>
        <v>86</v>
      </c>
      <c r="P162" s="28" t="s">
        <v>82</v>
      </c>
      <c r="Q162" s="28" t="s">
        <v>83</v>
      </c>
      <c r="R162" s="32"/>
      <c r="S162" s="27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T162" s="27" t="s">
        <v>243</v>
      </c>
      <c r="U162" s="26" t="s">
        <v>85</v>
      </c>
      <c r="V162" s="33" t="n">
        <v>350</v>
      </c>
      <c r="W162" s="27"/>
      <c r="X162" s="27" t="str">
        <f aca="false">IF($K162="","출고일 미정",IF($P162="X","작지 미발행",IF($P162="부분","작지 일부 미발행",IF(AND($R162&lt;&gt;"",$R162&gt;$N162),"소재입고 마감("&amp;TEXT($N162,"MM/DD")&amp;") 초과",IF($P162="","발행여부 확인 필요",IF($R162="","소재 입고일정 확인 필요","정상"))))))</f>
        <v>소재 입고일정 확인 필요</v>
      </c>
      <c r="Y162" s="25" t="str">
        <f aca="false">IF($K162="","",IF(OR(LEFT($X162,2)="작지",LEFT($X162,4)="소재입고"),IF(LEFT($G162,1)="S","★ 납기위험(S코드)","◆ 지연주의"),IF($X162="정상","✓ 정상","? 확인필요")))</f>
        <v>? 확인필요</v>
      </c>
      <c r="Z162" s="28"/>
      <c r="AA162" s="34"/>
    </row>
    <row r="163" customFormat="false" ht="15" hidden="false" customHeight="false" outlineLevel="0" collapsed="false">
      <c r="A163" s="25" t="n">
        <v>159</v>
      </c>
      <c r="B163" s="26" t="s">
        <v>224</v>
      </c>
      <c r="C163" s="26" t="s">
        <v>93</v>
      </c>
      <c r="D163" s="27" t="s">
        <v>581</v>
      </c>
      <c r="E163" s="26" t="s">
        <v>582</v>
      </c>
      <c r="F163" s="27" t="s">
        <v>583</v>
      </c>
      <c r="G163" s="25" t="str">
        <f aca="false">IF($D163="","",IF(MID($D163,5,1)="S","S(봄)",IF(MID($D163,5,1)="M","M(여름)",IF(MID($D163,5,1)="X","X(사계절)",MID($D163,5,1)))))</f>
        <v>M(여름)</v>
      </c>
      <c r="H163" s="26" t="s">
        <v>79</v>
      </c>
      <c r="I163" s="25" t="s">
        <v>481</v>
      </c>
      <c r="J163" s="28" t="s">
        <v>541</v>
      </c>
      <c r="K163" s="29" t="n">
        <f aca="false">IF($J163="","",IFERROR(DATE(IF(VALUE(LEFT($J163,FIND("월",$J163)-1))&gt;=9,기준정보!$C$7-1,기준정보!$C$7),VALUE(LEFT($J163,FIND("월",$J163)-1)),1+7*(VALUE(SUBSTITUTE(MID($J163,FIND("월",$J163)+1,5),"주",""))-1)),""))</f>
        <v>46447</v>
      </c>
      <c r="L163" s="29" t="n">
        <f aca="false">IF($K163="","",IF(AND($K163-기준정보!$C$5&gt;=기준정보!$C$10,$K163-기준정보!$C$5&lt;=기준정보!$C$11),기준정보!$C$10-1,$K163-기준정보!$C$5))</f>
        <v>46433</v>
      </c>
      <c r="M163" s="30" t="n">
        <f aca="false">IF($L163="","",IF(OR(ISNUMBER(SEARCH("중국",$U163)),ISNUMBER(SEARCH("베트남",$U163))),MAX(0,MIN($L163,기준정보!$C$9)-MAX($L163-기준정보!$C$6,기준정보!$C$8)+1),IF(ISNUMBER(SEARCH("한국",$U163)),MAX(0,MIN($L163,기준정보!$C$11)-MAX($L163-기준정보!$C$6,기준정보!$C$10)+1),0)))</f>
        <v>15</v>
      </c>
      <c r="N163" s="29" t="n">
        <f aca="false">IF($L163="","",$L163-기준정보!$C$6-$M163)</f>
        <v>46328</v>
      </c>
      <c r="O163" s="31" t="n">
        <f aca="false">IF($N163="","",$N163-기준정보!$C$4)</f>
        <v>86</v>
      </c>
      <c r="P163" s="28" t="s">
        <v>82</v>
      </c>
      <c r="Q163" s="28" t="s">
        <v>83</v>
      </c>
      <c r="R163" s="32"/>
      <c r="S163" s="27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T163" s="26" t="s">
        <v>311</v>
      </c>
      <c r="U163" s="26" t="s">
        <v>85</v>
      </c>
      <c r="V163" s="33" t="n">
        <v>1870</v>
      </c>
      <c r="W163" s="27"/>
      <c r="X163" s="27" t="str">
        <f aca="false">IF($K163="","출고일 미정",IF($P163="X","작지 미발행",IF($P163="부분","작지 일부 미발행",IF(AND($R163&lt;&gt;"",$R163&gt;$N163),"소재입고 마감("&amp;TEXT($N163,"MM/DD")&amp;") 초과",IF($P163="","발행여부 확인 필요",IF($R163="","소재 입고일정 확인 필요","정상"))))))</f>
        <v>소재 입고일정 확인 필요</v>
      </c>
      <c r="Y163" s="25" t="str">
        <f aca="false">IF($K163="","",IF(OR(LEFT($X163,2)="작지",LEFT($X163,4)="소재입고"),IF(LEFT($G163,1)="S","★ 납기위험(S코드)","◆ 지연주의"),IF($X163="정상","✓ 정상","? 확인필요")))</f>
        <v>? 확인필요</v>
      </c>
      <c r="Z163" s="28"/>
      <c r="AA163" s="34"/>
    </row>
    <row r="164" customFormat="false" ht="15" hidden="false" customHeight="false" outlineLevel="0" collapsed="false">
      <c r="A164" s="25" t="n">
        <v>160</v>
      </c>
      <c r="B164" s="26" t="s">
        <v>224</v>
      </c>
      <c r="C164" s="26" t="s">
        <v>93</v>
      </c>
      <c r="D164" s="27" t="s">
        <v>584</v>
      </c>
      <c r="E164" s="26" t="s">
        <v>585</v>
      </c>
      <c r="F164" s="27" t="s">
        <v>586</v>
      </c>
      <c r="G164" s="25" t="str">
        <f aca="false">IF($D164="","",IF(MID($D164,5,1)="S","S(봄)",IF(MID($D164,5,1)="M","M(여름)",IF(MID($D164,5,1)="X","X(사계절)",MID($D164,5,1)))))</f>
        <v>M(여름)</v>
      </c>
      <c r="H164" s="26" t="s">
        <v>79</v>
      </c>
      <c r="I164" s="25" t="s">
        <v>481</v>
      </c>
      <c r="J164" s="28" t="s">
        <v>541</v>
      </c>
      <c r="K164" s="29" t="n">
        <f aca="false">IF($J164="","",IFERROR(DATE(IF(VALUE(LEFT($J164,FIND("월",$J164)-1))&gt;=9,기준정보!$C$7-1,기준정보!$C$7),VALUE(LEFT($J164,FIND("월",$J164)-1)),1+7*(VALUE(SUBSTITUTE(MID($J164,FIND("월",$J164)+1,5),"주",""))-1)),""))</f>
        <v>46447</v>
      </c>
      <c r="L164" s="29" t="n">
        <f aca="false">IF($K164="","",IF(AND($K164-기준정보!$C$5&gt;=기준정보!$C$10,$K164-기준정보!$C$5&lt;=기준정보!$C$11),기준정보!$C$10-1,$K164-기준정보!$C$5))</f>
        <v>46433</v>
      </c>
      <c r="M164" s="30" t="n">
        <f aca="false">IF($L164="","",IF(OR(ISNUMBER(SEARCH("중국",$U164)),ISNUMBER(SEARCH("베트남",$U164))),MAX(0,MIN($L164,기준정보!$C$9)-MAX($L164-기준정보!$C$6,기준정보!$C$8)+1),IF(ISNUMBER(SEARCH("한국",$U164)),MAX(0,MIN($L164,기준정보!$C$11)-MAX($L164-기준정보!$C$6,기준정보!$C$10)+1),0)))</f>
        <v>15</v>
      </c>
      <c r="N164" s="29" t="n">
        <f aca="false">IF($L164="","",$L164-기준정보!$C$6-$M164)</f>
        <v>46328</v>
      </c>
      <c r="O164" s="31" t="n">
        <f aca="false">IF($N164="","",$N164-기준정보!$C$4)</f>
        <v>86</v>
      </c>
      <c r="P164" s="28" t="s">
        <v>82</v>
      </c>
      <c r="Q164" s="28" t="s">
        <v>83</v>
      </c>
      <c r="R164" s="32"/>
      <c r="S164" s="27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T164" s="26" t="s">
        <v>311</v>
      </c>
      <c r="U164" s="26" t="s">
        <v>85</v>
      </c>
      <c r="V164" s="33" t="n">
        <v>500</v>
      </c>
      <c r="W164" s="27"/>
      <c r="X164" s="27" t="str">
        <f aca="false">IF($K164="","출고일 미정",IF($P164="X","작지 미발행",IF($P164="부분","작지 일부 미발행",IF(AND($R164&lt;&gt;"",$R164&gt;$N164),"소재입고 마감("&amp;TEXT($N164,"MM/DD")&amp;") 초과",IF($P164="","발행여부 확인 필요",IF($R164="","소재 입고일정 확인 필요","정상"))))))</f>
        <v>소재 입고일정 확인 필요</v>
      </c>
      <c r="Y164" s="25" t="str">
        <f aca="false">IF($K164="","",IF(OR(LEFT($X164,2)="작지",LEFT($X164,4)="소재입고"),IF(LEFT($G164,1)="S","★ 납기위험(S코드)","◆ 지연주의"),IF($X164="정상","✓ 정상","? 확인필요")))</f>
        <v>? 확인필요</v>
      </c>
      <c r="Z164" s="28"/>
      <c r="AA164" s="34"/>
    </row>
    <row r="165" customFormat="false" ht="15" hidden="false" customHeight="false" outlineLevel="0" collapsed="false">
      <c r="A165" s="25" t="n">
        <v>161</v>
      </c>
      <c r="B165" s="26" t="s">
        <v>224</v>
      </c>
      <c r="C165" s="26" t="s">
        <v>93</v>
      </c>
      <c r="D165" s="27" t="s">
        <v>587</v>
      </c>
      <c r="E165" s="26" t="s">
        <v>588</v>
      </c>
      <c r="F165" s="27" t="s">
        <v>160</v>
      </c>
      <c r="G165" s="25" t="str">
        <f aca="false">IF($D165="","",IF(MID($D165,5,1)="S","S(봄)",IF(MID($D165,5,1)="M","M(여름)",IF(MID($D165,5,1)="X","X(사계절)",MID($D165,5,1)))))</f>
        <v>M(여름)</v>
      </c>
      <c r="H165" s="26" t="s">
        <v>79</v>
      </c>
      <c r="I165" s="25" t="s">
        <v>481</v>
      </c>
      <c r="J165" s="28" t="s">
        <v>541</v>
      </c>
      <c r="K165" s="29" t="n">
        <f aca="false">IF($J165="","",IFERROR(DATE(IF(VALUE(LEFT($J165,FIND("월",$J165)-1))&gt;=9,기준정보!$C$7-1,기준정보!$C$7),VALUE(LEFT($J165,FIND("월",$J165)-1)),1+7*(VALUE(SUBSTITUTE(MID($J165,FIND("월",$J165)+1,5),"주",""))-1)),""))</f>
        <v>46447</v>
      </c>
      <c r="L165" s="29" t="n">
        <f aca="false">IF($K165="","",IF(AND($K165-기준정보!$C$5&gt;=기준정보!$C$10,$K165-기준정보!$C$5&lt;=기준정보!$C$11),기준정보!$C$10-1,$K165-기준정보!$C$5))</f>
        <v>46433</v>
      </c>
      <c r="M165" s="30" t="n">
        <f aca="false">IF($L165="","",IF(OR(ISNUMBER(SEARCH("중국",$U165)),ISNUMBER(SEARCH("베트남",$U165))),MAX(0,MIN($L165,기준정보!$C$9)-MAX($L165-기준정보!$C$6,기준정보!$C$8)+1),IF(ISNUMBER(SEARCH("한국",$U165)),MAX(0,MIN($L165,기준정보!$C$11)-MAX($L165-기준정보!$C$6,기준정보!$C$10)+1),0)))</f>
        <v>15</v>
      </c>
      <c r="N165" s="29" t="n">
        <f aca="false">IF($L165="","",$L165-기준정보!$C$6-$M165)</f>
        <v>46328</v>
      </c>
      <c r="O165" s="31" t="n">
        <f aca="false">IF($N165="","",$N165-기준정보!$C$4)</f>
        <v>86</v>
      </c>
      <c r="P165" s="28" t="s">
        <v>82</v>
      </c>
      <c r="Q165" s="28" t="s">
        <v>83</v>
      </c>
      <c r="R165" s="32"/>
      <c r="S165" s="27" t="str">
        <f aca="false">IF($H165="","",IF(AND(ISNUMBER(SEARCH("CMT",$H165)),OR(ISNUMBER(SEARCH("완사입",$H165)),ISNUMBER(SEARCH("ODM",$H165)))),"본사/생산처 혼재",IF(ISNUMBER(SEARCH("CMT",$H165)),"본사(소재팀)","생산처")))</f>
        <v>생산처</v>
      </c>
      <c r="T165" s="26" t="s">
        <v>311</v>
      </c>
      <c r="U165" s="26" t="s">
        <v>85</v>
      </c>
      <c r="V165" s="33" t="n">
        <v>900</v>
      </c>
      <c r="W165" s="27"/>
      <c r="X165" s="27" t="str">
        <f aca="false">IF($K165="","출고일 미정",IF($P165="X","작지 미발행",IF($P165="부분","작지 일부 미발행",IF(AND($R165&lt;&gt;"",$R165&gt;$N165),"소재입고 마감("&amp;TEXT($N165,"MM/DD")&amp;") 초과",IF($P165="","발행여부 확인 필요",IF($R165="","소재 입고일정 확인 필요","정상"))))))</f>
        <v>소재 입고일정 확인 필요</v>
      </c>
      <c r="Y165" s="25" t="str">
        <f aca="false">IF($K165="","",IF(OR(LEFT($X165,2)="작지",LEFT($X165,4)="소재입고"),IF(LEFT($G165,1)="S","★ 납기위험(S코드)","◆ 지연주의"),IF($X165="정상","✓ 정상","? 확인필요")))</f>
        <v>? 확인필요</v>
      </c>
      <c r="Z165" s="28"/>
      <c r="AA165" s="34"/>
    </row>
    <row r="166" customFormat="false" ht="15" hidden="false" customHeight="false" outlineLevel="0" collapsed="false">
      <c r="A166" s="25" t="n">
        <v>162</v>
      </c>
      <c r="B166" s="26" t="s">
        <v>224</v>
      </c>
      <c r="C166" s="26" t="s">
        <v>566</v>
      </c>
      <c r="D166" s="27" t="s">
        <v>589</v>
      </c>
      <c r="E166" s="26" t="s">
        <v>590</v>
      </c>
      <c r="F166" s="27" t="s">
        <v>591</v>
      </c>
      <c r="G166" s="25" t="str">
        <f aca="false">IF($D166="","",IF(MID($D166,5,1)="S","S(봄)",IF(MID($D166,5,1)="M","M(여름)",IF(MID($D166,5,1)="X","X(사계절)",MID($D166,5,1)))))</f>
        <v>M(여름)</v>
      </c>
      <c r="H166" s="26" t="s">
        <v>79</v>
      </c>
      <c r="I166" s="25" t="s">
        <v>481</v>
      </c>
      <c r="J166" s="28" t="s">
        <v>541</v>
      </c>
      <c r="K166" s="29" t="n">
        <f aca="false">IF($J166="","",IFERROR(DATE(IF(VALUE(LEFT($J166,FIND("월",$J166)-1))&gt;=9,기준정보!$C$7-1,기준정보!$C$7),VALUE(LEFT($J166,FIND("월",$J166)-1)),1+7*(VALUE(SUBSTITUTE(MID($J166,FIND("월",$J166)+1,5),"주",""))-1)),""))</f>
        <v>46447</v>
      </c>
      <c r="L166" s="29" t="n">
        <f aca="false">IF($K166="","",IF(AND($K166-기준정보!$C$5&gt;=기준정보!$C$10,$K166-기준정보!$C$5&lt;=기준정보!$C$11),기준정보!$C$10-1,$K166-기준정보!$C$5))</f>
        <v>46433</v>
      </c>
      <c r="M166" s="30" t="n">
        <f aca="false">IF($L166="","",IF(OR(ISNUMBER(SEARCH("중국",$U166)),ISNUMBER(SEARCH("베트남",$U166))),MAX(0,MIN($L166,기준정보!$C$9)-MAX($L166-기준정보!$C$6,기준정보!$C$8)+1),IF(ISNUMBER(SEARCH("한국",$U166)),MAX(0,MIN($L166,기준정보!$C$11)-MAX($L166-기준정보!$C$6,기준정보!$C$10)+1),0)))</f>
        <v>15</v>
      </c>
      <c r="N166" s="29" t="n">
        <f aca="false">IF($L166="","",$L166-기준정보!$C$6-$M166)</f>
        <v>46328</v>
      </c>
      <c r="O166" s="31" t="n">
        <f aca="false">IF($N166="","",$N166-기준정보!$C$4)</f>
        <v>86</v>
      </c>
      <c r="P166" s="28" t="s">
        <v>82</v>
      </c>
      <c r="Q166" s="28" t="s">
        <v>83</v>
      </c>
      <c r="R166" s="32"/>
      <c r="S166" s="27" t="str">
        <f aca="false">IF($H166="","",IF(AND(ISNUMBER(SEARCH("CMT",$H166)),OR(ISNUMBER(SEARCH("완사입",$H166)),ISNUMBER(SEARCH("ODM",$H166)))),"본사/생산처 혼재",IF(ISNUMBER(SEARCH("CMT",$H166)),"본사(소재팀)","생산처")))</f>
        <v>생산처</v>
      </c>
      <c r="T166" s="26" t="s">
        <v>84</v>
      </c>
      <c r="U166" s="26" t="s">
        <v>85</v>
      </c>
      <c r="V166" s="33" t="n">
        <v>300</v>
      </c>
      <c r="W166" s="27"/>
      <c r="X166" s="27" t="str">
        <f aca="false">IF($K166="","출고일 미정",IF($P166="X","작지 미발행",IF($P166="부분","작지 일부 미발행",IF(AND($R166&lt;&gt;"",$R166&gt;$N166),"소재입고 마감("&amp;TEXT($N166,"MM/DD")&amp;") 초과",IF($P166="","발행여부 확인 필요",IF($R166="","소재 입고일정 확인 필요","정상"))))))</f>
        <v>소재 입고일정 확인 필요</v>
      </c>
      <c r="Y166" s="25" t="str">
        <f aca="false">IF($K166="","",IF(OR(LEFT($X166,2)="작지",LEFT($X166,4)="소재입고"),IF(LEFT($G166,1)="S","★ 납기위험(S코드)","◆ 지연주의"),IF($X166="정상","✓ 정상","? 확인필요")))</f>
        <v>? 확인필요</v>
      </c>
      <c r="Z166" s="28"/>
      <c r="AA166" s="34"/>
    </row>
    <row r="167" customFormat="false" ht="15" hidden="false" customHeight="false" outlineLevel="0" collapsed="false">
      <c r="A167" s="25" t="n">
        <v>163</v>
      </c>
      <c r="B167" s="26" t="s">
        <v>224</v>
      </c>
      <c r="C167" s="26" t="s">
        <v>566</v>
      </c>
      <c r="D167" s="27" t="s">
        <v>592</v>
      </c>
      <c r="E167" s="26" t="s">
        <v>593</v>
      </c>
      <c r="F167" s="27" t="s">
        <v>572</v>
      </c>
      <c r="G167" s="25" t="str">
        <f aca="false">IF($D167="","",IF(MID($D167,5,1)="S","S(봄)",IF(MID($D167,5,1)="M","M(여름)",IF(MID($D167,5,1)="X","X(사계절)",MID($D167,5,1)))))</f>
        <v>M(여름)</v>
      </c>
      <c r="H167" s="26" t="s">
        <v>79</v>
      </c>
      <c r="I167" s="25" t="s">
        <v>481</v>
      </c>
      <c r="J167" s="28" t="s">
        <v>541</v>
      </c>
      <c r="K167" s="29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46447</v>
      </c>
      <c r="L167" s="29" t="n">
        <f aca="false">IF($K167="","",IF(AND($K167-기준정보!$C$5&gt;=기준정보!$C$10,$K167-기준정보!$C$5&lt;=기준정보!$C$11),기준정보!$C$10-1,$K167-기준정보!$C$5))</f>
        <v>46433</v>
      </c>
      <c r="M167" s="30" t="n">
        <f aca="false">IF($L167="","",IF(OR(ISNUMBER(SEARCH("중국",$U167)),ISNUMBER(SEARCH("베트남",$U167))),MAX(0,MIN($L167,기준정보!$C$9)-MAX($L167-기준정보!$C$6,기준정보!$C$8)+1),IF(ISNUMBER(SEARCH("한국",$U167)),MAX(0,MIN($L167,기준정보!$C$11)-MAX($L167-기준정보!$C$6,기준정보!$C$10)+1),0)))</f>
        <v>15</v>
      </c>
      <c r="N167" s="29" t="n">
        <f aca="false">IF($L167="","",$L167-기준정보!$C$6-$M167)</f>
        <v>46328</v>
      </c>
      <c r="O167" s="31" t="n">
        <f aca="false">IF($N167="","",$N167-기준정보!$C$4)</f>
        <v>86</v>
      </c>
      <c r="P167" s="28" t="s">
        <v>82</v>
      </c>
      <c r="Q167" s="28" t="s">
        <v>83</v>
      </c>
      <c r="R167" s="32"/>
      <c r="S167" s="27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T167" s="26" t="s">
        <v>84</v>
      </c>
      <c r="U167" s="26" t="s">
        <v>85</v>
      </c>
      <c r="V167" s="33" t="n">
        <v>300</v>
      </c>
      <c r="W167" s="27"/>
      <c r="X167" s="27" t="str">
        <f aca="false">IF($K167="","출고일 미정",IF($P167="X","작지 미발행",IF($P167="부분","작지 일부 미발행",IF(AND($R167&lt;&gt;"",$R167&gt;$N167),"소재입고 마감("&amp;TEXT($N167,"MM/DD")&amp;") 초과",IF($P167="","발행여부 확인 필요",IF($R167="","소재 입고일정 확인 필요","정상"))))))</f>
        <v>소재 입고일정 확인 필요</v>
      </c>
      <c r="Y167" s="25" t="str">
        <f aca="false">IF($K167="","",IF(OR(LEFT($X167,2)="작지",LEFT($X167,4)="소재입고"),IF(LEFT($G167,1)="S","★ 납기위험(S코드)","◆ 지연주의"),IF($X167="정상","✓ 정상","? 확인필요")))</f>
        <v>? 확인필요</v>
      </c>
      <c r="Z167" s="28"/>
      <c r="AA167" s="34"/>
    </row>
    <row r="168" customFormat="false" ht="15" hidden="false" customHeight="false" outlineLevel="0" collapsed="false">
      <c r="A168" s="25" t="n">
        <v>164</v>
      </c>
      <c r="B168" s="26" t="s">
        <v>253</v>
      </c>
      <c r="C168" s="26" t="s">
        <v>262</v>
      </c>
      <c r="D168" s="27" t="s">
        <v>594</v>
      </c>
      <c r="E168" s="26" t="s">
        <v>595</v>
      </c>
      <c r="F168" s="27" t="s">
        <v>596</v>
      </c>
      <c r="G168" s="25" t="str">
        <f aca="false">IF($D168="","",IF(MID($D168,5,1)="S","S(봄)",IF(MID($D168,5,1)="M","M(여름)",IF(MID($D168,5,1)="X","X(사계절)",MID($D168,5,1)))))</f>
        <v>M(여름)</v>
      </c>
      <c r="H168" s="27" t="s">
        <v>209</v>
      </c>
      <c r="I168" s="25"/>
      <c r="J168" s="28" t="s">
        <v>541</v>
      </c>
      <c r="K168" s="29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46447</v>
      </c>
      <c r="L168" s="29" t="n">
        <f aca="false">IF($K168="","",IF(AND($K168-기준정보!$C$5&gt;=기준정보!$C$10,$K168-기준정보!$C$5&lt;=기준정보!$C$11),기준정보!$C$10-1,$K168-기준정보!$C$5))</f>
        <v>46433</v>
      </c>
      <c r="M168" s="30" t="n">
        <f aca="false">IF($L168="","",IF(OR(ISNUMBER(SEARCH("중국",$U168)),ISNUMBER(SEARCH("베트남",$U168))),MAX(0,MIN($L168,기준정보!$C$9)-MAX($L168-기준정보!$C$6,기준정보!$C$8)+1),IF(ISNUMBER(SEARCH("한국",$U168)),MAX(0,MIN($L168,기준정보!$C$11)-MAX($L168-기준정보!$C$6,기준정보!$C$10)+1),0)))</f>
        <v>15</v>
      </c>
      <c r="N168" s="29" t="n">
        <f aca="false">IF($L168="","",$L168-기준정보!$C$6-$M168)</f>
        <v>46328</v>
      </c>
      <c r="O168" s="31" t="n">
        <f aca="false">IF($N168="","",$N168-기준정보!$C$4)</f>
        <v>86</v>
      </c>
      <c r="P168" s="28" t="s">
        <v>82</v>
      </c>
      <c r="Q168" s="28" t="s">
        <v>83</v>
      </c>
      <c r="R168" s="32"/>
      <c r="S168" s="27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T168" s="27" t="s">
        <v>149</v>
      </c>
      <c r="U168" s="26" t="s">
        <v>85</v>
      </c>
      <c r="V168" s="33" t="n">
        <v>5000</v>
      </c>
      <c r="W168" s="27" t="s">
        <v>541</v>
      </c>
      <c r="X168" s="27" t="str">
        <f aca="false">IF($K168="","출고일 미정",IF($P168="X","작지 미발행",IF($P168="부분","작지 일부 미발행",IF(AND($R168&lt;&gt;"",$R168&gt;$N168),"소재입고 마감("&amp;TEXT($N168,"MM/DD")&amp;") 초과",IF($P168="","발행여부 확인 필요",IF($R168="","소재 입고일정 확인 필요","정상"))))))</f>
        <v>소재 입고일정 확인 필요</v>
      </c>
      <c r="Y168" s="25" t="str">
        <f aca="false">IF($K168="","",IF(OR(LEFT($X168,2)="작지",LEFT($X168,4)="소재입고"),IF(LEFT($G168,1)="S","★ 납기위험(S코드)","◆ 지연주의"),IF($X168="정상","✓ 정상","? 확인필요")))</f>
        <v>? 확인필요</v>
      </c>
      <c r="Z168" s="28"/>
      <c r="AA168" s="34"/>
    </row>
    <row r="169" customFormat="false" ht="15" hidden="false" customHeight="false" outlineLevel="0" collapsed="false">
      <c r="A169" s="25" t="n">
        <v>165</v>
      </c>
      <c r="B169" s="26" t="s">
        <v>253</v>
      </c>
      <c r="C169" s="26" t="s">
        <v>262</v>
      </c>
      <c r="D169" s="27" t="s">
        <v>597</v>
      </c>
      <c r="E169" s="26" t="s">
        <v>598</v>
      </c>
      <c r="F169" s="27" t="s">
        <v>599</v>
      </c>
      <c r="G169" s="25" t="str">
        <f aca="false">IF($D169="","",IF(MID($D169,5,1)="S","S(봄)",IF(MID($D169,5,1)="M","M(여름)",IF(MID($D169,5,1)="X","X(사계절)",MID($D169,5,1)))))</f>
        <v>M(여름)</v>
      </c>
      <c r="H169" s="27" t="s">
        <v>209</v>
      </c>
      <c r="I169" s="25"/>
      <c r="J169" s="28" t="s">
        <v>541</v>
      </c>
      <c r="K169" s="29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46447</v>
      </c>
      <c r="L169" s="29" t="n">
        <f aca="false">IF($K169="","",IF(AND($K169-기준정보!$C$5&gt;=기준정보!$C$10,$K169-기준정보!$C$5&lt;=기준정보!$C$11),기준정보!$C$10-1,$K169-기준정보!$C$5))</f>
        <v>46433</v>
      </c>
      <c r="M169" s="30" t="n">
        <f aca="false">IF($L169="","",IF(OR(ISNUMBER(SEARCH("중국",$U169)),ISNUMBER(SEARCH("베트남",$U169))),MAX(0,MIN($L169,기준정보!$C$9)-MAX($L169-기준정보!$C$6,기준정보!$C$8)+1),IF(ISNUMBER(SEARCH("한국",$U169)),MAX(0,MIN($L169,기준정보!$C$11)-MAX($L169-기준정보!$C$6,기준정보!$C$10)+1),0)))</f>
        <v>15</v>
      </c>
      <c r="N169" s="29" t="n">
        <f aca="false">IF($L169="","",$L169-기준정보!$C$6-$M169)</f>
        <v>46328</v>
      </c>
      <c r="O169" s="31" t="n">
        <f aca="false">IF($N169="","",$N169-기준정보!$C$4)</f>
        <v>86</v>
      </c>
      <c r="P169" s="28" t="s">
        <v>82</v>
      </c>
      <c r="Q169" s="28" t="s">
        <v>83</v>
      </c>
      <c r="R169" s="32"/>
      <c r="S169" s="27" t="str">
        <f aca="false">IF($H169="","",IF(AND(ISNUMBER(SEARCH("CMT",$H169)),OR(ISNUMBER(SEARCH("완사입",$H169)),ISNUMBER(SEARCH("ODM",$H169)))),"본사/생산처 혼재",IF(ISNUMBER(SEARCH("CMT",$H169)),"본사(소재팀)","생산처")))</f>
        <v>본사(소재팀)</v>
      </c>
      <c r="T169" s="27" t="s">
        <v>149</v>
      </c>
      <c r="U169" s="26" t="s">
        <v>85</v>
      </c>
      <c r="V169" s="33" t="n">
        <v>3000</v>
      </c>
      <c r="W169" s="27" t="s">
        <v>541</v>
      </c>
      <c r="X169" s="27" t="str">
        <f aca="false">IF($K169="","출고일 미정",IF($P169="X","작지 미발행",IF($P169="부분","작지 일부 미발행",IF(AND($R169&lt;&gt;"",$R169&gt;$N169),"소재입고 마감("&amp;TEXT($N169,"MM/DD")&amp;") 초과",IF($P169="","발행여부 확인 필요",IF($R169="","소재 입고일정 확인 필요","정상"))))))</f>
        <v>소재 입고일정 확인 필요</v>
      </c>
      <c r="Y169" s="25" t="str">
        <f aca="false">IF($K169="","",IF(OR(LEFT($X169,2)="작지",LEFT($X169,4)="소재입고"),IF(LEFT($G169,1)="S","★ 납기위험(S코드)","◆ 지연주의"),IF($X169="정상","✓ 정상","? 확인필요")))</f>
        <v>? 확인필요</v>
      </c>
      <c r="Z169" s="28"/>
      <c r="AA169" s="34"/>
    </row>
    <row r="170" customFormat="false" ht="15" hidden="false" customHeight="false" outlineLevel="0" collapsed="false">
      <c r="A170" s="25" t="n">
        <v>166</v>
      </c>
      <c r="B170" s="26" t="s">
        <v>253</v>
      </c>
      <c r="C170" s="26" t="s">
        <v>262</v>
      </c>
      <c r="D170" s="27" t="s">
        <v>600</v>
      </c>
      <c r="E170" s="26" t="s">
        <v>601</v>
      </c>
      <c r="F170" s="27" t="s">
        <v>602</v>
      </c>
      <c r="G170" s="25" t="str">
        <f aca="false">IF($D170="","",IF(MID($D170,5,1)="S","S(봄)",IF(MID($D170,5,1)="M","M(여름)",IF(MID($D170,5,1)="X","X(사계절)",MID($D170,5,1)))))</f>
        <v>M(여름)</v>
      </c>
      <c r="H170" s="27" t="s">
        <v>209</v>
      </c>
      <c r="I170" s="25"/>
      <c r="J170" s="28" t="s">
        <v>541</v>
      </c>
      <c r="K170" s="29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46447</v>
      </c>
      <c r="L170" s="29" t="n">
        <f aca="false">IF($K170="","",IF(AND($K170-기준정보!$C$5&gt;=기준정보!$C$10,$K170-기준정보!$C$5&lt;=기준정보!$C$11),기준정보!$C$10-1,$K170-기준정보!$C$5))</f>
        <v>46433</v>
      </c>
      <c r="M170" s="30" t="n">
        <f aca="false">IF($L170="","",IF(OR(ISNUMBER(SEARCH("중국",$U170)),ISNUMBER(SEARCH("베트남",$U170))),MAX(0,MIN($L170,기준정보!$C$9)-MAX($L170-기준정보!$C$6,기준정보!$C$8)+1),IF(ISNUMBER(SEARCH("한국",$U170)),MAX(0,MIN($L170,기준정보!$C$11)-MAX($L170-기준정보!$C$6,기준정보!$C$10)+1),0)))</f>
        <v>15</v>
      </c>
      <c r="N170" s="29" t="n">
        <f aca="false">IF($L170="","",$L170-기준정보!$C$6-$M170)</f>
        <v>46328</v>
      </c>
      <c r="O170" s="31" t="n">
        <f aca="false">IF($N170="","",$N170-기준정보!$C$4)</f>
        <v>86</v>
      </c>
      <c r="P170" s="28" t="s">
        <v>82</v>
      </c>
      <c r="Q170" s="28" t="s">
        <v>83</v>
      </c>
      <c r="R170" s="32"/>
      <c r="S170" s="27" t="str">
        <f aca="false">IF($H170="","",IF(AND(ISNUMBER(SEARCH("CMT",$H170)),OR(ISNUMBER(SEARCH("완사입",$H170)),ISNUMBER(SEARCH("ODM",$H170)))),"본사/생산처 혼재",IF(ISNUMBER(SEARCH("CMT",$H170)),"본사(소재팀)","생산처")))</f>
        <v>본사(소재팀)</v>
      </c>
      <c r="T170" s="27" t="s">
        <v>235</v>
      </c>
      <c r="U170" s="26" t="s">
        <v>85</v>
      </c>
      <c r="V170" s="33" t="n">
        <v>3000</v>
      </c>
      <c r="W170" s="27" t="s">
        <v>541</v>
      </c>
      <c r="X170" s="27" t="str">
        <f aca="false">IF($K170="","출고일 미정",IF($P170="X","작지 미발행",IF($P170="부분","작지 일부 미발행",IF(AND($R170&lt;&gt;"",$R170&gt;$N170),"소재입고 마감("&amp;TEXT($N170,"MM/DD")&amp;") 초과",IF($P170="","발행여부 확인 필요",IF($R170="","소재 입고일정 확인 필요","정상"))))))</f>
        <v>소재 입고일정 확인 필요</v>
      </c>
      <c r="Y170" s="25" t="str">
        <f aca="false">IF($K170="","",IF(OR(LEFT($X170,2)="작지",LEFT($X170,4)="소재입고"),IF(LEFT($G170,1)="S","★ 납기위험(S코드)","◆ 지연주의"),IF($X170="정상","✓ 정상","? 확인필요")))</f>
        <v>? 확인필요</v>
      </c>
      <c r="Z170" s="28"/>
      <c r="AA170" s="34"/>
    </row>
    <row r="171" customFormat="false" ht="15" hidden="false" customHeight="false" outlineLevel="0" collapsed="false">
      <c r="A171" s="25" t="n">
        <v>167</v>
      </c>
      <c r="B171" s="26" t="s">
        <v>253</v>
      </c>
      <c r="C171" s="26" t="s">
        <v>262</v>
      </c>
      <c r="D171" s="27" t="s">
        <v>603</v>
      </c>
      <c r="E171" s="26" t="s">
        <v>604</v>
      </c>
      <c r="F171" s="27" t="s">
        <v>390</v>
      </c>
      <c r="G171" s="25" t="str">
        <f aca="false">IF($D171="","",IF(MID($D171,5,1)="S","S(봄)",IF(MID($D171,5,1)="M","M(여름)",IF(MID($D171,5,1)="X","X(사계절)",MID($D171,5,1)))))</f>
        <v>M(여름)</v>
      </c>
      <c r="H171" s="26" t="s">
        <v>79</v>
      </c>
      <c r="I171" s="25"/>
      <c r="J171" s="28" t="s">
        <v>541</v>
      </c>
      <c r="K171" s="29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46447</v>
      </c>
      <c r="L171" s="29" t="n">
        <f aca="false">IF($K171="","",IF(AND($K171-기준정보!$C$5&gt;=기준정보!$C$10,$K171-기준정보!$C$5&lt;=기준정보!$C$11),기준정보!$C$10-1,$K171-기준정보!$C$5))</f>
        <v>46433</v>
      </c>
      <c r="M171" s="30" t="n">
        <f aca="false">IF($L171="","",IF(OR(ISNUMBER(SEARCH("중국",$U171)),ISNUMBER(SEARCH("베트남",$U171))),MAX(0,MIN($L171,기준정보!$C$9)-MAX($L171-기준정보!$C$6,기준정보!$C$8)+1),IF(ISNUMBER(SEARCH("한국",$U171)),MAX(0,MIN($L171,기준정보!$C$11)-MAX($L171-기준정보!$C$6,기준정보!$C$10)+1),0)))</f>
        <v>15</v>
      </c>
      <c r="N171" s="29" t="n">
        <f aca="false">IF($L171="","",$L171-기준정보!$C$6-$M171)</f>
        <v>46328</v>
      </c>
      <c r="O171" s="31" t="n">
        <f aca="false">IF($N171="","",$N171-기준정보!$C$4)</f>
        <v>86</v>
      </c>
      <c r="P171" s="28" t="s">
        <v>82</v>
      </c>
      <c r="Q171" s="28" t="s">
        <v>83</v>
      </c>
      <c r="R171" s="32"/>
      <c r="S171" s="27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T171" s="26" t="s">
        <v>391</v>
      </c>
      <c r="U171" s="26" t="s">
        <v>85</v>
      </c>
      <c r="V171" s="33" t="n">
        <v>1200</v>
      </c>
      <c r="W171" s="27" t="s">
        <v>541</v>
      </c>
      <c r="X171" s="27" t="str">
        <f aca="false">IF($K171="","출고일 미정",IF($P171="X","작지 미발행",IF($P171="부분","작지 일부 미발행",IF(AND($R171&lt;&gt;"",$R171&gt;$N171),"소재입고 마감("&amp;TEXT($N171,"MM/DD")&amp;") 초과",IF($P171="","발행여부 확인 필요",IF($R171="","소재 입고일정 확인 필요","정상"))))))</f>
        <v>소재 입고일정 확인 필요</v>
      </c>
      <c r="Y171" s="25" t="str">
        <f aca="false">IF($K171="","",IF(OR(LEFT($X171,2)="작지",LEFT($X171,4)="소재입고"),IF(LEFT($G171,1)="S","★ 납기위험(S코드)","◆ 지연주의"),IF($X171="정상","✓ 정상","? 확인필요")))</f>
        <v>? 확인필요</v>
      </c>
      <c r="Z171" s="28"/>
      <c r="AA171" s="34"/>
    </row>
    <row r="172" customFormat="false" ht="15" hidden="false" customHeight="false" outlineLevel="0" collapsed="false">
      <c r="A172" s="25" t="n">
        <v>168</v>
      </c>
      <c r="B172" s="26" t="s">
        <v>224</v>
      </c>
      <c r="C172" s="26" t="s">
        <v>93</v>
      </c>
      <c r="D172" s="27" t="s">
        <v>605</v>
      </c>
      <c r="E172" s="26" t="s">
        <v>606</v>
      </c>
      <c r="F172" s="27" t="s">
        <v>160</v>
      </c>
      <c r="G172" s="25" t="str">
        <f aca="false">IF($D172="","",IF(MID($D172,5,1)="S","S(봄)",IF(MID($D172,5,1)="M","M(여름)",IF(MID($D172,5,1)="X","X(사계절)",MID($D172,5,1)))))</f>
        <v>M(여름)</v>
      </c>
      <c r="H172" s="26" t="s">
        <v>79</v>
      </c>
      <c r="I172" s="25" t="s">
        <v>481</v>
      </c>
      <c r="J172" s="28" t="s">
        <v>541</v>
      </c>
      <c r="K172" s="29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46447</v>
      </c>
      <c r="L172" s="29" t="n">
        <f aca="false">IF($K172="","",IF(AND($K172-기준정보!$C$5&gt;=기준정보!$C$10,$K172-기준정보!$C$5&lt;=기준정보!$C$11),기준정보!$C$10-1,$K172-기준정보!$C$5))</f>
        <v>46433</v>
      </c>
      <c r="M172" s="30" t="n">
        <f aca="false">IF($L172="","",IF(OR(ISNUMBER(SEARCH("중국",$U172)),ISNUMBER(SEARCH("베트남",$U172))),MAX(0,MIN($L172,기준정보!$C$9)-MAX($L172-기준정보!$C$6,기준정보!$C$8)+1),IF(ISNUMBER(SEARCH("한국",$U172)),MAX(0,MIN($L172,기준정보!$C$11)-MAX($L172-기준정보!$C$6,기준정보!$C$10)+1),0)))</f>
        <v>15</v>
      </c>
      <c r="N172" s="29" t="n">
        <f aca="false">IF($L172="","",$L172-기준정보!$C$6-$M172)</f>
        <v>46328</v>
      </c>
      <c r="O172" s="31" t="n">
        <f aca="false">IF($N172="","",$N172-기준정보!$C$4)</f>
        <v>86</v>
      </c>
      <c r="P172" s="28" t="s">
        <v>82</v>
      </c>
      <c r="Q172" s="28" t="s">
        <v>83</v>
      </c>
      <c r="R172" s="32"/>
      <c r="S172" s="27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T172" s="27" t="s">
        <v>149</v>
      </c>
      <c r="U172" s="26" t="s">
        <v>85</v>
      </c>
      <c r="V172" s="33" t="n">
        <v>500</v>
      </c>
      <c r="W172" s="27"/>
      <c r="X172" s="27" t="str">
        <f aca="false">IF($K172="","출고일 미정",IF($P172="X","작지 미발행",IF($P172="부분","작지 일부 미발행",IF(AND($R172&lt;&gt;"",$R172&gt;$N172),"소재입고 마감("&amp;TEXT($N172,"MM/DD")&amp;") 초과",IF($P172="","발행여부 확인 필요",IF($R172="","소재 입고일정 확인 필요","정상"))))))</f>
        <v>소재 입고일정 확인 필요</v>
      </c>
      <c r="Y172" s="25" t="str">
        <f aca="false">IF($K172="","",IF(OR(LEFT($X172,2)="작지",LEFT($X172,4)="소재입고"),IF(LEFT($G172,1)="S","★ 납기위험(S코드)","◆ 지연주의"),IF($X172="정상","✓ 정상","? 확인필요")))</f>
        <v>? 확인필요</v>
      </c>
      <c r="Z172" s="28"/>
      <c r="AA172" s="34"/>
    </row>
    <row r="173" customFormat="false" ht="15" hidden="false" customHeight="false" outlineLevel="0" collapsed="false">
      <c r="A173" s="25" t="n">
        <v>169</v>
      </c>
      <c r="B173" s="26" t="s">
        <v>224</v>
      </c>
      <c r="C173" s="26" t="s">
        <v>93</v>
      </c>
      <c r="D173" s="27" t="s">
        <v>607</v>
      </c>
      <c r="E173" s="26" t="s">
        <v>608</v>
      </c>
      <c r="F173" s="27" t="s">
        <v>580</v>
      </c>
      <c r="G173" s="25" t="str">
        <f aca="false">IF($D173="","",IF(MID($D173,5,1)="S","S(봄)",IF(MID($D173,5,1)="M","M(여름)",IF(MID($D173,5,1)="X","X(사계절)",MID($D173,5,1)))))</f>
        <v>M(여름)</v>
      </c>
      <c r="H173" s="26" t="s">
        <v>79</v>
      </c>
      <c r="I173" s="25" t="s">
        <v>481</v>
      </c>
      <c r="J173" s="28" t="s">
        <v>541</v>
      </c>
      <c r="K173" s="29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46447</v>
      </c>
      <c r="L173" s="29" t="n">
        <f aca="false">IF($K173="","",IF(AND($K173-기준정보!$C$5&gt;=기준정보!$C$10,$K173-기준정보!$C$5&lt;=기준정보!$C$11),기준정보!$C$10-1,$K173-기준정보!$C$5))</f>
        <v>46433</v>
      </c>
      <c r="M173" s="30" t="n">
        <f aca="false">IF($L173="","",IF(OR(ISNUMBER(SEARCH("중국",$U173)),ISNUMBER(SEARCH("베트남",$U173))),MAX(0,MIN($L173,기준정보!$C$9)-MAX($L173-기준정보!$C$6,기준정보!$C$8)+1),IF(ISNUMBER(SEARCH("한국",$U173)),MAX(0,MIN($L173,기준정보!$C$11)-MAX($L173-기준정보!$C$6,기준정보!$C$10)+1),0)))</f>
        <v>15</v>
      </c>
      <c r="N173" s="29" t="n">
        <f aca="false">IF($L173="","",$L173-기준정보!$C$6-$M173)</f>
        <v>46328</v>
      </c>
      <c r="O173" s="31" t="n">
        <f aca="false">IF($N173="","",$N173-기준정보!$C$4)</f>
        <v>86</v>
      </c>
      <c r="P173" s="28" t="s">
        <v>82</v>
      </c>
      <c r="Q173" s="28" t="s">
        <v>83</v>
      </c>
      <c r="R173" s="32"/>
      <c r="S173" s="27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T173" s="27" t="s">
        <v>149</v>
      </c>
      <c r="U173" s="26" t="s">
        <v>85</v>
      </c>
      <c r="V173" s="33" t="n">
        <v>500</v>
      </c>
      <c r="W173" s="27"/>
      <c r="X173" s="27" t="str">
        <f aca="false">IF($K173="","출고일 미정",IF($P173="X","작지 미발행",IF($P173="부분","작지 일부 미발행",IF(AND($R173&lt;&gt;"",$R173&gt;$N173),"소재입고 마감("&amp;TEXT($N173,"MM/DD")&amp;") 초과",IF($P173="","발행여부 확인 필요",IF($R173="","소재 입고일정 확인 필요","정상"))))))</f>
        <v>소재 입고일정 확인 필요</v>
      </c>
      <c r="Y173" s="25" t="str">
        <f aca="false">IF($K173="","",IF(OR(LEFT($X173,2)="작지",LEFT($X173,4)="소재입고"),IF(LEFT($G173,1)="S","★ 납기위험(S코드)","◆ 지연주의"),IF($X173="정상","✓ 정상","? 확인필요")))</f>
        <v>? 확인필요</v>
      </c>
      <c r="Z173" s="28"/>
      <c r="AA173" s="34"/>
    </row>
    <row r="174" customFormat="false" ht="15" hidden="false" customHeight="false" outlineLevel="0" collapsed="false">
      <c r="A174" s="25" t="n">
        <v>170</v>
      </c>
      <c r="B174" s="26" t="s">
        <v>224</v>
      </c>
      <c r="C174" s="26" t="s">
        <v>93</v>
      </c>
      <c r="D174" s="27" t="s">
        <v>609</v>
      </c>
      <c r="E174" s="26" t="s">
        <v>610</v>
      </c>
      <c r="F174" s="27" t="s">
        <v>580</v>
      </c>
      <c r="G174" s="25" t="str">
        <f aca="false">IF($D174="","",IF(MID($D174,5,1)="S","S(봄)",IF(MID($D174,5,1)="M","M(여름)",IF(MID($D174,5,1)="X","X(사계절)",MID($D174,5,1)))))</f>
        <v>M(여름)</v>
      </c>
      <c r="H174" s="26" t="s">
        <v>79</v>
      </c>
      <c r="I174" s="25" t="s">
        <v>481</v>
      </c>
      <c r="J174" s="28" t="s">
        <v>541</v>
      </c>
      <c r="K174" s="29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46447</v>
      </c>
      <c r="L174" s="29" t="n">
        <f aca="false">IF($K174="","",IF(AND($K174-기준정보!$C$5&gt;=기준정보!$C$10,$K174-기준정보!$C$5&lt;=기준정보!$C$11),기준정보!$C$10-1,$K174-기준정보!$C$5))</f>
        <v>46433</v>
      </c>
      <c r="M174" s="30" t="n">
        <f aca="false">IF($L174="","",IF(OR(ISNUMBER(SEARCH("중국",$U174)),ISNUMBER(SEARCH("베트남",$U174))),MAX(0,MIN($L174,기준정보!$C$9)-MAX($L174-기준정보!$C$6,기준정보!$C$8)+1),IF(ISNUMBER(SEARCH("한국",$U174)),MAX(0,MIN($L174,기준정보!$C$11)-MAX($L174-기준정보!$C$6,기준정보!$C$10)+1),0)))</f>
        <v>15</v>
      </c>
      <c r="N174" s="29" t="n">
        <f aca="false">IF($L174="","",$L174-기준정보!$C$6-$M174)</f>
        <v>46328</v>
      </c>
      <c r="O174" s="31" t="n">
        <f aca="false">IF($N174="","",$N174-기준정보!$C$4)</f>
        <v>86</v>
      </c>
      <c r="P174" s="28" t="s">
        <v>82</v>
      </c>
      <c r="Q174" s="28" t="s">
        <v>83</v>
      </c>
      <c r="R174" s="32"/>
      <c r="S174" s="27" t="str">
        <f aca="false">IF($H174="","",IF(AND(ISNUMBER(SEARCH("CMT",$H174)),OR(ISNUMBER(SEARCH("완사입",$H174)),ISNUMBER(SEARCH("ODM",$H174)))),"본사/생산처 혼재",IF(ISNUMBER(SEARCH("CMT",$H174)),"본사(소재팀)","생산처")))</f>
        <v>생산처</v>
      </c>
      <c r="T174" s="27" t="s">
        <v>243</v>
      </c>
      <c r="U174" s="26" t="s">
        <v>85</v>
      </c>
      <c r="V174" s="33" t="n">
        <v>250</v>
      </c>
      <c r="W174" s="27"/>
      <c r="X174" s="27" t="str">
        <f aca="false">IF($K174="","출고일 미정",IF($P174="X","작지 미발행",IF($P174="부분","작지 일부 미발행",IF(AND($R174&lt;&gt;"",$R174&gt;$N174),"소재입고 마감("&amp;TEXT($N174,"MM/DD")&amp;") 초과",IF($P174="","발행여부 확인 필요",IF($R174="","소재 입고일정 확인 필요","정상"))))))</f>
        <v>소재 입고일정 확인 필요</v>
      </c>
      <c r="Y174" s="25" t="str">
        <f aca="false">IF($K174="","",IF(OR(LEFT($X174,2)="작지",LEFT($X174,4)="소재입고"),IF(LEFT($G174,1)="S","★ 납기위험(S코드)","◆ 지연주의"),IF($X174="정상","✓ 정상","? 확인필요")))</f>
        <v>? 확인필요</v>
      </c>
      <c r="Z174" s="28"/>
      <c r="AA174" s="34"/>
    </row>
    <row r="175" customFormat="false" ht="15" hidden="false" customHeight="false" outlineLevel="0" collapsed="false">
      <c r="A175" s="25" t="n">
        <v>171</v>
      </c>
      <c r="B175" s="26" t="s">
        <v>124</v>
      </c>
      <c r="C175" s="26" t="s">
        <v>262</v>
      </c>
      <c r="D175" s="27" t="s">
        <v>611</v>
      </c>
      <c r="E175" s="26" t="s">
        <v>612</v>
      </c>
      <c r="F175" s="27" t="s">
        <v>613</v>
      </c>
      <c r="G175" s="25" t="str">
        <f aca="false">IF($D175="","",IF(MID($D175,5,1)="S","S(봄)",IF(MID($D175,5,1)="M","M(여름)",IF(MID($D175,5,1)="X","X(사계절)",MID($D175,5,1)))))</f>
        <v>M(여름)</v>
      </c>
      <c r="H175" s="26" t="s">
        <v>79</v>
      </c>
      <c r="I175" s="25"/>
      <c r="J175" s="28" t="s">
        <v>541</v>
      </c>
      <c r="K175" s="29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46447</v>
      </c>
      <c r="L175" s="29" t="n">
        <f aca="false">IF($K175="","",IF(AND($K175-기준정보!$C$5&gt;=기준정보!$C$10,$K175-기준정보!$C$5&lt;=기준정보!$C$11),기준정보!$C$10-1,$K175-기준정보!$C$5))</f>
        <v>46433</v>
      </c>
      <c r="M175" s="30" t="n">
        <f aca="false">IF($L175="","",IF(OR(ISNUMBER(SEARCH("중국",$U175)),ISNUMBER(SEARCH("베트남",$U175))),MAX(0,MIN($L175,기준정보!$C$9)-MAX($L175-기준정보!$C$6,기준정보!$C$8)+1),IF(ISNUMBER(SEARCH("한국",$U175)),MAX(0,MIN($L175,기준정보!$C$11)-MAX($L175-기준정보!$C$6,기준정보!$C$10)+1),0)))</f>
        <v>15</v>
      </c>
      <c r="N175" s="29" t="n">
        <f aca="false">IF($L175="","",$L175-기준정보!$C$6-$M175)</f>
        <v>46328</v>
      </c>
      <c r="O175" s="31" t="n">
        <f aca="false">IF($N175="","",$N175-기준정보!$C$4)</f>
        <v>86</v>
      </c>
      <c r="P175" s="28" t="s">
        <v>82</v>
      </c>
      <c r="Q175" s="28" t="s">
        <v>83</v>
      </c>
      <c r="R175" s="32"/>
      <c r="S175" s="27" t="str">
        <f aca="false">IF($H175="","",IF(AND(ISNUMBER(SEARCH("CMT",$H175)),OR(ISNUMBER(SEARCH("완사입",$H175)),ISNUMBER(SEARCH("ODM",$H175)))),"본사/생산처 혼재",IF(ISNUMBER(SEARCH("CMT",$H175)),"본사(소재팀)","생산처")))</f>
        <v>생산처</v>
      </c>
      <c r="T175" s="26" t="s">
        <v>239</v>
      </c>
      <c r="U175" s="26" t="s">
        <v>85</v>
      </c>
      <c r="V175" s="33" t="n">
        <v>3000</v>
      </c>
      <c r="W175" s="27" t="s">
        <v>541</v>
      </c>
      <c r="X175" s="27" t="str">
        <f aca="false">IF($K175="","출고일 미정",IF($P175="X","작지 미발행",IF($P175="부분","작지 일부 미발행",IF(AND($R175&lt;&gt;"",$R175&gt;$N175),"소재입고 마감("&amp;TEXT($N175,"MM/DD")&amp;") 초과",IF($P175="","발행여부 확인 필요",IF($R175="","소재 입고일정 확인 필요","정상"))))))</f>
        <v>소재 입고일정 확인 필요</v>
      </c>
      <c r="Y175" s="25" t="str">
        <f aca="false">IF($K175="","",IF(OR(LEFT($X175,2)="작지",LEFT($X175,4)="소재입고"),IF(LEFT($G175,1)="S","★ 납기위험(S코드)","◆ 지연주의"),IF($X175="정상","✓ 정상","? 확인필요")))</f>
        <v>? 확인필요</v>
      </c>
      <c r="Z175" s="28"/>
      <c r="AA175" s="34"/>
    </row>
    <row r="176" customFormat="false" ht="15" hidden="false" customHeight="false" outlineLevel="0" collapsed="false">
      <c r="A176" s="25" t="n">
        <v>172</v>
      </c>
      <c r="B176" s="26" t="s">
        <v>224</v>
      </c>
      <c r="C176" s="26" t="s">
        <v>93</v>
      </c>
      <c r="D176" s="27" t="s">
        <v>614</v>
      </c>
      <c r="E176" s="26" t="s">
        <v>615</v>
      </c>
      <c r="F176" s="27" t="s">
        <v>616</v>
      </c>
      <c r="G176" s="25" t="str">
        <f aca="false">IF($D176="","",IF(MID($D176,5,1)="S","S(봄)",IF(MID($D176,5,1)="M","M(여름)",IF(MID($D176,5,1)="X","X(사계절)",MID($D176,5,1)))))</f>
        <v>M(여름)</v>
      </c>
      <c r="H176" s="26" t="s">
        <v>79</v>
      </c>
      <c r="I176" s="25" t="s">
        <v>481</v>
      </c>
      <c r="J176" s="28" t="s">
        <v>541</v>
      </c>
      <c r="K176" s="29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46447</v>
      </c>
      <c r="L176" s="29" t="n">
        <f aca="false">IF($K176="","",IF(AND($K176-기준정보!$C$5&gt;=기준정보!$C$10,$K176-기준정보!$C$5&lt;=기준정보!$C$11),기준정보!$C$10-1,$K176-기준정보!$C$5))</f>
        <v>46433</v>
      </c>
      <c r="M176" s="30" t="n">
        <f aca="false">IF($L176="","",IF(OR(ISNUMBER(SEARCH("중국",$U176)),ISNUMBER(SEARCH("베트남",$U176))),MAX(0,MIN($L176,기준정보!$C$9)-MAX($L176-기준정보!$C$6,기준정보!$C$8)+1),IF(ISNUMBER(SEARCH("한국",$U176)),MAX(0,MIN($L176,기준정보!$C$11)-MAX($L176-기준정보!$C$6,기준정보!$C$10)+1),0)))</f>
        <v>15</v>
      </c>
      <c r="N176" s="29" t="n">
        <f aca="false">IF($L176="","",$L176-기준정보!$C$6-$M176)</f>
        <v>46328</v>
      </c>
      <c r="O176" s="31" t="n">
        <f aca="false">IF($N176="","",$N176-기준정보!$C$4)</f>
        <v>86</v>
      </c>
      <c r="P176" s="28" t="s">
        <v>82</v>
      </c>
      <c r="Q176" s="28" t="s">
        <v>83</v>
      </c>
      <c r="R176" s="32"/>
      <c r="S176" s="27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T176" s="26" t="s">
        <v>311</v>
      </c>
      <c r="U176" s="26" t="s">
        <v>85</v>
      </c>
      <c r="V176" s="33" t="n">
        <v>1010</v>
      </c>
      <c r="W176" s="27"/>
      <c r="X176" s="27" t="str">
        <f aca="false">IF($K176="","출고일 미정",IF($P176="X","작지 미발행",IF($P176="부분","작지 일부 미발행",IF(AND($R176&lt;&gt;"",$R176&gt;$N176),"소재입고 마감("&amp;TEXT($N176,"MM/DD")&amp;") 초과",IF($P176="","발행여부 확인 필요",IF($R176="","소재 입고일정 확인 필요","정상"))))))</f>
        <v>소재 입고일정 확인 필요</v>
      </c>
      <c r="Y176" s="25" t="str">
        <f aca="false">IF($K176="","",IF(OR(LEFT($X176,2)="작지",LEFT($X176,4)="소재입고"),IF(LEFT($G176,1)="S","★ 납기위험(S코드)","◆ 지연주의"),IF($X176="정상","✓ 정상","? 확인필요")))</f>
        <v>? 확인필요</v>
      </c>
      <c r="Z176" s="28"/>
      <c r="AA176" s="34"/>
    </row>
    <row r="177" customFormat="false" ht="15" hidden="false" customHeight="false" outlineLevel="0" collapsed="false">
      <c r="A177" s="25" t="n">
        <v>173</v>
      </c>
      <c r="B177" s="26" t="s">
        <v>224</v>
      </c>
      <c r="C177" s="26" t="s">
        <v>93</v>
      </c>
      <c r="D177" s="27" t="s">
        <v>617</v>
      </c>
      <c r="E177" s="26" t="s">
        <v>618</v>
      </c>
      <c r="F177" s="27" t="s">
        <v>580</v>
      </c>
      <c r="G177" s="25" t="str">
        <f aca="false">IF($D177="","",IF(MID($D177,5,1)="S","S(봄)",IF(MID($D177,5,1)="M","M(여름)",IF(MID($D177,5,1)="X","X(사계절)",MID($D177,5,1)))))</f>
        <v>M(여름)</v>
      </c>
      <c r="H177" s="26" t="s">
        <v>79</v>
      </c>
      <c r="I177" s="25" t="s">
        <v>481</v>
      </c>
      <c r="J177" s="28" t="s">
        <v>541</v>
      </c>
      <c r="K177" s="29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46447</v>
      </c>
      <c r="L177" s="29" t="n">
        <f aca="false">IF($K177="","",IF(AND($K177-기준정보!$C$5&gt;=기준정보!$C$10,$K177-기준정보!$C$5&lt;=기준정보!$C$11),기준정보!$C$10-1,$K177-기준정보!$C$5))</f>
        <v>46433</v>
      </c>
      <c r="M177" s="30" t="n">
        <f aca="false">IF($L177="","",IF(OR(ISNUMBER(SEARCH("중국",$U177)),ISNUMBER(SEARCH("베트남",$U177))),MAX(0,MIN($L177,기준정보!$C$9)-MAX($L177-기준정보!$C$6,기준정보!$C$8)+1),IF(ISNUMBER(SEARCH("한국",$U177)),MAX(0,MIN($L177,기준정보!$C$11)-MAX($L177-기준정보!$C$6,기준정보!$C$10)+1),0)))</f>
        <v>15</v>
      </c>
      <c r="N177" s="29" t="n">
        <f aca="false">IF($L177="","",$L177-기준정보!$C$6-$M177)</f>
        <v>46328</v>
      </c>
      <c r="O177" s="31" t="n">
        <f aca="false">IF($N177="","",$N177-기준정보!$C$4)</f>
        <v>86</v>
      </c>
      <c r="P177" s="28" t="s">
        <v>82</v>
      </c>
      <c r="Q177" s="28" t="s">
        <v>83</v>
      </c>
      <c r="R177" s="32"/>
      <c r="S177" s="27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T177" s="26" t="s">
        <v>311</v>
      </c>
      <c r="U177" s="26" t="s">
        <v>85</v>
      </c>
      <c r="V177" s="33" t="n">
        <v>700</v>
      </c>
      <c r="W177" s="27"/>
      <c r="X177" s="27" t="str">
        <f aca="false">IF($K177="","출고일 미정",IF($P177="X","작지 미발행",IF($P177="부분","작지 일부 미발행",IF(AND($R177&lt;&gt;"",$R177&gt;$N177),"소재입고 마감("&amp;TEXT($N177,"MM/DD")&amp;") 초과",IF($P177="","발행여부 확인 필요",IF($R177="","소재 입고일정 확인 필요","정상"))))))</f>
        <v>소재 입고일정 확인 필요</v>
      </c>
      <c r="Y177" s="25" t="str">
        <f aca="false">IF($K177="","",IF(OR(LEFT($X177,2)="작지",LEFT($X177,4)="소재입고"),IF(LEFT($G177,1)="S","★ 납기위험(S코드)","◆ 지연주의"),IF($X177="정상","✓ 정상","? 확인필요")))</f>
        <v>? 확인필요</v>
      </c>
      <c r="Z177" s="28"/>
      <c r="AA177" s="34"/>
    </row>
    <row r="178" customFormat="false" ht="15" hidden="false" customHeight="false" outlineLevel="0" collapsed="false">
      <c r="A178" s="25" t="n">
        <v>174</v>
      </c>
      <c r="B178" s="26" t="s">
        <v>224</v>
      </c>
      <c r="C178" s="26" t="s">
        <v>93</v>
      </c>
      <c r="D178" s="27" t="s">
        <v>619</v>
      </c>
      <c r="E178" s="26" t="s">
        <v>620</v>
      </c>
      <c r="F178" s="27" t="s">
        <v>586</v>
      </c>
      <c r="G178" s="25" t="str">
        <f aca="false">IF($D178="","",IF(MID($D178,5,1)="S","S(봄)",IF(MID($D178,5,1)="M","M(여름)",IF(MID($D178,5,1)="X","X(사계절)",MID($D178,5,1)))))</f>
        <v>M(여름)</v>
      </c>
      <c r="H178" s="26" t="s">
        <v>79</v>
      </c>
      <c r="I178" s="25" t="s">
        <v>481</v>
      </c>
      <c r="J178" s="28" t="s">
        <v>541</v>
      </c>
      <c r="K178" s="29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46447</v>
      </c>
      <c r="L178" s="29" t="n">
        <f aca="false">IF($K178="","",IF(AND($K178-기준정보!$C$5&gt;=기준정보!$C$10,$K178-기준정보!$C$5&lt;=기준정보!$C$11),기준정보!$C$10-1,$K178-기준정보!$C$5))</f>
        <v>46433</v>
      </c>
      <c r="M178" s="30" t="n">
        <f aca="false">IF($L178="","",IF(OR(ISNUMBER(SEARCH("중국",$U178)),ISNUMBER(SEARCH("베트남",$U178))),MAX(0,MIN($L178,기준정보!$C$9)-MAX($L178-기준정보!$C$6,기준정보!$C$8)+1),IF(ISNUMBER(SEARCH("한국",$U178)),MAX(0,MIN($L178,기준정보!$C$11)-MAX($L178-기준정보!$C$6,기준정보!$C$10)+1),0)))</f>
        <v>15</v>
      </c>
      <c r="N178" s="29" t="n">
        <f aca="false">IF($L178="","",$L178-기준정보!$C$6-$M178)</f>
        <v>46328</v>
      </c>
      <c r="O178" s="31" t="n">
        <f aca="false">IF($N178="","",$N178-기준정보!$C$4)</f>
        <v>86</v>
      </c>
      <c r="P178" s="28" t="s">
        <v>82</v>
      </c>
      <c r="Q178" s="28" t="s">
        <v>83</v>
      </c>
      <c r="R178" s="32"/>
      <c r="S178" s="27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T178" s="26" t="s">
        <v>311</v>
      </c>
      <c r="U178" s="26" t="s">
        <v>85</v>
      </c>
      <c r="V178" s="33" t="n">
        <v>300</v>
      </c>
      <c r="W178" s="27"/>
      <c r="X178" s="27" t="str">
        <f aca="false">IF($K178="","출고일 미정",IF($P178="X","작지 미발행",IF($P178="부분","작지 일부 미발행",IF(AND($R178&lt;&gt;"",$R178&gt;$N178),"소재입고 마감("&amp;TEXT($N178,"MM/DD")&amp;") 초과",IF($P178="","발행여부 확인 필요",IF($R178="","소재 입고일정 확인 필요","정상"))))))</f>
        <v>소재 입고일정 확인 필요</v>
      </c>
      <c r="Y178" s="25" t="str">
        <f aca="false">IF($K178="","",IF(OR(LEFT($X178,2)="작지",LEFT($X178,4)="소재입고"),IF(LEFT($G178,1)="S","★ 납기위험(S코드)","◆ 지연주의"),IF($X178="정상","✓ 정상","? 확인필요")))</f>
        <v>? 확인필요</v>
      </c>
      <c r="Z178" s="28"/>
      <c r="AA178" s="34"/>
    </row>
    <row r="179" customFormat="false" ht="15" hidden="false" customHeight="false" outlineLevel="0" collapsed="false">
      <c r="A179" s="25" t="n">
        <v>175</v>
      </c>
      <c r="B179" s="26" t="s">
        <v>224</v>
      </c>
      <c r="C179" s="26" t="s">
        <v>93</v>
      </c>
      <c r="D179" s="27" t="s">
        <v>621</v>
      </c>
      <c r="E179" s="26" t="s">
        <v>622</v>
      </c>
      <c r="F179" s="27" t="s">
        <v>572</v>
      </c>
      <c r="G179" s="25" t="str">
        <f aca="false">IF($D179="","",IF(MID($D179,5,1)="S","S(봄)",IF(MID($D179,5,1)="M","M(여름)",IF(MID($D179,5,1)="X","X(사계절)",MID($D179,5,1)))))</f>
        <v>M(여름)</v>
      </c>
      <c r="H179" s="26" t="s">
        <v>79</v>
      </c>
      <c r="I179" s="25" t="s">
        <v>481</v>
      </c>
      <c r="J179" s="28" t="s">
        <v>541</v>
      </c>
      <c r="K179" s="29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46447</v>
      </c>
      <c r="L179" s="29" t="n">
        <f aca="false">IF($K179="","",IF(AND($K179-기준정보!$C$5&gt;=기준정보!$C$10,$K179-기준정보!$C$5&lt;=기준정보!$C$11),기준정보!$C$10-1,$K179-기준정보!$C$5))</f>
        <v>46433</v>
      </c>
      <c r="M179" s="30" t="n">
        <f aca="false">IF($L179="","",IF(OR(ISNUMBER(SEARCH("중국",$U179)),ISNUMBER(SEARCH("베트남",$U179))),MAX(0,MIN($L179,기준정보!$C$9)-MAX($L179-기준정보!$C$6,기준정보!$C$8)+1),IF(ISNUMBER(SEARCH("한국",$U179)),MAX(0,MIN($L179,기준정보!$C$11)-MAX($L179-기준정보!$C$6,기준정보!$C$10)+1),0)))</f>
        <v>15</v>
      </c>
      <c r="N179" s="29" t="n">
        <f aca="false">IF($L179="","",$L179-기준정보!$C$6-$M179)</f>
        <v>46328</v>
      </c>
      <c r="O179" s="31" t="n">
        <f aca="false">IF($N179="","",$N179-기준정보!$C$4)</f>
        <v>86</v>
      </c>
      <c r="P179" s="28" t="s">
        <v>82</v>
      </c>
      <c r="Q179" s="28" t="s">
        <v>83</v>
      </c>
      <c r="R179" s="32"/>
      <c r="S179" s="27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T179" s="26" t="s">
        <v>311</v>
      </c>
      <c r="U179" s="26" t="s">
        <v>85</v>
      </c>
      <c r="V179" s="33" t="n">
        <v>500</v>
      </c>
      <c r="W179" s="27"/>
      <c r="X179" s="27" t="str">
        <f aca="false">IF($K179="","출고일 미정",IF($P179="X","작지 미발행",IF($P179="부분","작지 일부 미발행",IF(AND($R179&lt;&gt;"",$R179&gt;$N179),"소재입고 마감("&amp;TEXT($N179,"MM/DD")&amp;") 초과",IF($P179="","발행여부 확인 필요",IF($R179="","소재 입고일정 확인 필요","정상"))))))</f>
        <v>소재 입고일정 확인 필요</v>
      </c>
      <c r="Y179" s="25" t="str">
        <f aca="false">IF($K179="","",IF(OR(LEFT($X179,2)="작지",LEFT($X179,4)="소재입고"),IF(LEFT($G179,1)="S","★ 납기위험(S코드)","◆ 지연주의"),IF($X179="정상","✓ 정상","? 확인필요")))</f>
        <v>? 확인필요</v>
      </c>
      <c r="Z179" s="28"/>
      <c r="AA179" s="34"/>
    </row>
    <row r="180" customFormat="false" ht="15" hidden="false" customHeight="false" outlineLevel="0" collapsed="false">
      <c r="A180" s="25" t="n">
        <v>176</v>
      </c>
      <c r="B180" s="26" t="s">
        <v>199</v>
      </c>
      <c r="C180" s="26" t="s">
        <v>200</v>
      </c>
      <c r="D180" s="27" t="s">
        <v>623</v>
      </c>
      <c r="E180" s="26" t="s">
        <v>624</v>
      </c>
      <c r="F180" s="27" t="s">
        <v>625</v>
      </c>
      <c r="G180" s="25" t="str">
        <f aca="false">IF($D180="","",IF(MID($D180,5,1)="S","S(봄)",IF(MID($D180,5,1)="M","M(여름)",IF(MID($D180,5,1)="X","X(사계절)",MID($D180,5,1)))))</f>
        <v>M(여름)</v>
      </c>
      <c r="H180" s="27" t="s">
        <v>209</v>
      </c>
      <c r="I180" s="25"/>
      <c r="J180" s="28" t="s">
        <v>626</v>
      </c>
      <c r="K180" s="29" t="n">
        <f aca="false">IF($J180="","",IFERROR(DATE(IF(VALUE(LEFT($J180,FIND("월",$J180)-1))&gt;=9,기준정보!$C$7-1,기준정보!$C$7),VALUE(LEFT($J180,FIND("월",$J180)-1)),1+7*(VALUE(SUBSTITUTE(MID($J180,FIND("월",$J180)+1,5),"주",""))-1)),""))</f>
        <v>46454</v>
      </c>
      <c r="L180" s="29" t="n">
        <f aca="false">IF($K180="","",IF(AND($K180-기준정보!$C$5&gt;=기준정보!$C$10,$K180-기준정보!$C$5&lt;=기준정보!$C$11),기준정보!$C$10-1,$K180-기준정보!$C$5))</f>
        <v>46440</v>
      </c>
      <c r="M180" s="30" t="n">
        <f aca="false">IF($L180="","",IF(OR(ISNUMBER(SEARCH("중국",$U180)),ISNUMBER(SEARCH("베트남",$U180))),MAX(0,MIN($L180,기준정보!$C$9)-MAX($L180-기준정보!$C$6,기준정보!$C$8)+1),IF(ISNUMBER(SEARCH("한국",$U180)),MAX(0,MIN($L180,기준정보!$C$11)-MAX($L180-기준정보!$C$6,기준정보!$C$10)+1),0)))</f>
        <v>0</v>
      </c>
      <c r="N180" s="29" t="n">
        <f aca="false">IF($L180="","",$L180-기준정보!$C$6-$M180)</f>
        <v>46350</v>
      </c>
      <c r="O180" s="31" t="n">
        <f aca="false">IF($N180="","",$N180-기준정보!$C$4)</f>
        <v>108</v>
      </c>
      <c r="P180" s="28" t="s">
        <v>82</v>
      </c>
      <c r="Q180" s="28" t="s">
        <v>83</v>
      </c>
      <c r="R180" s="32"/>
      <c r="S180" s="27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T180" s="26" t="s">
        <v>266</v>
      </c>
      <c r="U180" s="27"/>
      <c r="V180" s="33" t="n">
        <v>9000</v>
      </c>
      <c r="W180" s="27" t="s">
        <v>626</v>
      </c>
      <c r="X180" s="27" t="str">
        <f aca="false">IF($K180="","출고일 미정",IF($P180="X","작지 미발행",IF($P180="부분","작지 일부 미발행",IF(AND($R180&lt;&gt;"",$R180&gt;$N180),"소재입고 마감("&amp;TEXT($N180,"MM/DD")&amp;") 초과",IF($P180="","발행여부 확인 필요",IF($R180="","소재 입고일정 확인 필요","정상"))))))</f>
        <v>소재 입고일정 확인 필요</v>
      </c>
      <c r="Y180" s="25" t="str">
        <f aca="false">IF($K180="","",IF(OR(LEFT($X180,2)="작지",LEFT($X180,4)="소재입고"),IF(LEFT($G180,1)="S","★ 납기위험(S코드)","◆ 지연주의"),IF($X180="정상","✓ 정상","? 확인필요")))</f>
        <v>? 확인필요</v>
      </c>
      <c r="Z180" s="28"/>
      <c r="AA180" s="34"/>
    </row>
    <row r="181" customFormat="false" ht="15" hidden="false" customHeight="false" outlineLevel="0" collapsed="false">
      <c r="A181" s="25" t="n">
        <v>177</v>
      </c>
      <c r="B181" s="26" t="s">
        <v>199</v>
      </c>
      <c r="C181" s="26" t="s">
        <v>200</v>
      </c>
      <c r="D181" s="27" t="s">
        <v>627</v>
      </c>
      <c r="E181" s="26" t="s">
        <v>628</v>
      </c>
      <c r="F181" s="27" t="s">
        <v>629</v>
      </c>
      <c r="G181" s="25" t="str">
        <f aca="false">IF($D181="","",IF(MID($D181,5,1)="S","S(봄)",IF(MID($D181,5,1)="M","M(여름)",IF(MID($D181,5,1)="X","X(사계절)",MID($D181,5,1)))))</f>
        <v>M(여름)</v>
      </c>
      <c r="H181" s="26" t="s">
        <v>79</v>
      </c>
      <c r="I181" s="25"/>
      <c r="J181" s="28" t="s">
        <v>626</v>
      </c>
      <c r="K181" s="29" t="n">
        <f aca="false">IF($J181="","",IFERROR(DATE(IF(VALUE(LEFT($J181,FIND("월",$J181)-1))&gt;=9,기준정보!$C$7-1,기준정보!$C$7),VALUE(LEFT($J181,FIND("월",$J181)-1)),1+7*(VALUE(SUBSTITUTE(MID($J181,FIND("월",$J181)+1,5),"주",""))-1)),""))</f>
        <v>46454</v>
      </c>
      <c r="L181" s="29" t="n">
        <f aca="false">IF($K181="","",IF(AND($K181-기준정보!$C$5&gt;=기준정보!$C$10,$K181-기준정보!$C$5&lt;=기준정보!$C$11),기준정보!$C$10-1,$K181-기준정보!$C$5))</f>
        <v>46440</v>
      </c>
      <c r="M181" s="30" t="n">
        <f aca="false">IF($L181="","",IF(OR(ISNUMBER(SEARCH("중국",$U181)),ISNUMBER(SEARCH("베트남",$U181))),MAX(0,MIN($L181,기준정보!$C$9)-MAX($L181-기준정보!$C$6,기준정보!$C$8)+1),IF(ISNUMBER(SEARCH("한국",$U181)),MAX(0,MIN($L181,기준정보!$C$11)-MAX($L181-기준정보!$C$6,기준정보!$C$10)+1),0)))</f>
        <v>0</v>
      </c>
      <c r="N181" s="29" t="n">
        <f aca="false">IF($L181="","",$L181-기준정보!$C$6-$M181)</f>
        <v>46350</v>
      </c>
      <c r="O181" s="31" t="n">
        <f aca="false">IF($N181="","",$N181-기준정보!$C$4)</f>
        <v>108</v>
      </c>
      <c r="P181" s="28" t="s">
        <v>82</v>
      </c>
      <c r="Q181" s="28" t="s">
        <v>83</v>
      </c>
      <c r="R181" s="32"/>
      <c r="S181" s="27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T181" s="26" t="s">
        <v>89</v>
      </c>
      <c r="U181" s="27"/>
      <c r="V181" s="33" t="n">
        <v>2200</v>
      </c>
      <c r="W181" s="27" t="s">
        <v>626</v>
      </c>
      <c r="X181" s="27" t="str">
        <f aca="false">IF($K181="","출고일 미정",IF($P181="X","작지 미발행",IF($P181="부분","작지 일부 미발행",IF(AND($R181&lt;&gt;"",$R181&gt;$N181),"소재입고 마감("&amp;TEXT($N181,"MM/DD")&amp;") 초과",IF($P181="","발행여부 확인 필요",IF($R181="","소재 입고일정 확인 필요","정상"))))))</f>
        <v>소재 입고일정 확인 필요</v>
      </c>
      <c r="Y181" s="25" t="str">
        <f aca="false">IF($K181="","",IF(OR(LEFT($X181,2)="작지",LEFT($X181,4)="소재입고"),IF(LEFT($G181,1)="S","★ 납기위험(S코드)","◆ 지연주의"),IF($X181="정상","✓ 정상","? 확인필요")))</f>
        <v>? 확인필요</v>
      </c>
      <c r="Z181" s="28"/>
      <c r="AA181" s="34"/>
    </row>
    <row r="182" customFormat="false" ht="15" hidden="false" customHeight="false" outlineLevel="0" collapsed="false">
      <c r="A182" s="25" t="n">
        <v>178</v>
      </c>
      <c r="B182" s="26" t="s">
        <v>199</v>
      </c>
      <c r="C182" s="26" t="s">
        <v>200</v>
      </c>
      <c r="D182" s="27" t="s">
        <v>630</v>
      </c>
      <c r="E182" s="26" t="s">
        <v>631</v>
      </c>
      <c r="F182" s="27" t="s">
        <v>219</v>
      </c>
      <c r="G182" s="25" t="str">
        <f aca="false">IF($D182="","",IF(MID($D182,5,1)="S","S(봄)",IF(MID($D182,5,1)="M","M(여름)",IF(MID($D182,5,1)="X","X(사계절)",MID($D182,5,1)))))</f>
        <v>M(여름)</v>
      </c>
      <c r="H182" s="26" t="s">
        <v>79</v>
      </c>
      <c r="I182" s="25"/>
      <c r="J182" s="28" t="s">
        <v>626</v>
      </c>
      <c r="K182" s="29" t="n">
        <f aca="false">IF($J182="","",IFERROR(DATE(IF(VALUE(LEFT($J182,FIND("월",$J182)-1))&gt;=9,기준정보!$C$7-1,기준정보!$C$7),VALUE(LEFT($J182,FIND("월",$J182)-1)),1+7*(VALUE(SUBSTITUTE(MID($J182,FIND("월",$J182)+1,5),"주",""))-1)),""))</f>
        <v>46454</v>
      </c>
      <c r="L182" s="29" t="n">
        <f aca="false">IF($K182="","",IF(AND($K182-기준정보!$C$5&gt;=기준정보!$C$10,$K182-기준정보!$C$5&lt;=기준정보!$C$11),기준정보!$C$10-1,$K182-기준정보!$C$5))</f>
        <v>46440</v>
      </c>
      <c r="M182" s="30" t="n">
        <f aca="false">IF($L182="","",IF(OR(ISNUMBER(SEARCH("중국",$U182)),ISNUMBER(SEARCH("베트남",$U182))),MAX(0,MIN($L182,기준정보!$C$9)-MAX($L182-기준정보!$C$6,기준정보!$C$8)+1),IF(ISNUMBER(SEARCH("한국",$U182)),MAX(0,MIN($L182,기준정보!$C$11)-MAX($L182-기준정보!$C$6,기준정보!$C$10)+1),0)))</f>
        <v>0</v>
      </c>
      <c r="N182" s="29" t="n">
        <f aca="false">IF($L182="","",$L182-기준정보!$C$6-$M182)</f>
        <v>46350</v>
      </c>
      <c r="O182" s="31" t="n">
        <f aca="false">IF($N182="","",$N182-기준정보!$C$4)</f>
        <v>108</v>
      </c>
      <c r="P182" s="28" t="s">
        <v>82</v>
      </c>
      <c r="Q182" s="28" t="s">
        <v>83</v>
      </c>
      <c r="R182" s="32"/>
      <c r="S182" s="27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T182" s="26" t="s">
        <v>266</v>
      </c>
      <c r="U182" s="27"/>
      <c r="V182" s="33" t="n">
        <v>2000</v>
      </c>
      <c r="W182" s="27" t="s">
        <v>626</v>
      </c>
      <c r="X182" s="27" t="str">
        <f aca="false">IF($K182="","출고일 미정",IF($P182="X","작지 미발행",IF($P182="부분","작지 일부 미발행",IF(AND($R182&lt;&gt;"",$R182&gt;$N182),"소재입고 마감("&amp;TEXT($N182,"MM/DD")&amp;") 초과",IF($P182="","발행여부 확인 필요",IF($R182="","소재 입고일정 확인 필요","정상"))))))</f>
        <v>소재 입고일정 확인 필요</v>
      </c>
      <c r="Y182" s="25" t="str">
        <f aca="false">IF($K182="","",IF(OR(LEFT($X182,2)="작지",LEFT($X182,4)="소재입고"),IF(LEFT($G182,1)="S","★ 납기위험(S코드)","◆ 지연주의"),IF($X182="정상","✓ 정상","? 확인필요")))</f>
        <v>? 확인필요</v>
      </c>
      <c r="Z182" s="28"/>
      <c r="AA182" s="34"/>
    </row>
    <row r="183" customFormat="false" ht="15" hidden="false" customHeight="false" outlineLevel="0" collapsed="false">
      <c r="A183" s="25" t="n">
        <v>179</v>
      </c>
      <c r="B183" s="26" t="s">
        <v>204</v>
      </c>
      <c r="C183" s="26" t="s">
        <v>205</v>
      </c>
      <c r="D183" s="27" t="s">
        <v>632</v>
      </c>
      <c r="E183" s="26" t="s">
        <v>633</v>
      </c>
      <c r="F183" s="27" t="s">
        <v>634</v>
      </c>
      <c r="G183" s="25" t="str">
        <f aca="false">IF($D183="","",IF(MID($D183,5,1)="S","S(봄)",IF(MID($D183,5,1)="M","M(여름)",IF(MID($D183,5,1)="X","X(사계절)",MID($D183,5,1)))))</f>
        <v>M(여름)</v>
      </c>
      <c r="H183" s="27" t="s">
        <v>209</v>
      </c>
      <c r="I183" s="25"/>
      <c r="J183" s="28" t="s">
        <v>626</v>
      </c>
      <c r="K183" s="29" t="n">
        <f aca="false">IF($J183="","",IFERROR(DATE(IF(VALUE(LEFT($J183,FIND("월",$J183)-1))&gt;=9,기준정보!$C$7-1,기준정보!$C$7),VALUE(LEFT($J183,FIND("월",$J183)-1)),1+7*(VALUE(SUBSTITUTE(MID($J183,FIND("월",$J183)+1,5),"주",""))-1)),""))</f>
        <v>46454</v>
      </c>
      <c r="L183" s="29" t="n">
        <f aca="false">IF($K183="","",IF(AND($K183-기준정보!$C$5&gt;=기준정보!$C$10,$K183-기준정보!$C$5&lt;=기준정보!$C$11),기준정보!$C$10-1,$K183-기준정보!$C$5))</f>
        <v>46440</v>
      </c>
      <c r="M183" s="30" t="n">
        <f aca="false">IF($L183="","",IF(OR(ISNUMBER(SEARCH("중국",$U183)),ISNUMBER(SEARCH("베트남",$U183))),MAX(0,MIN($L183,기준정보!$C$9)-MAX($L183-기준정보!$C$6,기준정보!$C$8)+1),IF(ISNUMBER(SEARCH("한국",$U183)),MAX(0,MIN($L183,기준정보!$C$11)-MAX($L183-기준정보!$C$6,기준정보!$C$10)+1),0)))</f>
        <v>15</v>
      </c>
      <c r="N183" s="29" t="n">
        <f aca="false">IF($L183="","",$L183-기준정보!$C$6-$M183)</f>
        <v>46335</v>
      </c>
      <c r="O183" s="31" t="n">
        <f aca="false">IF($N183="","",$N183-기준정보!$C$4)</f>
        <v>93</v>
      </c>
      <c r="P183" s="28" t="s">
        <v>82</v>
      </c>
      <c r="Q183" s="28" t="s">
        <v>83</v>
      </c>
      <c r="R183" s="32"/>
      <c r="S183" s="27" t="str">
        <f aca="false">IF($H183="","",IF(AND(ISNUMBER(SEARCH("CMT",$H183)),OR(ISNUMBER(SEARCH("완사입",$H183)),ISNUMBER(SEARCH("ODM",$H183)))),"본사/생산처 혼재",IF(ISNUMBER(SEARCH("CMT",$H183)),"본사(소재팀)","생산처")))</f>
        <v>본사(소재팀)</v>
      </c>
      <c r="T183" s="26" t="s">
        <v>210</v>
      </c>
      <c r="U183" s="26" t="s">
        <v>85</v>
      </c>
      <c r="V183" s="33" t="n">
        <v>6000</v>
      </c>
      <c r="W183" s="27" t="s">
        <v>626</v>
      </c>
      <c r="X183" s="27" t="str">
        <f aca="false">IF($K183="","출고일 미정",IF($P183="X","작지 미발행",IF($P183="부분","작지 일부 미발행",IF(AND($R183&lt;&gt;"",$R183&gt;$N183),"소재입고 마감("&amp;TEXT($N183,"MM/DD")&amp;") 초과",IF($P183="","발행여부 확인 필요",IF($R183="","소재 입고일정 확인 필요","정상"))))))</f>
        <v>소재 입고일정 확인 필요</v>
      </c>
      <c r="Y183" s="25" t="str">
        <f aca="false">IF($K183="","",IF(OR(LEFT($X183,2)="작지",LEFT($X183,4)="소재입고"),IF(LEFT($G183,1)="S","★ 납기위험(S코드)","◆ 지연주의"),IF($X183="정상","✓ 정상","? 확인필요")))</f>
        <v>? 확인필요</v>
      </c>
      <c r="Z183" s="28"/>
      <c r="AA183" s="34"/>
    </row>
    <row r="184" customFormat="false" ht="15" hidden="false" customHeight="false" outlineLevel="0" collapsed="false">
      <c r="A184" s="25" t="n">
        <v>180</v>
      </c>
      <c r="B184" s="26" t="s">
        <v>204</v>
      </c>
      <c r="C184" s="26" t="s">
        <v>205</v>
      </c>
      <c r="D184" s="27" t="s">
        <v>635</v>
      </c>
      <c r="E184" s="26" t="s">
        <v>636</v>
      </c>
      <c r="F184" s="27" t="s">
        <v>219</v>
      </c>
      <c r="G184" s="25" t="str">
        <f aca="false">IF($D184="","",IF(MID($D184,5,1)="S","S(봄)",IF(MID($D184,5,1)="M","M(여름)",IF(MID($D184,5,1)="X","X(사계절)",MID($D184,5,1)))))</f>
        <v>M(여름)</v>
      </c>
      <c r="H184" s="26" t="s">
        <v>79</v>
      </c>
      <c r="I184" s="25"/>
      <c r="J184" s="28" t="s">
        <v>626</v>
      </c>
      <c r="K184" s="29" t="n">
        <f aca="false">IF($J184="","",IFERROR(DATE(IF(VALUE(LEFT($J184,FIND("월",$J184)-1))&gt;=9,기준정보!$C$7-1,기준정보!$C$7),VALUE(LEFT($J184,FIND("월",$J184)-1)),1+7*(VALUE(SUBSTITUTE(MID($J184,FIND("월",$J184)+1,5),"주",""))-1)),""))</f>
        <v>46454</v>
      </c>
      <c r="L184" s="29" t="n">
        <f aca="false">IF($K184="","",IF(AND($K184-기준정보!$C$5&gt;=기준정보!$C$10,$K184-기준정보!$C$5&lt;=기준정보!$C$11),기준정보!$C$10-1,$K184-기준정보!$C$5))</f>
        <v>46440</v>
      </c>
      <c r="M184" s="30" t="n">
        <f aca="false">IF($L184="","",IF(OR(ISNUMBER(SEARCH("중국",$U184)),ISNUMBER(SEARCH("베트남",$U184))),MAX(0,MIN($L184,기준정보!$C$9)-MAX($L184-기준정보!$C$6,기준정보!$C$8)+1),IF(ISNUMBER(SEARCH("한국",$U184)),MAX(0,MIN($L184,기준정보!$C$11)-MAX($L184-기준정보!$C$6,기준정보!$C$10)+1),0)))</f>
        <v>15</v>
      </c>
      <c r="N184" s="29" t="n">
        <f aca="false">IF($L184="","",$L184-기준정보!$C$6-$M184)</f>
        <v>46335</v>
      </c>
      <c r="O184" s="31" t="n">
        <f aca="false">IF($N184="","",$N184-기준정보!$C$4)</f>
        <v>93</v>
      </c>
      <c r="P184" s="28" t="s">
        <v>82</v>
      </c>
      <c r="Q184" s="28" t="s">
        <v>83</v>
      </c>
      <c r="R184" s="32"/>
      <c r="S184" s="27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T184" s="27" t="s">
        <v>149</v>
      </c>
      <c r="U184" s="26" t="s">
        <v>85</v>
      </c>
      <c r="V184" s="33" t="n">
        <v>3700</v>
      </c>
      <c r="W184" s="27" t="s">
        <v>626</v>
      </c>
      <c r="X184" s="27" t="str">
        <f aca="false">IF($K184="","출고일 미정",IF($P184="X","작지 미발행",IF($P184="부분","작지 일부 미발행",IF(AND($R184&lt;&gt;"",$R184&gt;$N184),"소재입고 마감("&amp;TEXT($N184,"MM/DD")&amp;") 초과",IF($P184="","발행여부 확인 필요",IF($R184="","소재 입고일정 확인 필요","정상"))))))</f>
        <v>소재 입고일정 확인 필요</v>
      </c>
      <c r="Y184" s="25" t="str">
        <f aca="false">IF($K184="","",IF(OR(LEFT($X184,2)="작지",LEFT($X184,4)="소재입고"),IF(LEFT($G184,1)="S","★ 납기위험(S코드)","◆ 지연주의"),IF($X184="정상","✓ 정상","? 확인필요")))</f>
        <v>? 확인필요</v>
      </c>
      <c r="Z184" s="28"/>
      <c r="AA184" s="34"/>
    </row>
    <row r="185" customFormat="false" ht="15" hidden="false" customHeight="false" outlineLevel="0" collapsed="false">
      <c r="A185" s="25" t="n">
        <v>181</v>
      </c>
      <c r="B185" s="26" t="s">
        <v>204</v>
      </c>
      <c r="C185" s="26" t="s">
        <v>205</v>
      </c>
      <c r="D185" s="27" t="s">
        <v>637</v>
      </c>
      <c r="E185" s="26" t="s">
        <v>638</v>
      </c>
      <c r="F185" s="27" t="s">
        <v>160</v>
      </c>
      <c r="G185" s="25" t="str">
        <f aca="false">IF($D185="","",IF(MID($D185,5,1)="S","S(봄)",IF(MID($D185,5,1)="M","M(여름)",IF(MID($D185,5,1)="X","X(사계절)",MID($D185,5,1)))))</f>
        <v>M(여름)</v>
      </c>
      <c r="H185" s="26" t="s">
        <v>79</v>
      </c>
      <c r="I185" s="25"/>
      <c r="J185" s="28" t="s">
        <v>626</v>
      </c>
      <c r="K185" s="29" t="n">
        <f aca="false">IF($J185="","",IFERROR(DATE(IF(VALUE(LEFT($J185,FIND("월",$J185)-1))&gt;=9,기준정보!$C$7-1,기준정보!$C$7),VALUE(LEFT($J185,FIND("월",$J185)-1)),1+7*(VALUE(SUBSTITUTE(MID($J185,FIND("월",$J185)+1,5),"주",""))-1)),""))</f>
        <v>46454</v>
      </c>
      <c r="L185" s="29" t="n">
        <f aca="false">IF($K185="","",IF(AND($K185-기준정보!$C$5&gt;=기준정보!$C$10,$K185-기준정보!$C$5&lt;=기준정보!$C$11),기준정보!$C$10-1,$K185-기준정보!$C$5))</f>
        <v>46440</v>
      </c>
      <c r="M185" s="30" t="n">
        <f aca="false">IF($L185="","",IF(OR(ISNUMBER(SEARCH("중국",$U185)),ISNUMBER(SEARCH("베트남",$U185))),MAX(0,MIN($L185,기준정보!$C$9)-MAX($L185-기준정보!$C$6,기준정보!$C$8)+1),IF(ISNUMBER(SEARCH("한국",$U185)),MAX(0,MIN($L185,기준정보!$C$11)-MAX($L185-기준정보!$C$6,기준정보!$C$10)+1),0)))</f>
        <v>15</v>
      </c>
      <c r="N185" s="29" t="n">
        <f aca="false">IF($L185="","",$L185-기준정보!$C$6-$M185)</f>
        <v>46335</v>
      </c>
      <c r="O185" s="31" t="n">
        <f aca="false">IF($N185="","",$N185-기준정보!$C$4)</f>
        <v>93</v>
      </c>
      <c r="P185" s="28" t="s">
        <v>82</v>
      </c>
      <c r="Q185" s="28" t="s">
        <v>83</v>
      </c>
      <c r="R185" s="32"/>
      <c r="S185" s="27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T185" s="27" t="s">
        <v>149</v>
      </c>
      <c r="U185" s="26" t="s">
        <v>85</v>
      </c>
      <c r="V185" s="33" t="n">
        <v>2000</v>
      </c>
      <c r="W185" s="27" t="s">
        <v>626</v>
      </c>
      <c r="X185" s="27" t="str">
        <f aca="false">IF($K185="","출고일 미정",IF($P185="X","작지 미발행",IF($P185="부분","작지 일부 미발행",IF(AND($R185&lt;&gt;"",$R185&gt;$N185),"소재입고 마감("&amp;TEXT($N185,"MM/DD")&amp;") 초과",IF($P185="","발행여부 확인 필요",IF($R185="","소재 입고일정 확인 필요","정상"))))))</f>
        <v>소재 입고일정 확인 필요</v>
      </c>
      <c r="Y185" s="25" t="str">
        <f aca="false">IF($K185="","",IF(OR(LEFT($X185,2)="작지",LEFT($X185,4)="소재입고"),IF(LEFT($G185,1)="S","★ 납기위험(S코드)","◆ 지연주의"),IF($X185="정상","✓ 정상","? 확인필요")))</f>
        <v>? 확인필요</v>
      </c>
      <c r="Z185" s="28"/>
      <c r="AA185" s="34"/>
    </row>
    <row r="186" customFormat="false" ht="15" hidden="false" customHeight="false" outlineLevel="0" collapsed="false">
      <c r="A186" s="25" t="n">
        <v>182</v>
      </c>
      <c r="B186" s="26" t="s">
        <v>204</v>
      </c>
      <c r="C186" s="26" t="s">
        <v>205</v>
      </c>
      <c r="D186" s="27" t="s">
        <v>639</v>
      </c>
      <c r="E186" s="26" t="s">
        <v>640</v>
      </c>
      <c r="F186" s="27" t="s">
        <v>160</v>
      </c>
      <c r="G186" s="25" t="str">
        <f aca="false">IF($D186="","",IF(MID($D186,5,1)="S","S(봄)",IF(MID($D186,5,1)="M","M(여름)",IF(MID($D186,5,1)="X","X(사계절)",MID($D186,5,1)))))</f>
        <v>M(여름)</v>
      </c>
      <c r="H186" s="26" t="s">
        <v>79</v>
      </c>
      <c r="I186" s="25"/>
      <c r="J186" s="28" t="s">
        <v>626</v>
      </c>
      <c r="K186" s="29" t="n">
        <f aca="false">IF($J186="","",IFERROR(DATE(IF(VALUE(LEFT($J186,FIND("월",$J186)-1))&gt;=9,기준정보!$C$7-1,기준정보!$C$7),VALUE(LEFT($J186,FIND("월",$J186)-1)),1+7*(VALUE(SUBSTITUTE(MID($J186,FIND("월",$J186)+1,5),"주",""))-1)),""))</f>
        <v>46454</v>
      </c>
      <c r="L186" s="29" t="n">
        <f aca="false">IF($K186="","",IF(AND($K186-기준정보!$C$5&gt;=기준정보!$C$10,$K186-기준정보!$C$5&lt;=기준정보!$C$11),기준정보!$C$10-1,$K186-기준정보!$C$5))</f>
        <v>46440</v>
      </c>
      <c r="M186" s="30" t="n">
        <f aca="false">IF($L186="","",IF(OR(ISNUMBER(SEARCH("중국",$U186)),ISNUMBER(SEARCH("베트남",$U186))),MAX(0,MIN($L186,기준정보!$C$9)-MAX($L186-기준정보!$C$6,기준정보!$C$8)+1),IF(ISNUMBER(SEARCH("한국",$U186)),MAX(0,MIN($L186,기준정보!$C$11)-MAX($L186-기준정보!$C$6,기준정보!$C$10)+1),0)))</f>
        <v>15</v>
      </c>
      <c r="N186" s="29" t="n">
        <f aca="false">IF($L186="","",$L186-기준정보!$C$6-$M186)</f>
        <v>46335</v>
      </c>
      <c r="O186" s="31" t="n">
        <f aca="false">IF($N186="","",$N186-기준정보!$C$4)</f>
        <v>93</v>
      </c>
      <c r="P186" s="28" t="s">
        <v>82</v>
      </c>
      <c r="Q186" s="28" t="s">
        <v>83</v>
      </c>
      <c r="R186" s="32"/>
      <c r="S186" s="27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T186" s="26" t="s">
        <v>239</v>
      </c>
      <c r="U186" s="26" t="s">
        <v>85</v>
      </c>
      <c r="V186" s="33" t="n">
        <v>2000</v>
      </c>
      <c r="W186" s="27" t="s">
        <v>626</v>
      </c>
      <c r="X186" s="27" t="str">
        <f aca="false">IF($K186="","출고일 미정",IF($P186="X","작지 미발행",IF($P186="부분","작지 일부 미발행",IF(AND($R186&lt;&gt;"",$R186&gt;$N186),"소재입고 마감("&amp;TEXT($N186,"MM/DD")&amp;") 초과",IF($P186="","발행여부 확인 필요",IF($R186="","소재 입고일정 확인 필요","정상"))))))</f>
        <v>소재 입고일정 확인 필요</v>
      </c>
      <c r="Y186" s="25" t="str">
        <f aca="false">IF($K186="","",IF(OR(LEFT($X186,2)="작지",LEFT($X186,4)="소재입고"),IF(LEFT($G186,1)="S","★ 납기위험(S코드)","◆ 지연주의"),IF($X186="정상","✓ 정상","? 확인필요")))</f>
        <v>? 확인필요</v>
      </c>
      <c r="Z186" s="28"/>
      <c r="AA186" s="34"/>
    </row>
    <row r="187" customFormat="false" ht="15" hidden="false" customHeight="false" outlineLevel="0" collapsed="false">
      <c r="A187" s="25" t="n">
        <v>183</v>
      </c>
      <c r="B187" s="26" t="s">
        <v>204</v>
      </c>
      <c r="C187" s="26" t="s">
        <v>205</v>
      </c>
      <c r="D187" s="27" t="s">
        <v>641</v>
      </c>
      <c r="E187" s="26" t="s">
        <v>642</v>
      </c>
      <c r="F187" s="27" t="s">
        <v>643</v>
      </c>
      <c r="G187" s="25" t="str">
        <f aca="false">IF($D187="","",IF(MID($D187,5,1)="S","S(봄)",IF(MID($D187,5,1)="M","M(여름)",IF(MID($D187,5,1)="X","X(사계절)",MID($D187,5,1)))))</f>
        <v>M(여름)</v>
      </c>
      <c r="H187" s="26" t="s">
        <v>79</v>
      </c>
      <c r="I187" s="25"/>
      <c r="J187" s="28" t="s">
        <v>626</v>
      </c>
      <c r="K187" s="29" t="n">
        <f aca="false">IF($J187="","",IFERROR(DATE(IF(VALUE(LEFT($J187,FIND("월",$J187)-1))&gt;=9,기준정보!$C$7-1,기준정보!$C$7),VALUE(LEFT($J187,FIND("월",$J187)-1)),1+7*(VALUE(SUBSTITUTE(MID($J187,FIND("월",$J187)+1,5),"주",""))-1)),""))</f>
        <v>46454</v>
      </c>
      <c r="L187" s="29" t="n">
        <f aca="false">IF($K187="","",IF(AND($K187-기준정보!$C$5&gt;=기준정보!$C$10,$K187-기준정보!$C$5&lt;=기준정보!$C$11),기준정보!$C$10-1,$K187-기준정보!$C$5))</f>
        <v>46440</v>
      </c>
      <c r="M187" s="30" t="n">
        <f aca="false">IF($L187="","",IF(OR(ISNUMBER(SEARCH("중국",$U187)),ISNUMBER(SEARCH("베트남",$U187))),MAX(0,MIN($L187,기준정보!$C$9)-MAX($L187-기준정보!$C$6,기준정보!$C$8)+1),IF(ISNUMBER(SEARCH("한국",$U187)),MAX(0,MIN($L187,기준정보!$C$11)-MAX($L187-기준정보!$C$6,기준정보!$C$10)+1),0)))</f>
        <v>15</v>
      </c>
      <c r="N187" s="29" t="n">
        <f aca="false">IF($L187="","",$L187-기준정보!$C$6-$M187)</f>
        <v>46335</v>
      </c>
      <c r="O187" s="31" t="n">
        <f aca="false">IF($N187="","",$N187-기준정보!$C$4)</f>
        <v>93</v>
      </c>
      <c r="P187" s="28" t="s">
        <v>82</v>
      </c>
      <c r="Q187" s="28" t="s">
        <v>83</v>
      </c>
      <c r="R187" s="32"/>
      <c r="S187" s="27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T187" s="27" t="s">
        <v>130</v>
      </c>
      <c r="U187" s="26" t="s">
        <v>85</v>
      </c>
      <c r="V187" s="33" t="n">
        <v>1500</v>
      </c>
      <c r="W187" s="27" t="s">
        <v>626</v>
      </c>
      <c r="X187" s="27" t="str">
        <f aca="false">IF($K187="","출고일 미정",IF($P187="X","작지 미발행",IF($P187="부분","작지 일부 미발행",IF(AND($R187&lt;&gt;"",$R187&gt;$N187),"소재입고 마감("&amp;TEXT($N187,"MM/DD")&amp;") 초과",IF($P187="","발행여부 확인 필요",IF($R187="","소재 입고일정 확인 필요","정상"))))))</f>
        <v>소재 입고일정 확인 필요</v>
      </c>
      <c r="Y187" s="25" t="str">
        <f aca="false">IF($K187="","",IF(OR(LEFT($X187,2)="작지",LEFT($X187,4)="소재입고"),IF(LEFT($G187,1)="S","★ 납기위험(S코드)","◆ 지연주의"),IF($X187="정상","✓ 정상","? 확인필요")))</f>
        <v>? 확인필요</v>
      </c>
      <c r="Z187" s="28"/>
      <c r="AA187" s="34"/>
    </row>
    <row r="188" customFormat="false" ht="15" hidden="false" customHeight="false" outlineLevel="0" collapsed="false">
      <c r="A188" s="25" t="n">
        <v>184</v>
      </c>
      <c r="B188" s="26" t="s">
        <v>204</v>
      </c>
      <c r="C188" s="26" t="s">
        <v>205</v>
      </c>
      <c r="D188" s="27" t="s">
        <v>644</v>
      </c>
      <c r="E188" s="26" t="s">
        <v>645</v>
      </c>
      <c r="F188" s="27" t="s">
        <v>646</v>
      </c>
      <c r="G188" s="25" t="str">
        <f aca="false">IF($D188="","",IF(MID($D188,5,1)="S","S(봄)",IF(MID($D188,5,1)="M","M(여름)",IF(MID($D188,5,1)="X","X(사계절)",MID($D188,5,1)))))</f>
        <v>M(여름)</v>
      </c>
      <c r="H188" s="26" t="s">
        <v>79</v>
      </c>
      <c r="I188" s="25"/>
      <c r="J188" s="28" t="s">
        <v>626</v>
      </c>
      <c r="K188" s="29" t="n">
        <f aca="false">IF($J188="","",IFERROR(DATE(IF(VALUE(LEFT($J188,FIND("월",$J188)-1))&gt;=9,기준정보!$C$7-1,기준정보!$C$7),VALUE(LEFT($J188,FIND("월",$J188)-1)),1+7*(VALUE(SUBSTITUTE(MID($J188,FIND("월",$J188)+1,5),"주",""))-1)),""))</f>
        <v>46454</v>
      </c>
      <c r="L188" s="29" t="n">
        <f aca="false">IF($K188="","",IF(AND($K188-기준정보!$C$5&gt;=기준정보!$C$10,$K188-기준정보!$C$5&lt;=기준정보!$C$11),기준정보!$C$10-1,$K188-기준정보!$C$5))</f>
        <v>46440</v>
      </c>
      <c r="M188" s="30" t="n">
        <f aca="false">IF($L188="","",IF(OR(ISNUMBER(SEARCH("중국",$U188)),ISNUMBER(SEARCH("베트남",$U188))),MAX(0,MIN($L188,기준정보!$C$9)-MAX($L188-기준정보!$C$6,기준정보!$C$8)+1),IF(ISNUMBER(SEARCH("한국",$U188)),MAX(0,MIN($L188,기준정보!$C$11)-MAX($L188-기준정보!$C$6,기준정보!$C$10)+1),0)))</f>
        <v>15</v>
      </c>
      <c r="N188" s="29" t="n">
        <f aca="false">IF($L188="","",$L188-기준정보!$C$6-$M188)</f>
        <v>46335</v>
      </c>
      <c r="O188" s="31" t="n">
        <f aca="false">IF($N188="","",$N188-기준정보!$C$4)</f>
        <v>93</v>
      </c>
      <c r="P188" s="28" t="s">
        <v>82</v>
      </c>
      <c r="Q188" s="28" t="s">
        <v>83</v>
      </c>
      <c r="R188" s="32"/>
      <c r="S188" s="27" t="str">
        <f aca="false">IF($H188="","",IF(AND(ISNUMBER(SEARCH("CMT",$H188)),OR(ISNUMBER(SEARCH("완사입",$H188)),ISNUMBER(SEARCH("ODM",$H188)))),"본사/생산처 혼재",IF(ISNUMBER(SEARCH("CMT",$H188)),"본사(소재팀)","생산처")))</f>
        <v>생산처</v>
      </c>
      <c r="T188" s="27" t="s">
        <v>130</v>
      </c>
      <c r="U188" s="26" t="s">
        <v>85</v>
      </c>
      <c r="V188" s="33" t="n">
        <v>6300</v>
      </c>
      <c r="W188" s="27" t="s">
        <v>626</v>
      </c>
      <c r="X188" s="27" t="str">
        <f aca="false">IF($K188="","출고일 미정",IF($P188="X","작지 미발행",IF($P188="부분","작지 일부 미발행",IF(AND($R188&lt;&gt;"",$R188&gt;$N188),"소재입고 마감("&amp;TEXT($N188,"MM/DD")&amp;") 초과",IF($P188="","발행여부 확인 필요",IF($R188="","소재 입고일정 확인 필요","정상"))))))</f>
        <v>소재 입고일정 확인 필요</v>
      </c>
      <c r="Y188" s="25" t="str">
        <f aca="false">IF($K188="","",IF(OR(LEFT($X188,2)="작지",LEFT($X188,4)="소재입고"),IF(LEFT($G188,1)="S","★ 납기위험(S코드)","◆ 지연주의"),IF($X188="정상","✓ 정상","? 확인필요")))</f>
        <v>? 확인필요</v>
      </c>
      <c r="Z188" s="28"/>
      <c r="AA188" s="34"/>
    </row>
    <row r="189" customFormat="false" ht="15" hidden="false" customHeight="false" outlineLevel="0" collapsed="false">
      <c r="A189" s="25" t="n">
        <v>185</v>
      </c>
      <c r="B189" s="26" t="s">
        <v>204</v>
      </c>
      <c r="C189" s="26" t="s">
        <v>205</v>
      </c>
      <c r="D189" s="27" t="s">
        <v>647</v>
      </c>
      <c r="E189" s="26" t="s">
        <v>648</v>
      </c>
      <c r="F189" s="27" t="s">
        <v>649</v>
      </c>
      <c r="G189" s="25" t="str">
        <f aca="false">IF($D189="","",IF(MID($D189,5,1)="S","S(봄)",IF(MID($D189,5,1)="M","M(여름)",IF(MID($D189,5,1)="X","X(사계절)",MID($D189,5,1)))))</f>
        <v>M(여름)</v>
      </c>
      <c r="H189" s="26" t="s">
        <v>79</v>
      </c>
      <c r="I189" s="25"/>
      <c r="J189" s="28" t="s">
        <v>626</v>
      </c>
      <c r="K189" s="29" t="n">
        <f aca="false">IF($J189="","",IFERROR(DATE(IF(VALUE(LEFT($J189,FIND("월",$J189)-1))&gt;=9,기준정보!$C$7-1,기준정보!$C$7),VALUE(LEFT($J189,FIND("월",$J189)-1)),1+7*(VALUE(SUBSTITUTE(MID($J189,FIND("월",$J189)+1,5),"주",""))-1)),""))</f>
        <v>46454</v>
      </c>
      <c r="L189" s="29" t="n">
        <f aca="false">IF($K189="","",IF(AND($K189-기준정보!$C$5&gt;=기준정보!$C$10,$K189-기준정보!$C$5&lt;=기준정보!$C$11),기준정보!$C$10-1,$K189-기준정보!$C$5))</f>
        <v>46440</v>
      </c>
      <c r="M189" s="30" t="n">
        <f aca="false">IF($L189="","",IF(OR(ISNUMBER(SEARCH("중국",$U189)),ISNUMBER(SEARCH("베트남",$U189))),MAX(0,MIN($L189,기준정보!$C$9)-MAX($L189-기준정보!$C$6,기준정보!$C$8)+1),IF(ISNUMBER(SEARCH("한국",$U189)),MAX(0,MIN($L189,기준정보!$C$11)-MAX($L189-기준정보!$C$6,기준정보!$C$10)+1),0)))</f>
        <v>15</v>
      </c>
      <c r="N189" s="29" t="n">
        <f aca="false">IF($L189="","",$L189-기준정보!$C$6-$M189)</f>
        <v>46335</v>
      </c>
      <c r="O189" s="31" t="n">
        <f aca="false">IF($N189="","",$N189-기준정보!$C$4)</f>
        <v>93</v>
      </c>
      <c r="P189" s="28" t="s">
        <v>82</v>
      </c>
      <c r="Q189" s="28" t="s">
        <v>83</v>
      </c>
      <c r="R189" s="32"/>
      <c r="S189" s="27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T189" s="26" t="s">
        <v>311</v>
      </c>
      <c r="U189" s="26" t="s">
        <v>85</v>
      </c>
      <c r="V189" s="33" t="n">
        <v>5700</v>
      </c>
      <c r="W189" s="27" t="s">
        <v>626</v>
      </c>
      <c r="X189" s="27" t="str">
        <f aca="false">IF($K189="","출고일 미정",IF($P189="X","작지 미발행",IF($P189="부분","작지 일부 미발행",IF(AND($R189&lt;&gt;"",$R189&gt;$N189),"소재입고 마감("&amp;TEXT($N189,"MM/DD")&amp;") 초과",IF($P189="","발행여부 확인 필요",IF($R189="","소재 입고일정 확인 필요","정상"))))))</f>
        <v>소재 입고일정 확인 필요</v>
      </c>
      <c r="Y189" s="25" t="str">
        <f aca="false">IF($K189="","",IF(OR(LEFT($X189,2)="작지",LEFT($X189,4)="소재입고"),IF(LEFT($G189,1)="S","★ 납기위험(S코드)","◆ 지연주의"),IF($X189="정상","✓ 정상","? 확인필요")))</f>
        <v>? 확인필요</v>
      </c>
      <c r="Z189" s="28"/>
      <c r="AA189" s="34"/>
    </row>
    <row r="190" customFormat="false" ht="15" hidden="false" customHeight="false" outlineLevel="0" collapsed="false">
      <c r="A190" s="25" t="n">
        <v>186</v>
      </c>
      <c r="B190" s="26" t="s">
        <v>204</v>
      </c>
      <c r="C190" s="26" t="s">
        <v>205</v>
      </c>
      <c r="D190" s="27" t="s">
        <v>650</v>
      </c>
      <c r="E190" s="26" t="s">
        <v>651</v>
      </c>
      <c r="F190" s="27" t="s">
        <v>652</v>
      </c>
      <c r="G190" s="25" t="str">
        <f aca="false">IF($D190="","",IF(MID($D190,5,1)="S","S(봄)",IF(MID($D190,5,1)="M","M(여름)",IF(MID($D190,5,1)="X","X(사계절)",MID($D190,5,1)))))</f>
        <v>M(여름)</v>
      </c>
      <c r="H190" s="26" t="s">
        <v>79</v>
      </c>
      <c r="I190" s="25"/>
      <c r="J190" s="28" t="s">
        <v>626</v>
      </c>
      <c r="K190" s="29" t="n">
        <f aca="false">IF($J190="","",IFERROR(DATE(IF(VALUE(LEFT($J190,FIND("월",$J190)-1))&gt;=9,기준정보!$C$7-1,기준정보!$C$7),VALUE(LEFT($J190,FIND("월",$J190)-1)),1+7*(VALUE(SUBSTITUTE(MID($J190,FIND("월",$J190)+1,5),"주",""))-1)),""))</f>
        <v>46454</v>
      </c>
      <c r="L190" s="29" t="n">
        <f aca="false">IF($K190="","",IF(AND($K190-기준정보!$C$5&gt;=기준정보!$C$10,$K190-기준정보!$C$5&lt;=기준정보!$C$11),기준정보!$C$10-1,$K190-기준정보!$C$5))</f>
        <v>46440</v>
      </c>
      <c r="M190" s="30" t="n">
        <f aca="false">IF($L190="","",IF(OR(ISNUMBER(SEARCH("중국",$U190)),ISNUMBER(SEARCH("베트남",$U190))),MAX(0,MIN($L190,기준정보!$C$9)-MAX($L190-기준정보!$C$6,기준정보!$C$8)+1),IF(ISNUMBER(SEARCH("한국",$U190)),MAX(0,MIN($L190,기준정보!$C$11)-MAX($L190-기준정보!$C$6,기준정보!$C$10)+1),0)))</f>
        <v>15</v>
      </c>
      <c r="N190" s="29" t="n">
        <f aca="false">IF($L190="","",$L190-기준정보!$C$6-$M190)</f>
        <v>46335</v>
      </c>
      <c r="O190" s="31" t="n">
        <f aca="false">IF($N190="","",$N190-기준정보!$C$4)</f>
        <v>93</v>
      </c>
      <c r="P190" s="28" t="s">
        <v>82</v>
      </c>
      <c r="Q190" s="28" t="s">
        <v>83</v>
      </c>
      <c r="R190" s="32"/>
      <c r="S190" s="27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T190" s="26" t="s">
        <v>311</v>
      </c>
      <c r="U190" s="26" t="s">
        <v>85</v>
      </c>
      <c r="V190" s="33" t="n">
        <v>2500</v>
      </c>
      <c r="W190" s="27" t="s">
        <v>626</v>
      </c>
      <c r="X190" s="27" t="str">
        <f aca="false">IF($K190="","출고일 미정",IF($P190="X","작지 미발행",IF($P190="부분","작지 일부 미발행",IF(AND($R190&lt;&gt;"",$R190&gt;$N190),"소재입고 마감("&amp;TEXT($N190,"MM/DD")&amp;") 초과",IF($P190="","발행여부 확인 필요",IF($R190="","소재 입고일정 확인 필요","정상"))))))</f>
        <v>소재 입고일정 확인 필요</v>
      </c>
      <c r="Y190" s="25" t="str">
        <f aca="false">IF($K190="","",IF(OR(LEFT($X190,2)="작지",LEFT($X190,4)="소재입고"),IF(LEFT($G190,1)="S","★ 납기위험(S코드)","◆ 지연주의"),IF($X190="정상","✓ 정상","? 확인필요")))</f>
        <v>? 확인필요</v>
      </c>
      <c r="Z190" s="28"/>
      <c r="AA190" s="34"/>
    </row>
    <row r="191" customFormat="false" ht="15" hidden="false" customHeight="false" outlineLevel="0" collapsed="false">
      <c r="A191" s="25" t="n">
        <v>187</v>
      </c>
      <c r="B191" s="26" t="s">
        <v>204</v>
      </c>
      <c r="C191" s="26" t="s">
        <v>205</v>
      </c>
      <c r="D191" s="27" t="s">
        <v>653</v>
      </c>
      <c r="E191" s="26" t="s">
        <v>654</v>
      </c>
      <c r="F191" s="27" t="s">
        <v>649</v>
      </c>
      <c r="G191" s="25" t="str">
        <f aca="false">IF($D191="","",IF(MID($D191,5,1)="S","S(봄)",IF(MID($D191,5,1)="M","M(여름)",IF(MID($D191,5,1)="X","X(사계절)",MID($D191,5,1)))))</f>
        <v>M(여름)</v>
      </c>
      <c r="H191" s="26" t="s">
        <v>79</v>
      </c>
      <c r="I191" s="25"/>
      <c r="J191" s="28" t="s">
        <v>626</v>
      </c>
      <c r="K191" s="29" t="n">
        <f aca="false">IF($J191="","",IFERROR(DATE(IF(VALUE(LEFT($J191,FIND("월",$J191)-1))&gt;=9,기준정보!$C$7-1,기준정보!$C$7),VALUE(LEFT($J191,FIND("월",$J191)-1)),1+7*(VALUE(SUBSTITUTE(MID($J191,FIND("월",$J191)+1,5),"주",""))-1)),""))</f>
        <v>46454</v>
      </c>
      <c r="L191" s="29" t="n">
        <f aca="false">IF($K191="","",IF(AND($K191-기준정보!$C$5&gt;=기준정보!$C$10,$K191-기준정보!$C$5&lt;=기준정보!$C$11),기준정보!$C$10-1,$K191-기준정보!$C$5))</f>
        <v>46440</v>
      </c>
      <c r="M191" s="30" t="n">
        <f aca="false">IF($L191="","",IF(OR(ISNUMBER(SEARCH("중국",$U191)),ISNUMBER(SEARCH("베트남",$U191))),MAX(0,MIN($L191,기준정보!$C$9)-MAX($L191-기준정보!$C$6,기준정보!$C$8)+1),IF(ISNUMBER(SEARCH("한국",$U191)),MAX(0,MIN($L191,기준정보!$C$11)-MAX($L191-기준정보!$C$6,기준정보!$C$10)+1),0)))</f>
        <v>15</v>
      </c>
      <c r="N191" s="29" t="n">
        <f aca="false">IF($L191="","",$L191-기준정보!$C$6-$M191)</f>
        <v>46335</v>
      </c>
      <c r="O191" s="31" t="n">
        <f aca="false">IF($N191="","",$N191-기준정보!$C$4)</f>
        <v>93</v>
      </c>
      <c r="P191" s="28" t="s">
        <v>82</v>
      </c>
      <c r="Q191" s="28" t="s">
        <v>83</v>
      </c>
      <c r="R191" s="32"/>
      <c r="S191" s="27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T191" s="26" t="s">
        <v>106</v>
      </c>
      <c r="U191" s="26" t="s">
        <v>85</v>
      </c>
      <c r="V191" s="33" t="n">
        <v>4500</v>
      </c>
      <c r="W191" s="27" t="s">
        <v>626</v>
      </c>
      <c r="X191" s="27" t="str">
        <f aca="false">IF($K191="","출고일 미정",IF($P191="X","작지 미발행",IF($P191="부분","작지 일부 미발행",IF(AND($R191&lt;&gt;"",$R191&gt;$N191),"소재입고 마감("&amp;TEXT($N191,"MM/DD")&amp;") 초과",IF($P191="","발행여부 확인 필요",IF($R191="","소재 입고일정 확인 필요","정상"))))))</f>
        <v>소재 입고일정 확인 필요</v>
      </c>
      <c r="Y191" s="25" t="str">
        <f aca="false">IF($K191="","",IF(OR(LEFT($X191,2)="작지",LEFT($X191,4)="소재입고"),IF(LEFT($G191,1)="S","★ 납기위험(S코드)","◆ 지연주의"),IF($X191="정상","✓ 정상","? 확인필요")))</f>
        <v>? 확인필요</v>
      </c>
      <c r="Z191" s="28"/>
      <c r="AA191" s="34"/>
    </row>
    <row r="192" customFormat="false" ht="15" hidden="false" customHeight="false" outlineLevel="0" collapsed="false">
      <c r="A192" s="25" t="n">
        <v>188</v>
      </c>
      <c r="B192" s="26" t="s">
        <v>204</v>
      </c>
      <c r="C192" s="26" t="s">
        <v>205</v>
      </c>
      <c r="D192" s="27" t="s">
        <v>655</v>
      </c>
      <c r="E192" s="26" t="s">
        <v>656</v>
      </c>
      <c r="F192" s="27" t="s">
        <v>657</v>
      </c>
      <c r="G192" s="25" t="str">
        <f aca="false">IF($D192="","",IF(MID($D192,5,1)="S","S(봄)",IF(MID($D192,5,1)="M","M(여름)",IF(MID($D192,5,1)="X","X(사계절)",MID($D192,5,1)))))</f>
        <v>M(여름)</v>
      </c>
      <c r="H192" s="26" t="s">
        <v>79</v>
      </c>
      <c r="I192" s="25"/>
      <c r="J192" s="28" t="s">
        <v>626</v>
      </c>
      <c r="K192" s="29" t="n">
        <f aca="false">IF($J192="","",IFERROR(DATE(IF(VALUE(LEFT($J192,FIND("월",$J192)-1))&gt;=9,기준정보!$C$7-1,기준정보!$C$7),VALUE(LEFT($J192,FIND("월",$J192)-1)),1+7*(VALUE(SUBSTITUTE(MID($J192,FIND("월",$J192)+1,5),"주",""))-1)),""))</f>
        <v>46454</v>
      </c>
      <c r="L192" s="29" t="n">
        <f aca="false">IF($K192="","",IF(AND($K192-기준정보!$C$5&gt;=기준정보!$C$10,$K192-기준정보!$C$5&lt;=기준정보!$C$11),기준정보!$C$10-1,$K192-기준정보!$C$5))</f>
        <v>46440</v>
      </c>
      <c r="M192" s="30" t="n">
        <f aca="false">IF($L192="","",IF(OR(ISNUMBER(SEARCH("중국",$U192)),ISNUMBER(SEARCH("베트남",$U192))),MAX(0,MIN($L192,기준정보!$C$9)-MAX($L192-기준정보!$C$6,기준정보!$C$8)+1),IF(ISNUMBER(SEARCH("한국",$U192)),MAX(0,MIN($L192,기준정보!$C$11)-MAX($L192-기준정보!$C$6,기준정보!$C$10)+1),0)))</f>
        <v>0</v>
      </c>
      <c r="N192" s="29" t="n">
        <f aca="false">IF($L192="","",$L192-기준정보!$C$6-$M192)</f>
        <v>46350</v>
      </c>
      <c r="O192" s="31" t="n">
        <f aca="false">IF($N192="","",$N192-기준정보!$C$4)</f>
        <v>108</v>
      </c>
      <c r="P192" s="28" t="s">
        <v>82</v>
      </c>
      <c r="Q192" s="28" t="s">
        <v>83</v>
      </c>
      <c r="R192" s="32"/>
      <c r="S192" s="27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T192" s="27" t="s">
        <v>243</v>
      </c>
      <c r="U192" s="26" t="s">
        <v>90</v>
      </c>
      <c r="V192" s="33" t="n">
        <v>1600</v>
      </c>
      <c r="W192" s="27" t="s">
        <v>626</v>
      </c>
      <c r="X192" s="27" t="str">
        <f aca="false">IF($K192="","출고일 미정",IF($P192="X","작지 미발행",IF($P192="부분","작지 일부 미발행",IF(AND($R192&lt;&gt;"",$R192&gt;$N192),"소재입고 마감("&amp;TEXT($N192,"MM/DD")&amp;") 초과",IF($P192="","발행여부 확인 필요",IF($R192="","소재 입고일정 확인 필요","정상"))))))</f>
        <v>소재 입고일정 확인 필요</v>
      </c>
      <c r="Y192" s="25" t="str">
        <f aca="false">IF($K192="","",IF(OR(LEFT($X192,2)="작지",LEFT($X192,4)="소재입고"),IF(LEFT($G192,1)="S","★ 납기위험(S코드)","◆ 지연주의"),IF($X192="정상","✓ 정상","? 확인필요")))</f>
        <v>? 확인필요</v>
      </c>
      <c r="Z192" s="28"/>
      <c r="AA192" s="34"/>
    </row>
    <row r="193" customFormat="false" ht="15" hidden="false" customHeight="false" outlineLevel="0" collapsed="false">
      <c r="A193" s="25" t="n">
        <v>189</v>
      </c>
      <c r="B193" s="26" t="s">
        <v>199</v>
      </c>
      <c r="C193" s="26" t="s">
        <v>205</v>
      </c>
      <c r="D193" s="27" t="s">
        <v>658</v>
      </c>
      <c r="E193" s="26" t="s">
        <v>659</v>
      </c>
      <c r="F193" s="27" t="s">
        <v>660</v>
      </c>
      <c r="G193" s="25" t="str">
        <f aca="false">IF($D193="","",IF(MID($D193,5,1)="S","S(봄)",IF(MID($D193,5,1)="M","M(여름)",IF(MID($D193,5,1)="X","X(사계절)",MID($D193,5,1)))))</f>
        <v>M(여름)</v>
      </c>
      <c r="H193" s="27" t="s">
        <v>209</v>
      </c>
      <c r="I193" s="25"/>
      <c r="J193" s="28" t="s">
        <v>626</v>
      </c>
      <c r="K193" s="29" t="n">
        <f aca="false">IF($J193="","",IFERROR(DATE(IF(VALUE(LEFT($J193,FIND("월",$J193)-1))&gt;=9,기준정보!$C$7-1,기준정보!$C$7),VALUE(LEFT($J193,FIND("월",$J193)-1)),1+7*(VALUE(SUBSTITUTE(MID($J193,FIND("월",$J193)+1,5),"주",""))-1)),""))</f>
        <v>46454</v>
      </c>
      <c r="L193" s="29" t="n">
        <f aca="false">IF($K193="","",IF(AND($K193-기준정보!$C$5&gt;=기준정보!$C$10,$K193-기준정보!$C$5&lt;=기준정보!$C$11),기준정보!$C$10-1,$K193-기준정보!$C$5))</f>
        <v>46440</v>
      </c>
      <c r="M193" s="30" t="n">
        <f aca="false">IF($L193="","",IF(OR(ISNUMBER(SEARCH("중국",$U193)),ISNUMBER(SEARCH("베트남",$U193))),MAX(0,MIN($L193,기준정보!$C$9)-MAX($L193-기준정보!$C$6,기준정보!$C$8)+1),IF(ISNUMBER(SEARCH("한국",$U193)),MAX(0,MIN($L193,기준정보!$C$11)-MAX($L193-기준정보!$C$6,기준정보!$C$10)+1),0)))</f>
        <v>0</v>
      </c>
      <c r="N193" s="29" t="n">
        <f aca="false">IF($L193="","",$L193-기준정보!$C$6-$M193)</f>
        <v>46350</v>
      </c>
      <c r="O193" s="31" t="n">
        <f aca="false">IF($N193="","",$N193-기준정보!$C$4)</f>
        <v>108</v>
      </c>
      <c r="P193" s="28" t="s">
        <v>82</v>
      </c>
      <c r="Q193" s="28" t="s">
        <v>83</v>
      </c>
      <c r="R193" s="32"/>
      <c r="S193" s="27" t="str">
        <f aca="false">IF($H193="","",IF(AND(ISNUMBER(SEARCH("CMT",$H193)),OR(ISNUMBER(SEARCH("완사입",$H193)),ISNUMBER(SEARCH("ODM",$H193)))),"본사/생산처 혼재",IF(ISNUMBER(SEARCH("CMT",$H193)),"본사(소재팀)","생산처")))</f>
        <v>본사(소재팀)</v>
      </c>
      <c r="T193" s="26" t="s">
        <v>266</v>
      </c>
      <c r="U193" s="27"/>
      <c r="V193" s="33" t="n">
        <v>5500</v>
      </c>
      <c r="W193" s="27" t="s">
        <v>626</v>
      </c>
      <c r="X193" s="27" t="str">
        <f aca="false">IF($K193="","출고일 미정",IF($P193="X","작지 미발행",IF($P193="부분","작지 일부 미발행",IF(AND($R193&lt;&gt;"",$R193&gt;$N193),"소재입고 마감("&amp;TEXT($N193,"MM/DD")&amp;") 초과",IF($P193="","발행여부 확인 필요",IF($R193="","소재 입고일정 확인 필요","정상"))))))</f>
        <v>소재 입고일정 확인 필요</v>
      </c>
      <c r="Y193" s="25" t="str">
        <f aca="false">IF($K193="","",IF(OR(LEFT($X193,2)="작지",LEFT($X193,4)="소재입고"),IF(LEFT($G193,1)="S","★ 납기위험(S코드)","◆ 지연주의"),IF($X193="정상","✓ 정상","? 확인필요")))</f>
        <v>? 확인필요</v>
      </c>
      <c r="Z193" s="28"/>
      <c r="AA193" s="34"/>
    </row>
    <row r="194" customFormat="false" ht="15" hidden="false" customHeight="false" outlineLevel="0" collapsed="false">
      <c r="A194" s="25" t="n">
        <v>190</v>
      </c>
      <c r="B194" s="26" t="s">
        <v>220</v>
      </c>
      <c r="C194" s="26" t="s">
        <v>200</v>
      </c>
      <c r="D194" s="27" t="s">
        <v>661</v>
      </c>
      <c r="E194" s="26" t="s">
        <v>662</v>
      </c>
      <c r="F194" s="27" t="s">
        <v>663</v>
      </c>
      <c r="G194" s="25" t="str">
        <f aca="false">IF($D194="","",IF(MID($D194,5,1)="S","S(봄)",IF(MID($D194,5,1)="M","M(여름)",IF(MID($D194,5,1)="X","X(사계절)",MID($D194,5,1)))))</f>
        <v>M(여름)</v>
      </c>
      <c r="H194" s="26" t="s">
        <v>79</v>
      </c>
      <c r="I194" s="25"/>
      <c r="J194" s="28" t="s">
        <v>626</v>
      </c>
      <c r="K194" s="29" t="n">
        <f aca="false">IF($J194="","",IFERROR(DATE(IF(VALUE(LEFT($J194,FIND("월",$J194)-1))&gt;=9,기준정보!$C$7-1,기준정보!$C$7),VALUE(LEFT($J194,FIND("월",$J194)-1)),1+7*(VALUE(SUBSTITUTE(MID($J194,FIND("월",$J194)+1,5),"주",""))-1)),""))</f>
        <v>46454</v>
      </c>
      <c r="L194" s="29" t="n">
        <f aca="false">IF($K194="","",IF(AND($K194-기준정보!$C$5&gt;=기준정보!$C$10,$K194-기준정보!$C$5&lt;=기준정보!$C$11),기준정보!$C$10-1,$K194-기준정보!$C$5))</f>
        <v>46440</v>
      </c>
      <c r="M194" s="30" t="n">
        <f aca="false">IF($L194="","",IF(OR(ISNUMBER(SEARCH("중국",$U194)),ISNUMBER(SEARCH("베트남",$U194))),MAX(0,MIN($L194,기준정보!$C$9)-MAX($L194-기준정보!$C$6,기준정보!$C$8)+1),IF(ISNUMBER(SEARCH("한국",$U194)),MAX(0,MIN($L194,기준정보!$C$11)-MAX($L194-기준정보!$C$6,기준정보!$C$10)+1),0)))</f>
        <v>15</v>
      </c>
      <c r="N194" s="29" t="n">
        <f aca="false">IF($L194="","",$L194-기준정보!$C$6-$M194)</f>
        <v>46335</v>
      </c>
      <c r="O194" s="31" t="n">
        <f aca="false">IF($N194="","",$N194-기준정보!$C$4)</f>
        <v>93</v>
      </c>
      <c r="P194" s="28" t="s">
        <v>82</v>
      </c>
      <c r="Q194" s="28" t="s">
        <v>83</v>
      </c>
      <c r="R194" s="32"/>
      <c r="S194" s="27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T194" s="26" t="s">
        <v>266</v>
      </c>
      <c r="U194" s="26" t="s">
        <v>85</v>
      </c>
      <c r="V194" s="33" t="n">
        <v>13500</v>
      </c>
      <c r="W194" s="27"/>
      <c r="X194" s="27" t="str">
        <f aca="false">IF($K194="","출고일 미정",IF($P194="X","작지 미발행",IF($P194="부분","작지 일부 미발행",IF(AND($R194&lt;&gt;"",$R194&gt;$N194),"소재입고 마감("&amp;TEXT($N194,"MM/DD")&amp;") 초과",IF($P194="","발행여부 확인 필요",IF($R194="","소재 입고일정 확인 필요","정상"))))))</f>
        <v>소재 입고일정 확인 필요</v>
      </c>
      <c r="Y194" s="25" t="str">
        <f aca="false">IF($K194="","",IF(OR(LEFT($X194,2)="작지",LEFT($X194,4)="소재입고"),IF(LEFT($G194,1)="S","★ 납기위험(S코드)","◆ 지연주의"),IF($X194="정상","✓ 정상","? 확인필요")))</f>
        <v>? 확인필요</v>
      </c>
      <c r="Z194" s="28"/>
      <c r="AA194" s="34"/>
    </row>
    <row r="195" customFormat="false" ht="15" hidden="false" customHeight="false" outlineLevel="0" collapsed="false">
      <c r="A195" s="25" t="n">
        <v>191</v>
      </c>
      <c r="B195" s="26" t="s">
        <v>220</v>
      </c>
      <c r="C195" s="26" t="s">
        <v>200</v>
      </c>
      <c r="D195" s="27" t="s">
        <v>664</v>
      </c>
      <c r="E195" s="26" t="s">
        <v>665</v>
      </c>
      <c r="F195" s="27" t="s">
        <v>666</v>
      </c>
      <c r="G195" s="25" t="str">
        <f aca="false">IF($D195="","",IF(MID($D195,5,1)="S","S(봄)",IF(MID($D195,5,1)="M","M(여름)",IF(MID($D195,5,1)="X","X(사계절)",MID($D195,5,1)))))</f>
        <v>M(여름)</v>
      </c>
      <c r="H195" s="26" t="s">
        <v>79</v>
      </c>
      <c r="I195" s="25"/>
      <c r="J195" s="28" t="s">
        <v>626</v>
      </c>
      <c r="K195" s="29" t="n">
        <f aca="false">IF($J195="","",IFERROR(DATE(IF(VALUE(LEFT($J195,FIND("월",$J195)-1))&gt;=9,기준정보!$C$7-1,기준정보!$C$7),VALUE(LEFT($J195,FIND("월",$J195)-1)),1+7*(VALUE(SUBSTITUTE(MID($J195,FIND("월",$J195)+1,5),"주",""))-1)),""))</f>
        <v>46454</v>
      </c>
      <c r="L195" s="29" t="n">
        <f aca="false">IF($K195="","",IF(AND($K195-기준정보!$C$5&gt;=기준정보!$C$10,$K195-기준정보!$C$5&lt;=기준정보!$C$11),기준정보!$C$10-1,$K195-기준정보!$C$5))</f>
        <v>46440</v>
      </c>
      <c r="M195" s="30" t="n">
        <f aca="false">IF($L195="","",IF(OR(ISNUMBER(SEARCH("중국",$U195)),ISNUMBER(SEARCH("베트남",$U195))),MAX(0,MIN($L195,기준정보!$C$9)-MAX($L195-기준정보!$C$6,기준정보!$C$8)+1),IF(ISNUMBER(SEARCH("한국",$U195)),MAX(0,MIN($L195,기준정보!$C$11)-MAX($L195-기준정보!$C$6,기준정보!$C$10)+1),0)))</f>
        <v>0</v>
      </c>
      <c r="N195" s="29" t="n">
        <f aca="false">IF($L195="","",$L195-기준정보!$C$6-$M195)</f>
        <v>46350</v>
      </c>
      <c r="O195" s="31" t="n">
        <f aca="false">IF($N195="","",$N195-기준정보!$C$4)</f>
        <v>108</v>
      </c>
      <c r="P195" s="28" t="s">
        <v>82</v>
      </c>
      <c r="Q195" s="28" t="s">
        <v>83</v>
      </c>
      <c r="R195" s="32"/>
      <c r="S195" s="27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T195" s="26" t="s">
        <v>89</v>
      </c>
      <c r="U195" s="26" t="s">
        <v>90</v>
      </c>
      <c r="V195" s="33" t="n">
        <v>3200</v>
      </c>
      <c r="W195" s="27"/>
      <c r="X195" s="27" t="str">
        <f aca="false">IF($K195="","출고일 미정",IF($P195="X","작지 미발행",IF($P195="부분","작지 일부 미발행",IF(AND($R195&lt;&gt;"",$R195&gt;$N195),"소재입고 마감("&amp;TEXT($N195,"MM/DD")&amp;") 초과",IF($P195="","발행여부 확인 필요",IF($R195="","소재 입고일정 확인 필요","정상"))))))</f>
        <v>소재 입고일정 확인 필요</v>
      </c>
      <c r="Y195" s="25" t="str">
        <f aca="false">IF($K195="","",IF(OR(LEFT($X195,2)="작지",LEFT($X195,4)="소재입고"),IF(LEFT($G195,1)="S","★ 납기위험(S코드)","◆ 지연주의"),IF($X195="정상","✓ 정상","? 확인필요")))</f>
        <v>? 확인필요</v>
      </c>
      <c r="Z195" s="28"/>
      <c r="AA195" s="34"/>
    </row>
    <row r="196" customFormat="false" ht="15" hidden="false" customHeight="false" outlineLevel="0" collapsed="false">
      <c r="A196" s="25" t="n">
        <v>192</v>
      </c>
      <c r="B196" s="26" t="s">
        <v>224</v>
      </c>
      <c r="C196" s="26" t="s">
        <v>225</v>
      </c>
      <c r="D196" s="27" t="s">
        <v>667</v>
      </c>
      <c r="E196" s="26" t="s">
        <v>668</v>
      </c>
      <c r="F196" s="27" t="s">
        <v>669</v>
      </c>
      <c r="G196" s="25" t="str">
        <f aca="false">IF($D196="","",IF(MID($D196,5,1)="S","S(봄)",IF(MID($D196,5,1)="M","M(여름)",IF(MID($D196,5,1)="X","X(사계절)",MID($D196,5,1)))))</f>
        <v>M(여름)</v>
      </c>
      <c r="H196" s="26" t="s">
        <v>79</v>
      </c>
      <c r="I196" s="25" t="s">
        <v>416</v>
      </c>
      <c r="J196" s="28" t="s">
        <v>626</v>
      </c>
      <c r="K196" s="29" t="n">
        <f aca="false">IF($J196="","",IFERROR(DATE(IF(VALUE(LEFT($J196,FIND("월",$J196)-1))&gt;=9,기준정보!$C$7-1,기준정보!$C$7),VALUE(LEFT($J196,FIND("월",$J196)-1)),1+7*(VALUE(SUBSTITUTE(MID($J196,FIND("월",$J196)+1,5),"주",""))-1)),""))</f>
        <v>46454</v>
      </c>
      <c r="L196" s="29" t="n">
        <f aca="false">IF($K196="","",IF(AND($K196-기준정보!$C$5&gt;=기준정보!$C$10,$K196-기준정보!$C$5&lt;=기준정보!$C$11),기준정보!$C$10-1,$K196-기준정보!$C$5))</f>
        <v>46440</v>
      </c>
      <c r="M196" s="30" t="n">
        <f aca="false">IF($L196="","",IF(OR(ISNUMBER(SEARCH("중국",$U196)),ISNUMBER(SEARCH("베트남",$U196))),MAX(0,MIN($L196,기준정보!$C$9)-MAX($L196-기준정보!$C$6,기준정보!$C$8)+1),IF(ISNUMBER(SEARCH("한국",$U196)),MAX(0,MIN($L196,기준정보!$C$11)-MAX($L196-기준정보!$C$6,기준정보!$C$10)+1),0)))</f>
        <v>15</v>
      </c>
      <c r="N196" s="29" t="n">
        <f aca="false">IF($L196="","",$L196-기준정보!$C$6-$M196)</f>
        <v>46335</v>
      </c>
      <c r="O196" s="31" t="n">
        <f aca="false">IF($N196="","",$N196-기준정보!$C$4)</f>
        <v>93</v>
      </c>
      <c r="P196" s="28" t="s">
        <v>82</v>
      </c>
      <c r="Q196" s="28" t="s">
        <v>83</v>
      </c>
      <c r="R196" s="32"/>
      <c r="S196" s="27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T196" s="27" t="s">
        <v>149</v>
      </c>
      <c r="U196" s="26" t="s">
        <v>85</v>
      </c>
      <c r="V196" s="33" t="n">
        <v>1616</v>
      </c>
      <c r="W196" s="27" t="s">
        <v>626</v>
      </c>
      <c r="X196" s="27" t="str">
        <f aca="false">IF($K196="","출고일 미정",IF($P196="X","작지 미발행",IF($P196="부분","작지 일부 미발행",IF(AND($R196&lt;&gt;"",$R196&gt;$N196),"소재입고 마감("&amp;TEXT($N196,"MM/DD")&amp;") 초과",IF($P196="","발행여부 확인 필요",IF($R196="","소재 입고일정 확인 필요","정상"))))))</f>
        <v>소재 입고일정 확인 필요</v>
      </c>
      <c r="Y196" s="25" t="str">
        <f aca="false">IF($K196="","",IF(OR(LEFT($X196,2)="작지",LEFT($X196,4)="소재입고"),IF(LEFT($G196,1)="S","★ 납기위험(S코드)","◆ 지연주의"),IF($X196="정상","✓ 정상","? 확인필요")))</f>
        <v>? 확인필요</v>
      </c>
      <c r="Z196" s="28"/>
      <c r="AA196" s="34"/>
    </row>
    <row r="197" customFormat="false" ht="15" hidden="false" customHeight="false" outlineLevel="0" collapsed="false">
      <c r="A197" s="25" t="n">
        <v>193</v>
      </c>
      <c r="B197" s="26" t="s">
        <v>224</v>
      </c>
      <c r="C197" s="26" t="s">
        <v>225</v>
      </c>
      <c r="D197" s="27" t="s">
        <v>670</v>
      </c>
      <c r="E197" s="26" t="s">
        <v>671</v>
      </c>
      <c r="F197" s="27" t="s">
        <v>672</v>
      </c>
      <c r="G197" s="25" t="str">
        <f aca="false">IF($D197="","",IF(MID($D197,5,1)="S","S(봄)",IF(MID($D197,5,1)="M","M(여름)",IF(MID($D197,5,1)="X","X(사계절)",MID($D197,5,1)))))</f>
        <v>M(여름)</v>
      </c>
      <c r="H197" s="26" t="s">
        <v>79</v>
      </c>
      <c r="I197" s="25" t="s">
        <v>416</v>
      </c>
      <c r="J197" s="28" t="s">
        <v>626</v>
      </c>
      <c r="K197" s="29" t="n">
        <f aca="false">IF($J197="","",IFERROR(DATE(IF(VALUE(LEFT($J197,FIND("월",$J197)-1))&gt;=9,기준정보!$C$7-1,기준정보!$C$7),VALUE(LEFT($J197,FIND("월",$J197)-1)),1+7*(VALUE(SUBSTITUTE(MID($J197,FIND("월",$J197)+1,5),"주",""))-1)),""))</f>
        <v>46454</v>
      </c>
      <c r="L197" s="29" t="n">
        <f aca="false">IF($K197="","",IF(AND($K197-기준정보!$C$5&gt;=기준정보!$C$10,$K197-기준정보!$C$5&lt;=기준정보!$C$11),기준정보!$C$10-1,$K197-기준정보!$C$5))</f>
        <v>46440</v>
      </c>
      <c r="M197" s="30" t="n">
        <f aca="false">IF($L197="","",IF(OR(ISNUMBER(SEARCH("중국",$U197)),ISNUMBER(SEARCH("베트남",$U197))),MAX(0,MIN($L197,기준정보!$C$9)-MAX($L197-기준정보!$C$6,기준정보!$C$8)+1),IF(ISNUMBER(SEARCH("한국",$U197)),MAX(0,MIN($L197,기준정보!$C$11)-MAX($L197-기준정보!$C$6,기준정보!$C$10)+1),0)))</f>
        <v>15</v>
      </c>
      <c r="N197" s="29" t="n">
        <f aca="false">IF($L197="","",$L197-기준정보!$C$6-$M197)</f>
        <v>46335</v>
      </c>
      <c r="O197" s="31" t="n">
        <f aca="false">IF($N197="","",$N197-기준정보!$C$4)</f>
        <v>93</v>
      </c>
      <c r="P197" s="28" t="s">
        <v>82</v>
      </c>
      <c r="Q197" s="28" t="s">
        <v>83</v>
      </c>
      <c r="R197" s="32"/>
      <c r="S197" s="27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T197" s="26" t="s">
        <v>258</v>
      </c>
      <c r="U197" s="26" t="s">
        <v>85</v>
      </c>
      <c r="V197" s="33" t="n">
        <v>6500</v>
      </c>
      <c r="W197" s="27" t="s">
        <v>626</v>
      </c>
      <c r="X197" s="27" t="str">
        <f aca="false">IF($K197="","출고일 미정",IF($P197="X","작지 미발행",IF($P197="부분","작지 일부 미발행",IF(AND($R197&lt;&gt;"",$R197&gt;$N197),"소재입고 마감("&amp;TEXT($N197,"MM/DD")&amp;") 초과",IF($P197="","발행여부 확인 필요",IF($R197="","소재 입고일정 확인 필요","정상"))))))</f>
        <v>소재 입고일정 확인 필요</v>
      </c>
      <c r="Y197" s="25" t="str">
        <f aca="false">IF($K197="","",IF(OR(LEFT($X197,2)="작지",LEFT($X197,4)="소재입고"),IF(LEFT($G197,1)="S","★ 납기위험(S코드)","◆ 지연주의"),IF($X197="정상","✓ 정상","? 확인필요")))</f>
        <v>? 확인필요</v>
      </c>
      <c r="Z197" s="28"/>
      <c r="AA197" s="34"/>
    </row>
    <row r="198" customFormat="false" ht="15" hidden="false" customHeight="false" outlineLevel="0" collapsed="false">
      <c r="A198" s="25" t="n">
        <v>194</v>
      </c>
      <c r="B198" s="26" t="s">
        <v>224</v>
      </c>
      <c r="C198" s="26" t="s">
        <v>225</v>
      </c>
      <c r="D198" s="27" t="s">
        <v>673</v>
      </c>
      <c r="E198" s="26" t="s">
        <v>674</v>
      </c>
      <c r="F198" s="27" t="s">
        <v>675</v>
      </c>
      <c r="G198" s="25" t="str">
        <f aca="false">IF($D198="","",IF(MID($D198,5,1)="S","S(봄)",IF(MID($D198,5,1)="M","M(여름)",IF(MID($D198,5,1)="X","X(사계절)",MID($D198,5,1)))))</f>
        <v>M(여름)</v>
      </c>
      <c r="H198" s="26" t="s">
        <v>79</v>
      </c>
      <c r="I198" s="25" t="s">
        <v>416</v>
      </c>
      <c r="J198" s="28" t="s">
        <v>626</v>
      </c>
      <c r="K198" s="29" t="n">
        <f aca="false">IF($J198="","",IFERROR(DATE(IF(VALUE(LEFT($J198,FIND("월",$J198)-1))&gt;=9,기준정보!$C$7-1,기준정보!$C$7),VALUE(LEFT($J198,FIND("월",$J198)-1)),1+7*(VALUE(SUBSTITUTE(MID($J198,FIND("월",$J198)+1,5),"주",""))-1)),""))</f>
        <v>46454</v>
      </c>
      <c r="L198" s="29" t="n">
        <f aca="false">IF($K198="","",IF(AND($K198-기준정보!$C$5&gt;=기준정보!$C$10,$K198-기준정보!$C$5&lt;=기준정보!$C$11),기준정보!$C$10-1,$K198-기준정보!$C$5))</f>
        <v>46440</v>
      </c>
      <c r="M198" s="30" t="n">
        <f aca="false">IF($L198="","",IF(OR(ISNUMBER(SEARCH("중국",$U198)),ISNUMBER(SEARCH("베트남",$U198))),MAX(0,MIN($L198,기준정보!$C$9)-MAX($L198-기준정보!$C$6,기준정보!$C$8)+1),IF(ISNUMBER(SEARCH("한국",$U198)),MAX(0,MIN($L198,기준정보!$C$11)-MAX($L198-기준정보!$C$6,기준정보!$C$10)+1),0)))</f>
        <v>15</v>
      </c>
      <c r="N198" s="29" t="n">
        <f aca="false">IF($L198="","",$L198-기준정보!$C$6-$M198)</f>
        <v>46335</v>
      </c>
      <c r="O198" s="31" t="n">
        <f aca="false">IF($N198="","",$N198-기준정보!$C$4)</f>
        <v>93</v>
      </c>
      <c r="P198" s="28" t="s">
        <v>82</v>
      </c>
      <c r="Q198" s="28" t="s">
        <v>83</v>
      </c>
      <c r="R198" s="32"/>
      <c r="S198" s="27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T198" s="27" t="s">
        <v>149</v>
      </c>
      <c r="U198" s="26" t="s">
        <v>85</v>
      </c>
      <c r="V198" s="33" t="n">
        <v>1000</v>
      </c>
      <c r="W198" s="27" t="s">
        <v>626</v>
      </c>
      <c r="X198" s="27" t="str">
        <f aca="false">IF($K198="","출고일 미정",IF($P198="X","작지 미발행",IF($P198="부분","작지 일부 미발행",IF(AND($R198&lt;&gt;"",$R198&gt;$N198),"소재입고 마감("&amp;TEXT($N198,"MM/DD")&amp;") 초과",IF($P198="","발행여부 확인 필요",IF($R198="","소재 입고일정 확인 필요","정상"))))))</f>
        <v>소재 입고일정 확인 필요</v>
      </c>
      <c r="Y198" s="25" t="str">
        <f aca="false">IF($K198="","",IF(OR(LEFT($X198,2)="작지",LEFT($X198,4)="소재입고"),IF(LEFT($G198,1)="S","★ 납기위험(S코드)","◆ 지연주의"),IF($X198="정상","✓ 정상","? 확인필요")))</f>
        <v>? 확인필요</v>
      </c>
      <c r="Z198" s="28"/>
      <c r="AA198" s="34"/>
    </row>
    <row r="199" customFormat="false" ht="15" hidden="false" customHeight="false" outlineLevel="0" collapsed="false">
      <c r="A199" s="25" t="n">
        <v>195</v>
      </c>
      <c r="B199" s="26" t="s">
        <v>224</v>
      </c>
      <c r="C199" s="26" t="s">
        <v>225</v>
      </c>
      <c r="D199" s="27" t="s">
        <v>676</v>
      </c>
      <c r="E199" s="26" t="s">
        <v>677</v>
      </c>
      <c r="F199" s="27" t="s">
        <v>238</v>
      </c>
      <c r="G199" s="25" t="str">
        <f aca="false">IF($D199="","",IF(MID($D199,5,1)="S","S(봄)",IF(MID($D199,5,1)="M","M(여름)",IF(MID($D199,5,1)="X","X(사계절)",MID($D199,5,1)))))</f>
        <v>M(여름)</v>
      </c>
      <c r="H199" s="26" t="s">
        <v>79</v>
      </c>
      <c r="I199" s="25" t="s">
        <v>416</v>
      </c>
      <c r="J199" s="28" t="s">
        <v>626</v>
      </c>
      <c r="K199" s="29" t="n">
        <f aca="false">IF($J199="","",IFERROR(DATE(IF(VALUE(LEFT($J199,FIND("월",$J199)-1))&gt;=9,기준정보!$C$7-1,기준정보!$C$7),VALUE(LEFT($J199,FIND("월",$J199)-1)),1+7*(VALUE(SUBSTITUTE(MID($J199,FIND("월",$J199)+1,5),"주",""))-1)),""))</f>
        <v>46454</v>
      </c>
      <c r="L199" s="29" t="n">
        <f aca="false">IF($K199="","",IF(AND($K199-기준정보!$C$5&gt;=기준정보!$C$10,$K199-기준정보!$C$5&lt;=기준정보!$C$11),기준정보!$C$10-1,$K199-기준정보!$C$5))</f>
        <v>46440</v>
      </c>
      <c r="M199" s="30" t="n">
        <f aca="false">IF($L199="","",IF(OR(ISNUMBER(SEARCH("중국",$U199)),ISNUMBER(SEARCH("베트남",$U199))),MAX(0,MIN($L199,기준정보!$C$9)-MAX($L199-기준정보!$C$6,기준정보!$C$8)+1),IF(ISNUMBER(SEARCH("한국",$U199)),MAX(0,MIN($L199,기준정보!$C$11)-MAX($L199-기준정보!$C$6,기준정보!$C$10)+1),0)))</f>
        <v>15</v>
      </c>
      <c r="N199" s="29" t="n">
        <f aca="false">IF($L199="","",$L199-기준정보!$C$6-$M199)</f>
        <v>46335</v>
      </c>
      <c r="O199" s="31" t="n">
        <f aca="false">IF($N199="","",$N199-기준정보!$C$4)</f>
        <v>93</v>
      </c>
      <c r="P199" s="28" t="s">
        <v>82</v>
      </c>
      <c r="Q199" s="28" t="s">
        <v>83</v>
      </c>
      <c r="R199" s="32"/>
      <c r="S199" s="27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T199" s="27" t="s">
        <v>149</v>
      </c>
      <c r="U199" s="26" t="s">
        <v>85</v>
      </c>
      <c r="V199" s="33" t="n">
        <v>2000</v>
      </c>
      <c r="W199" s="27" t="s">
        <v>626</v>
      </c>
      <c r="X199" s="27" t="str">
        <f aca="false">IF($K199="","출고일 미정",IF($P199="X","작지 미발행",IF($P199="부분","작지 일부 미발행",IF(AND($R199&lt;&gt;"",$R199&gt;$N199),"소재입고 마감("&amp;TEXT($N199,"MM/DD")&amp;") 초과",IF($P199="","발행여부 확인 필요",IF($R199="","소재 입고일정 확인 필요","정상"))))))</f>
        <v>소재 입고일정 확인 필요</v>
      </c>
      <c r="Y199" s="25" t="str">
        <f aca="false">IF($K199="","",IF(OR(LEFT($X199,2)="작지",LEFT($X199,4)="소재입고"),IF(LEFT($G199,1)="S","★ 납기위험(S코드)","◆ 지연주의"),IF($X199="정상","✓ 정상","? 확인필요")))</f>
        <v>? 확인필요</v>
      </c>
      <c r="Z199" s="28"/>
      <c r="AA199" s="34"/>
    </row>
    <row r="200" customFormat="false" ht="15" hidden="false" customHeight="false" outlineLevel="0" collapsed="false">
      <c r="A200" s="25" t="n">
        <v>196</v>
      </c>
      <c r="B200" s="26" t="s">
        <v>224</v>
      </c>
      <c r="C200" s="26" t="s">
        <v>225</v>
      </c>
      <c r="D200" s="27" t="s">
        <v>678</v>
      </c>
      <c r="E200" s="26" t="s">
        <v>679</v>
      </c>
      <c r="F200" s="27" t="s">
        <v>219</v>
      </c>
      <c r="G200" s="25" t="str">
        <f aca="false">IF($D200="","",IF(MID($D200,5,1)="S","S(봄)",IF(MID($D200,5,1)="M","M(여름)",IF(MID($D200,5,1)="X","X(사계절)",MID($D200,5,1)))))</f>
        <v>M(여름)</v>
      </c>
      <c r="H200" s="26" t="s">
        <v>79</v>
      </c>
      <c r="I200" s="25" t="s">
        <v>416</v>
      </c>
      <c r="J200" s="28" t="s">
        <v>626</v>
      </c>
      <c r="K200" s="29" t="n">
        <f aca="false">IF($J200="","",IFERROR(DATE(IF(VALUE(LEFT($J200,FIND("월",$J200)-1))&gt;=9,기준정보!$C$7-1,기준정보!$C$7),VALUE(LEFT($J200,FIND("월",$J200)-1)),1+7*(VALUE(SUBSTITUTE(MID($J200,FIND("월",$J200)+1,5),"주",""))-1)),""))</f>
        <v>46454</v>
      </c>
      <c r="L200" s="29" t="n">
        <f aca="false">IF($K200="","",IF(AND($K200-기준정보!$C$5&gt;=기준정보!$C$10,$K200-기준정보!$C$5&lt;=기준정보!$C$11),기준정보!$C$10-1,$K200-기준정보!$C$5))</f>
        <v>46440</v>
      </c>
      <c r="M200" s="30" t="n">
        <f aca="false">IF($L200="","",IF(OR(ISNUMBER(SEARCH("중국",$U200)),ISNUMBER(SEARCH("베트남",$U200))),MAX(0,MIN($L200,기준정보!$C$9)-MAX($L200-기준정보!$C$6,기준정보!$C$8)+1),IF(ISNUMBER(SEARCH("한국",$U200)),MAX(0,MIN($L200,기준정보!$C$11)-MAX($L200-기준정보!$C$6,기준정보!$C$10)+1),0)))</f>
        <v>15</v>
      </c>
      <c r="N200" s="29" t="n">
        <f aca="false">IF($L200="","",$L200-기준정보!$C$6-$M200)</f>
        <v>46335</v>
      </c>
      <c r="O200" s="31" t="n">
        <f aca="false">IF($N200="","",$N200-기준정보!$C$4)</f>
        <v>93</v>
      </c>
      <c r="P200" s="28" t="s">
        <v>82</v>
      </c>
      <c r="Q200" s="28" t="s">
        <v>83</v>
      </c>
      <c r="R200" s="32"/>
      <c r="S200" s="27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T200" s="27" t="s">
        <v>235</v>
      </c>
      <c r="U200" s="26" t="s">
        <v>85</v>
      </c>
      <c r="V200" s="33" t="n">
        <v>9012</v>
      </c>
      <c r="W200" s="27" t="s">
        <v>626</v>
      </c>
      <c r="X200" s="27" t="str">
        <f aca="false">IF($K200="","출고일 미정",IF($P200="X","작지 미발행",IF($P200="부분","작지 일부 미발행",IF(AND($R200&lt;&gt;"",$R200&gt;$N200),"소재입고 마감("&amp;TEXT($N200,"MM/DD")&amp;") 초과",IF($P200="","발행여부 확인 필요",IF($R200="","소재 입고일정 확인 필요","정상"))))))</f>
        <v>소재 입고일정 확인 필요</v>
      </c>
      <c r="Y200" s="25" t="str">
        <f aca="false">IF($K200="","",IF(OR(LEFT($X200,2)="작지",LEFT($X200,4)="소재입고"),IF(LEFT($G200,1)="S","★ 납기위험(S코드)","◆ 지연주의"),IF($X200="정상","✓ 정상","? 확인필요")))</f>
        <v>? 확인필요</v>
      </c>
      <c r="Z200" s="28"/>
      <c r="AA200" s="34"/>
    </row>
    <row r="201" customFormat="false" ht="15" hidden="false" customHeight="false" outlineLevel="0" collapsed="false">
      <c r="A201" s="25" t="n">
        <v>197</v>
      </c>
      <c r="B201" s="26" t="s">
        <v>224</v>
      </c>
      <c r="C201" s="26" t="s">
        <v>225</v>
      </c>
      <c r="D201" s="27" t="s">
        <v>680</v>
      </c>
      <c r="E201" s="26" t="s">
        <v>681</v>
      </c>
      <c r="F201" s="27" t="s">
        <v>682</v>
      </c>
      <c r="G201" s="25" t="str">
        <f aca="false">IF($D201="","",IF(MID($D201,5,1)="S","S(봄)",IF(MID($D201,5,1)="M","M(여름)",IF(MID($D201,5,1)="X","X(사계절)",MID($D201,5,1)))))</f>
        <v>M(여름)</v>
      </c>
      <c r="H201" s="26" t="s">
        <v>79</v>
      </c>
      <c r="I201" s="25" t="s">
        <v>416</v>
      </c>
      <c r="J201" s="28" t="s">
        <v>626</v>
      </c>
      <c r="K201" s="29" t="n">
        <f aca="false">IF($J201="","",IFERROR(DATE(IF(VALUE(LEFT($J201,FIND("월",$J201)-1))&gt;=9,기준정보!$C$7-1,기준정보!$C$7),VALUE(LEFT($J201,FIND("월",$J201)-1)),1+7*(VALUE(SUBSTITUTE(MID($J201,FIND("월",$J201)+1,5),"주",""))-1)),""))</f>
        <v>46454</v>
      </c>
      <c r="L201" s="29" t="n">
        <f aca="false">IF($K201="","",IF(AND($K201-기준정보!$C$5&gt;=기준정보!$C$10,$K201-기준정보!$C$5&lt;=기준정보!$C$11),기준정보!$C$10-1,$K201-기준정보!$C$5))</f>
        <v>46440</v>
      </c>
      <c r="M201" s="30" t="n">
        <f aca="false">IF($L201="","",IF(OR(ISNUMBER(SEARCH("중국",$U201)),ISNUMBER(SEARCH("베트남",$U201))),MAX(0,MIN($L201,기준정보!$C$9)-MAX($L201-기준정보!$C$6,기준정보!$C$8)+1),IF(ISNUMBER(SEARCH("한국",$U201)),MAX(0,MIN($L201,기준정보!$C$11)-MAX($L201-기준정보!$C$6,기준정보!$C$10)+1),0)))</f>
        <v>15</v>
      </c>
      <c r="N201" s="29" t="n">
        <f aca="false">IF($L201="","",$L201-기준정보!$C$6-$M201)</f>
        <v>46335</v>
      </c>
      <c r="O201" s="31" t="n">
        <f aca="false">IF($N201="","",$N201-기준정보!$C$4)</f>
        <v>93</v>
      </c>
      <c r="P201" s="28" t="s">
        <v>82</v>
      </c>
      <c r="Q201" s="28" t="s">
        <v>83</v>
      </c>
      <c r="R201" s="32"/>
      <c r="S201" s="27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T201" s="27" t="s">
        <v>235</v>
      </c>
      <c r="U201" s="26" t="s">
        <v>85</v>
      </c>
      <c r="V201" s="33" t="n">
        <v>1800</v>
      </c>
      <c r="W201" s="27" t="s">
        <v>626</v>
      </c>
      <c r="X201" s="27" t="str">
        <f aca="false">IF($K201="","출고일 미정",IF($P201="X","작지 미발행",IF($P201="부분","작지 일부 미발행",IF(AND($R201&lt;&gt;"",$R201&gt;$N201),"소재입고 마감("&amp;TEXT($N201,"MM/DD")&amp;") 초과",IF($P201="","발행여부 확인 필요",IF($R201="","소재 입고일정 확인 필요","정상"))))))</f>
        <v>소재 입고일정 확인 필요</v>
      </c>
      <c r="Y201" s="25" t="str">
        <f aca="false">IF($K201="","",IF(OR(LEFT($X201,2)="작지",LEFT($X201,4)="소재입고"),IF(LEFT($G201,1)="S","★ 납기위험(S코드)","◆ 지연주의"),IF($X201="정상","✓ 정상","? 확인필요")))</f>
        <v>? 확인필요</v>
      </c>
      <c r="Z201" s="28"/>
      <c r="AA201" s="34"/>
    </row>
    <row r="202" customFormat="false" ht="15" hidden="false" customHeight="false" outlineLevel="0" collapsed="false">
      <c r="A202" s="25" t="n">
        <v>198</v>
      </c>
      <c r="B202" s="26" t="s">
        <v>224</v>
      </c>
      <c r="C202" s="26" t="s">
        <v>225</v>
      </c>
      <c r="D202" s="27" t="s">
        <v>683</v>
      </c>
      <c r="E202" s="26" t="s">
        <v>684</v>
      </c>
      <c r="F202" s="27" t="s">
        <v>669</v>
      </c>
      <c r="G202" s="25" t="str">
        <f aca="false">IF($D202="","",IF(MID($D202,5,1)="S","S(봄)",IF(MID($D202,5,1)="M","M(여름)",IF(MID($D202,5,1)="X","X(사계절)",MID($D202,5,1)))))</f>
        <v>M(여름)</v>
      </c>
      <c r="H202" s="26" t="s">
        <v>79</v>
      </c>
      <c r="I202" s="25" t="s">
        <v>416</v>
      </c>
      <c r="J202" s="28" t="s">
        <v>626</v>
      </c>
      <c r="K202" s="29" t="n">
        <f aca="false">IF($J202="","",IFERROR(DATE(IF(VALUE(LEFT($J202,FIND("월",$J202)-1))&gt;=9,기준정보!$C$7-1,기준정보!$C$7),VALUE(LEFT($J202,FIND("월",$J202)-1)),1+7*(VALUE(SUBSTITUTE(MID($J202,FIND("월",$J202)+1,5),"주",""))-1)),""))</f>
        <v>46454</v>
      </c>
      <c r="L202" s="29" t="n">
        <f aca="false">IF($K202="","",IF(AND($K202-기준정보!$C$5&gt;=기준정보!$C$10,$K202-기준정보!$C$5&lt;=기준정보!$C$11),기준정보!$C$10-1,$K202-기준정보!$C$5))</f>
        <v>46440</v>
      </c>
      <c r="M202" s="30" t="n">
        <f aca="false">IF($L202="","",IF(OR(ISNUMBER(SEARCH("중국",$U202)),ISNUMBER(SEARCH("베트남",$U202))),MAX(0,MIN($L202,기준정보!$C$9)-MAX($L202-기준정보!$C$6,기준정보!$C$8)+1),IF(ISNUMBER(SEARCH("한국",$U202)),MAX(0,MIN($L202,기준정보!$C$11)-MAX($L202-기준정보!$C$6,기준정보!$C$10)+1),0)))</f>
        <v>15</v>
      </c>
      <c r="N202" s="29" t="n">
        <f aca="false">IF($L202="","",$L202-기준정보!$C$6-$M202)</f>
        <v>46335</v>
      </c>
      <c r="O202" s="31" t="n">
        <f aca="false">IF($N202="","",$N202-기준정보!$C$4)</f>
        <v>93</v>
      </c>
      <c r="P202" s="28" t="s">
        <v>82</v>
      </c>
      <c r="Q202" s="28" t="s">
        <v>83</v>
      </c>
      <c r="R202" s="32"/>
      <c r="S202" s="27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T202" s="26" t="s">
        <v>239</v>
      </c>
      <c r="U202" s="26" t="s">
        <v>85</v>
      </c>
      <c r="V202" s="33" t="n">
        <v>1400</v>
      </c>
      <c r="W202" s="27"/>
      <c r="X202" s="27" t="str">
        <f aca="false">IF($K202="","출고일 미정",IF($P202="X","작지 미발행",IF($P202="부분","작지 일부 미발행",IF(AND($R202&lt;&gt;"",$R202&gt;$N202),"소재입고 마감("&amp;TEXT($N202,"MM/DD")&amp;") 초과",IF($P202="","발행여부 확인 필요",IF($R202="","소재 입고일정 확인 필요","정상"))))))</f>
        <v>소재 입고일정 확인 필요</v>
      </c>
      <c r="Y202" s="25" t="str">
        <f aca="false">IF($K202="","",IF(OR(LEFT($X202,2)="작지",LEFT($X202,4)="소재입고"),IF(LEFT($G202,1)="S","★ 납기위험(S코드)","◆ 지연주의"),IF($X202="정상","✓ 정상","? 확인필요")))</f>
        <v>? 확인필요</v>
      </c>
      <c r="Z202" s="28"/>
      <c r="AA202" s="34"/>
    </row>
    <row r="203" customFormat="false" ht="15" hidden="false" customHeight="false" outlineLevel="0" collapsed="false">
      <c r="A203" s="25" t="n">
        <v>199</v>
      </c>
      <c r="B203" s="26" t="s">
        <v>220</v>
      </c>
      <c r="C203" s="26" t="s">
        <v>225</v>
      </c>
      <c r="D203" s="27" t="s">
        <v>685</v>
      </c>
      <c r="E203" s="26" t="s">
        <v>686</v>
      </c>
      <c r="F203" s="27" t="s">
        <v>687</v>
      </c>
      <c r="G203" s="25" t="str">
        <f aca="false">IF($D203="","",IF(MID($D203,5,1)="S","S(봄)",IF(MID($D203,5,1)="M","M(여름)",IF(MID($D203,5,1)="X","X(사계절)",MID($D203,5,1)))))</f>
        <v>M(여름)</v>
      </c>
      <c r="H203" s="26" t="s">
        <v>79</v>
      </c>
      <c r="I203" s="25"/>
      <c r="J203" s="28" t="s">
        <v>626</v>
      </c>
      <c r="K203" s="29" t="n">
        <f aca="false">IF($J203="","",IFERROR(DATE(IF(VALUE(LEFT($J203,FIND("월",$J203)-1))&gt;=9,기준정보!$C$7-1,기준정보!$C$7),VALUE(LEFT($J203,FIND("월",$J203)-1)),1+7*(VALUE(SUBSTITUTE(MID($J203,FIND("월",$J203)+1,5),"주",""))-1)),""))</f>
        <v>46454</v>
      </c>
      <c r="L203" s="29" t="n">
        <f aca="false">IF($K203="","",IF(AND($K203-기준정보!$C$5&gt;=기준정보!$C$10,$K203-기준정보!$C$5&lt;=기준정보!$C$11),기준정보!$C$10-1,$K203-기준정보!$C$5))</f>
        <v>46440</v>
      </c>
      <c r="M203" s="30" t="n">
        <f aca="false">IF($L203="","",IF(OR(ISNUMBER(SEARCH("중국",$U203)),ISNUMBER(SEARCH("베트남",$U203))),MAX(0,MIN($L203,기준정보!$C$9)-MAX($L203-기준정보!$C$6,기준정보!$C$8)+1),IF(ISNUMBER(SEARCH("한국",$U203)),MAX(0,MIN($L203,기준정보!$C$11)-MAX($L203-기준정보!$C$6,기준정보!$C$10)+1),0)))</f>
        <v>15</v>
      </c>
      <c r="N203" s="29" t="n">
        <f aca="false">IF($L203="","",$L203-기준정보!$C$6-$M203)</f>
        <v>46335</v>
      </c>
      <c r="O203" s="31" t="n">
        <f aca="false">IF($N203="","",$N203-기준정보!$C$4)</f>
        <v>93</v>
      </c>
      <c r="P203" s="28" t="s">
        <v>82</v>
      </c>
      <c r="Q203" s="28" t="s">
        <v>83</v>
      </c>
      <c r="R203" s="32"/>
      <c r="S203" s="27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T203" s="26" t="s">
        <v>106</v>
      </c>
      <c r="U203" s="26" t="s">
        <v>85</v>
      </c>
      <c r="V203" s="33" t="n">
        <v>6000</v>
      </c>
      <c r="W203" s="27"/>
      <c r="X203" s="27" t="str">
        <f aca="false">IF($K203="","출고일 미정",IF($P203="X","작지 미발행",IF($P203="부분","작지 일부 미발행",IF(AND($R203&lt;&gt;"",$R203&gt;$N203),"소재입고 마감("&amp;TEXT($N203,"MM/DD")&amp;") 초과",IF($P203="","발행여부 확인 필요",IF($R203="","소재 입고일정 확인 필요","정상"))))))</f>
        <v>소재 입고일정 확인 필요</v>
      </c>
      <c r="Y203" s="25" t="str">
        <f aca="false">IF($K203="","",IF(OR(LEFT($X203,2)="작지",LEFT($X203,4)="소재입고"),IF(LEFT($G203,1)="S","★ 납기위험(S코드)","◆ 지연주의"),IF($X203="정상","✓ 정상","? 확인필요")))</f>
        <v>? 확인필요</v>
      </c>
      <c r="Z203" s="28"/>
      <c r="AA203" s="34"/>
    </row>
    <row r="204" customFormat="false" ht="15" hidden="false" customHeight="false" outlineLevel="0" collapsed="false">
      <c r="A204" s="25" t="n">
        <v>200</v>
      </c>
      <c r="B204" s="26" t="s">
        <v>220</v>
      </c>
      <c r="C204" s="26" t="s">
        <v>225</v>
      </c>
      <c r="D204" s="27" t="s">
        <v>688</v>
      </c>
      <c r="E204" s="26" t="s">
        <v>689</v>
      </c>
      <c r="F204" s="27" t="s">
        <v>690</v>
      </c>
      <c r="G204" s="25" t="str">
        <f aca="false">IF($D204="","",IF(MID($D204,5,1)="S","S(봄)",IF(MID($D204,5,1)="M","M(여름)",IF(MID($D204,5,1)="X","X(사계절)",MID($D204,5,1)))))</f>
        <v>M(여름)</v>
      </c>
      <c r="H204" s="26" t="s">
        <v>79</v>
      </c>
      <c r="I204" s="25"/>
      <c r="J204" s="28" t="s">
        <v>626</v>
      </c>
      <c r="K204" s="29" t="n">
        <f aca="false">IF($J204="","",IFERROR(DATE(IF(VALUE(LEFT($J204,FIND("월",$J204)-1))&gt;=9,기준정보!$C$7-1,기준정보!$C$7),VALUE(LEFT($J204,FIND("월",$J204)-1)),1+7*(VALUE(SUBSTITUTE(MID($J204,FIND("월",$J204)+1,5),"주",""))-1)),""))</f>
        <v>46454</v>
      </c>
      <c r="L204" s="29" t="n">
        <f aca="false">IF($K204="","",IF(AND($K204-기준정보!$C$5&gt;=기준정보!$C$10,$K204-기준정보!$C$5&lt;=기준정보!$C$11),기준정보!$C$10-1,$K204-기준정보!$C$5))</f>
        <v>46440</v>
      </c>
      <c r="M204" s="30" t="n">
        <f aca="false">IF($L204="","",IF(OR(ISNUMBER(SEARCH("중국",$U204)),ISNUMBER(SEARCH("베트남",$U204))),MAX(0,MIN($L204,기준정보!$C$9)-MAX($L204-기준정보!$C$6,기준정보!$C$8)+1),IF(ISNUMBER(SEARCH("한국",$U204)),MAX(0,MIN($L204,기준정보!$C$11)-MAX($L204-기준정보!$C$6,기준정보!$C$10)+1),0)))</f>
        <v>15</v>
      </c>
      <c r="N204" s="29" t="n">
        <f aca="false">IF($L204="","",$L204-기준정보!$C$6-$M204)</f>
        <v>46335</v>
      </c>
      <c r="O204" s="31" t="n">
        <f aca="false">IF($N204="","",$N204-기준정보!$C$4)</f>
        <v>93</v>
      </c>
      <c r="P204" s="28" t="s">
        <v>82</v>
      </c>
      <c r="Q204" s="28" t="s">
        <v>83</v>
      </c>
      <c r="R204" s="32"/>
      <c r="S204" s="27" t="str">
        <f aca="false">IF($H204="","",IF(AND(ISNUMBER(SEARCH("CMT",$H204)),OR(ISNUMBER(SEARCH("완사입",$H204)),ISNUMBER(SEARCH("ODM",$H204)))),"본사/생산처 혼재",IF(ISNUMBER(SEARCH("CMT",$H204)),"본사(소재팀)","생산처")))</f>
        <v>생산처</v>
      </c>
      <c r="T204" s="26" t="s">
        <v>311</v>
      </c>
      <c r="U204" s="26" t="s">
        <v>85</v>
      </c>
      <c r="V204" s="33" t="n">
        <v>1400</v>
      </c>
      <c r="W204" s="27"/>
      <c r="X204" s="27" t="str">
        <f aca="false">IF($K204="","출고일 미정",IF($P204="X","작지 미발행",IF($P204="부분","작지 일부 미발행",IF(AND($R204&lt;&gt;"",$R204&gt;$N204),"소재입고 마감("&amp;TEXT($N204,"MM/DD")&amp;") 초과",IF($P204="","발행여부 확인 필요",IF($R204="","소재 입고일정 확인 필요","정상"))))))</f>
        <v>소재 입고일정 확인 필요</v>
      </c>
      <c r="Y204" s="25" t="str">
        <f aca="false">IF($K204="","",IF(OR(LEFT($X204,2)="작지",LEFT($X204,4)="소재입고"),IF(LEFT($G204,1)="S","★ 납기위험(S코드)","◆ 지연주의"),IF($X204="정상","✓ 정상","? 확인필요")))</f>
        <v>? 확인필요</v>
      </c>
      <c r="Z204" s="28"/>
      <c r="AA204" s="34"/>
    </row>
    <row r="205" customFormat="false" ht="15" hidden="false" customHeight="false" outlineLevel="0" collapsed="false">
      <c r="A205" s="25" t="n">
        <v>201</v>
      </c>
      <c r="B205" s="26" t="s">
        <v>220</v>
      </c>
      <c r="C205" s="26" t="s">
        <v>225</v>
      </c>
      <c r="D205" s="27" t="s">
        <v>691</v>
      </c>
      <c r="E205" s="26" t="s">
        <v>692</v>
      </c>
      <c r="F205" s="27" t="s">
        <v>693</v>
      </c>
      <c r="G205" s="25" t="str">
        <f aca="false">IF($D205="","",IF(MID($D205,5,1)="S","S(봄)",IF(MID($D205,5,1)="M","M(여름)",IF(MID($D205,5,1)="X","X(사계절)",MID($D205,5,1)))))</f>
        <v>M(여름)</v>
      </c>
      <c r="H205" s="26" t="s">
        <v>79</v>
      </c>
      <c r="I205" s="25"/>
      <c r="J205" s="28" t="s">
        <v>626</v>
      </c>
      <c r="K205" s="29" t="n">
        <f aca="false">IF($J205="","",IFERROR(DATE(IF(VALUE(LEFT($J205,FIND("월",$J205)-1))&gt;=9,기준정보!$C$7-1,기준정보!$C$7),VALUE(LEFT($J205,FIND("월",$J205)-1)),1+7*(VALUE(SUBSTITUTE(MID($J205,FIND("월",$J205)+1,5),"주",""))-1)),""))</f>
        <v>46454</v>
      </c>
      <c r="L205" s="29" t="n">
        <f aca="false">IF($K205="","",IF(AND($K205-기준정보!$C$5&gt;=기준정보!$C$10,$K205-기준정보!$C$5&lt;=기준정보!$C$11),기준정보!$C$10-1,$K205-기준정보!$C$5))</f>
        <v>46440</v>
      </c>
      <c r="M205" s="30" t="n">
        <f aca="false">IF($L205="","",IF(OR(ISNUMBER(SEARCH("중국",$U205)),ISNUMBER(SEARCH("베트남",$U205))),MAX(0,MIN($L205,기준정보!$C$9)-MAX($L205-기준정보!$C$6,기준정보!$C$8)+1),IF(ISNUMBER(SEARCH("한국",$U205)),MAX(0,MIN($L205,기준정보!$C$11)-MAX($L205-기준정보!$C$6,기준정보!$C$10)+1),0)))</f>
        <v>15</v>
      </c>
      <c r="N205" s="29" t="n">
        <f aca="false">IF($L205="","",$L205-기준정보!$C$6-$M205)</f>
        <v>46335</v>
      </c>
      <c r="O205" s="31" t="n">
        <f aca="false">IF($N205="","",$N205-기준정보!$C$4)</f>
        <v>93</v>
      </c>
      <c r="P205" s="28" t="s">
        <v>82</v>
      </c>
      <c r="Q205" s="28" t="s">
        <v>83</v>
      </c>
      <c r="R205" s="32"/>
      <c r="S205" s="27" t="str">
        <f aca="false">IF($H205="","",IF(AND(ISNUMBER(SEARCH("CMT",$H205)),OR(ISNUMBER(SEARCH("완사입",$H205)),ISNUMBER(SEARCH("ODM",$H205)))),"본사/생산처 혼재",IF(ISNUMBER(SEARCH("CMT",$H205)),"본사(소재팀)","생산처")))</f>
        <v>생산처</v>
      </c>
      <c r="T205" s="26" t="s">
        <v>106</v>
      </c>
      <c r="U205" s="26" t="s">
        <v>85</v>
      </c>
      <c r="V205" s="33" t="n">
        <v>15000</v>
      </c>
      <c r="W205" s="27" t="s">
        <v>491</v>
      </c>
      <c r="X205" s="27" t="str">
        <f aca="false">IF($K205="","출고일 미정",IF($P205="X","작지 미발행",IF($P205="부분","작지 일부 미발행",IF(AND($R205&lt;&gt;"",$R205&gt;$N205),"소재입고 마감("&amp;TEXT($N205,"MM/DD")&amp;") 초과",IF($P205="","발행여부 확인 필요",IF($R205="","소재 입고일정 확인 필요","정상"))))))</f>
        <v>소재 입고일정 확인 필요</v>
      </c>
      <c r="Y205" s="25" t="str">
        <f aca="false">IF($K205="","",IF(OR(LEFT($X205,2)="작지",LEFT($X205,4)="소재입고"),IF(LEFT($G205,1)="S","★ 납기위험(S코드)","◆ 지연주의"),IF($X205="정상","✓ 정상","? 확인필요")))</f>
        <v>? 확인필요</v>
      </c>
      <c r="Z205" s="28"/>
      <c r="AA205" s="34"/>
    </row>
    <row r="206" customFormat="false" ht="15" hidden="false" customHeight="false" outlineLevel="0" collapsed="false">
      <c r="A206" s="25" t="n">
        <v>202</v>
      </c>
      <c r="B206" s="26" t="s">
        <v>220</v>
      </c>
      <c r="C206" s="26" t="s">
        <v>225</v>
      </c>
      <c r="D206" s="27" t="s">
        <v>694</v>
      </c>
      <c r="E206" s="26" t="s">
        <v>695</v>
      </c>
      <c r="F206" s="27" t="s">
        <v>696</v>
      </c>
      <c r="G206" s="25" t="str">
        <f aca="false">IF($D206="","",IF(MID($D206,5,1)="S","S(봄)",IF(MID($D206,5,1)="M","M(여름)",IF(MID($D206,5,1)="X","X(사계절)",MID($D206,5,1)))))</f>
        <v>M(여름)</v>
      </c>
      <c r="H206" s="26" t="s">
        <v>79</v>
      </c>
      <c r="I206" s="25"/>
      <c r="J206" s="28" t="s">
        <v>626</v>
      </c>
      <c r="K206" s="29" t="n">
        <f aca="false">IF($J206="","",IFERROR(DATE(IF(VALUE(LEFT($J206,FIND("월",$J206)-1))&gt;=9,기준정보!$C$7-1,기준정보!$C$7),VALUE(LEFT($J206,FIND("월",$J206)-1)),1+7*(VALUE(SUBSTITUTE(MID($J206,FIND("월",$J206)+1,5),"주",""))-1)),""))</f>
        <v>46454</v>
      </c>
      <c r="L206" s="29" t="n">
        <f aca="false">IF($K206="","",IF(AND($K206-기준정보!$C$5&gt;=기준정보!$C$10,$K206-기준정보!$C$5&lt;=기준정보!$C$11),기준정보!$C$10-1,$K206-기준정보!$C$5))</f>
        <v>46440</v>
      </c>
      <c r="M206" s="30" t="n">
        <f aca="false">IF($L206="","",IF(OR(ISNUMBER(SEARCH("중국",$U206)),ISNUMBER(SEARCH("베트남",$U206))),MAX(0,MIN($L206,기준정보!$C$9)-MAX($L206-기준정보!$C$6,기준정보!$C$8)+1),IF(ISNUMBER(SEARCH("한국",$U206)),MAX(0,MIN($L206,기준정보!$C$11)-MAX($L206-기준정보!$C$6,기준정보!$C$10)+1),0)))</f>
        <v>15</v>
      </c>
      <c r="N206" s="29" t="n">
        <f aca="false">IF($L206="","",$L206-기준정보!$C$6-$M206)</f>
        <v>46335</v>
      </c>
      <c r="O206" s="31" t="n">
        <f aca="false">IF($N206="","",$N206-기준정보!$C$4)</f>
        <v>93</v>
      </c>
      <c r="P206" s="28" t="s">
        <v>82</v>
      </c>
      <c r="Q206" s="28" t="s">
        <v>83</v>
      </c>
      <c r="R206" s="32"/>
      <c r="S206" s="27" t="str">
        <f aca="false">IF($H206="","",IF(AND(ISNUMBER(SEARCH("CMT",$H206)),OR(ISNUMBER(SEARCH("완사입",$H206)),ISNUMBER(SEARCH("ODM",$H206)))),"본사/생산처 혼재",IF(ISNUMBER(SEARCH("CMT",$H206)),"본사(소재팀)","생산처")))</f>
        <v>생산처</v>
      </c>
      <c r="T206" s="27" t="s">
        <v>130</v>
      </c>
      <c r="U206" s="26" t="s">
        <v>85</v>
      </c>
      <c r="V206" s="33" t="n">
        <v>23000</v>
      </c>
      <c r="W206" s="27" t="s">
        <v>491</v>
      </c>
      <c r="X206" s="27" t="str">
        <f aca="false">IF($K206="","출고일 미정",IF($P206="X","작지 미발행",IF($P206="부분","작지 일부 미발행",IF(AND($R206&lt;&gt;"",$R206&gt;$N206),"소재입고 마감("&amp;TEXT($N206,"MM/DD")&amp;") 초과",IF($P206="","발행여부 확인 필요",IF($R206="","소재 입고일정 확인 필요","정상"))))))</f>
        <v>소재 입고일정 확인 필요</v>
      </c>
      <c r="Y206" s="25" t="str">
        <f aca="false">IF($K206="","",IF(OR(LEFT($X206,2)="작지",LEFT($X206,4)="소재입고"),IF(LEFT($G206,1)="S","★ 납기위험(S코드)","◆ 지연주의"),IF($X206="정상","✓ 정상","? 확인필요")))</f>
        <v>? 확인필요</v>
      </c>
      <c r="Z206" s="28"/>
      <c r="AA206" s="34"/>
    </row>
    <row r="207" customFormat="false" ht="15" hidden="false" customHeight="false" outlineLevel="0" collapsed="false">
      <c r="A207" s="25" t="n">
        <v>203</v>
      </c>
      <c r="B207" s="26" t="s">
        <v>220</v>
      </c>
      <c r="C207" s="26" t="s">
        <v>225</v>
      </c>
      <c r="D207" s="27" t="s">
        <v>697</v>
      </c>
      <c r="E207" s="26" t="s">
        <v>698</v>
      </c>
      <c r="F207" s="27" t="s">
        <v>699</v>
      </c>
      <c r="G207" s="25" t="str">
        <f aca="false">IF($D207="","",IF(MID($D207,5,1)="S","S(봄)",IF(MID($D207,5,1)="M","M(여름)",IF(MID($D207,5,1)="X","X(사계절)",MID($D207,5,1)))))</f>
        <v>M(여름)</v>
      </c>
      <c r="H207" s="27" t="s">
        <v>209</v>
      </c>
      <c r="I207" s="25"/>
      <c r="J207" s="28" t="s">
        <v>626</v>
      </c>
      <c r="K207" s="29" t="n">
        <f aca="false">IF($J207="","",IFERROR(DATE(IF(VALUE(LEFT($J207,FIND("월",$J207)-1))&gt;=9,기준정보!$C$7-1,기준정보!$C$7),VALUE(LEFT($J207,FIND("월",$J207)-1)),1+7*(VALUE(SUBSTITUTE(MID($J207,FIND("월",$J207)+1,5),"주",""))-1)),""))</f>
        <v>46454</v>
      </c>
      <c r="L207" s="29" t="n">
        <f aca="false">IF($K207="","",IF(AND($K207-기준정보!$C$5&gt;=기준정보!$C$10,$K207-기준정보!$C$5&lt;=기준정보!$C$11),기준정보!$C$10-1,$K207-기준정보!$C$5))</f>
        <v>46440</v>
      </c>
      <c r="M207" s="30" t="n">
        <f aca="false">IF($L207="","",IF(OR(ISNUMBER(SEARCH("중국",$U207)),ISNUMBER(SEARCH("베트남",$U207))),MAX(0,MIN($L207,기준정보!$C$9)-MAX($L207-기준정보!$C$6,기준정보!$C$8)+1),IF(ISNUMBER(SEARCH("한국",$U207)),MAX(0,MIN($L207,기준정보!$C$11)-MAX($L207-기준정보!$C$6,기준정보!$C$10)+1),0)))</f>
        <v>15</v>
      </c>
      <c r="N207" s="29" t="n">
        <f aca="false">IF($L207="","",$L207-기준정보!$C$6-$M207)</f>
        <v>46335</v>
      </c>
      <c r="O207" s="31" t="n">
        <f aca="false">IF($N207="","",$N207-기준정보!$C$4)</f>
        <v>93</v>
      </c>
      <c r="P207" s="28" t="s">
        <v>82</v>
      </c>
      <c r="Q207" s="28" t="s">
        <v>83</v>
      </c>
      <c r="R207" s="32"/>
      <c r="S207" s="27" t="str">
        <f aca="false">IF($H207="","",IF(AND(ISNUMBER(SEARCH("CMT",$H207)),OR(ISNUMBER(SEARCH("완사입",$H207)),ISNUMBER(SEARCH("ODM",$H207)))),"본사/생산처 혼재",IF(ISNUMBER(SEARCH("CMT",$H207)),"본사(소재팀)","생산처")))</f>
        <v>본사(소재팀)</v>
      </c>
      <c r="T207" s="26" t="s">
        <v>266</v>
      </c>
      <c r="U207" s="26" t="s">
        <v>85</v>
      </c>
      <c r="V207" s="33" t="n">
        <v>7000</v>
      </c>
      <c r="W207" s="27"/>
      <c r="X207" s="27" t="str">
        <f aca="false">IF($K207="","출고일 미정",IF($P207="X","작지 미발행",IF($P207="부분","작지 일부 미발행",IF(AND($R207&lt;&gt;"",$R207&gt;$N207),"소재입고 마감("&amp;TEXT($N207,"MM/DD")&amp;") 초과",IF($P207="","발행여부 확인 필요",IF($R207="","소재 입고일정 확인 필요","정상"))))))</f>
        <v>소재 입고일정 확인 필요</v>
      </c>
      <c r="Y207" s="25" t="str">
        <f aca="false">IF($K207="","",IF(OR(LEFT($X207,2)="작지",LEFT($X207,4)="소재입고"),IF(LEFT($G207,1)="S","★ 납기위험(S코드)","◆ 지연주의"),IF($X207="정상","✓ 정상","? 확인필요")))</f>
        <v>? 확인필요</v>
      </c>
      <c r="Z207" s="28"/>
      <c r="AA207" s="34"/>
    </row>
    <row r="208" customFormat="false" ht="15" hidden="false" customHeight="false" outlineLevel="0" collapsed="false">
      <c r="A208" s="25" t="n">
        <v>204</v>
      </c>
      <c r="B208" s="26" t="s">
        <v>700</v>
      </c>
      <c r="C208" s="26" t="s">
        <v>701</v>
      </c>
      <c r="D208" s="27" t="s">
        <v>702</v>
      </c>
      <c r="E208" s="26" t="s">
        <v>703</v>
      </c>
      <c r="F208" s="27" t="s">
        <v>219</v>
      </c>
      <c r="G208" s="25" t="str">
        <f aca="false">IF($D208="","",IF(MID($D208,5,1)="S","S(봄)",IF(MID($D208,5,1)="M","M(여름)",IF(MID($D208,5,1)="X","X(사계절)",MID($D208,5,1)))))</f>
        <v>M(여름)</v>
      </c>
      <c r="H208" s="26" t="s">
        <v>79</v>
      </c>
      <c r="I208" s="25" t="s">
        <v>416</v>
      </c>
      <c r="J208" s="28" t="s">
        <v>626</v>
      </c>
      <c r="K208" s="29" t="n">
        <f aca="false">IF($J208="","",IFERROR(DATE(IF(VALUE(LEFT($J208,FIND("월",$J208)-1))&gt;=9,기준정보!$C$7-1,기준정보!$C$7),VALUE(LEFT($J208,FIND("월",$J208)-1)),1+7*(VALUE(SUBSTITUTE(MID($J208,FIND("월",$J208)+1,5),"주",""))-1)),""))</f>
        <v>46454</v>
      </c>
      <c r="L208" s="29" t="n">
        <f aca="false">IF($K208="","",IF(AND($K208-기준정보!$C$5&gt;=기준정보!$C$10,$K208-기준정보!$C$5&lt;=기준정보!$C$11),기준정보!$C$10-1,$K208-기준정보!$C$5))</f>
        <v>46440</v>
      </c>
      <c r="M208" s="30" t="n">
        <f aca="false">IF($L208="","",IF(OR(ISNUMBER(SEARCH("중국",$U208)),ISNUMBER(SEARCH("베트남",$U208))),MAX(0,MIN($L208,기준정보!$C$9)-MAX($L208-기준정보!$C$6,기준정보!$C$8)+1),IF(ISNUMBER(SEARCH("한국",$U208)),MAX(0,MIN($L208,기준정보!$C$11)-MAX($L208-기준정보!$C$6,기준정보!$C$10)+1),0)))</f>
        <v>0</v>
      </c>
      <c r="N208" s="29" t="n">
        <f aca="false">IF($L208="","",$L208-기준정보!$C$6-$M208)</f>
        <v>46350</v>
      </c>
      <c r="O208" s="31" t="n">
        <f aca="false">IF($N208="","",$N208-기준정보!$C$4)</f>
        <v>108</v>
      </c>
      <c r="P208" s="28" t="s">
        <v>83</v>
      </c>
      <c r="Q208" s="28" t="s">
        <v>83</v>
      </c>
      <c r="R208" s="32"/>
      <c r="S208" s="27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T208" s="26" t="s">
        <v>704</v>
      </c>
      <c r="U208" s="26" t="s">
        <v>166</v>
      </c>
      <c r="V208" s="33" t="n">
        <v>3000</v>
      </c>
      <c r="W208" s="27"/>
      <c r="X208" s="27" t="str">
        <f aca="false">IF($K208="","출고일 미정",IF($P208="X","작지 미발행",IF($P208="부분","작지 일부 미발행",IF(AND($R208&lt;&gt;"",$R208&gt;$N208),"소재입고 마감("&amp;TEXT($N208,"MM/DD")&amp;") 초과",IF($P208="","발행여부 확인 필요",IF($R208="","소재 입고일정 확인 필요","정상"))))))</f>
        <v>작지 미발행</v>
      </c>
      <c r="Y208" s="25" t="str">
        <f aca="false">IF($K208="","",IF(OR(LEFT($X208,2)="작지",LEFT($X208,4)="소재입고"),IF(LEFT($G208,1)="S","★ 납기위험(S코드)","◆ 지연주의"),IF($X208="정상","✓ 정상","? 확인필요")))</f>
        <v>◆ 지연주의</v>
      </c>
      <c r="Z208" s="28"/>
      <c r="AA208" s="34"/>
    </row>
    <row r="209" customFormat="false" ht="15" hidden="false" customHeight="false" outlineLevel="0" collapsed="false">
      <c r="A209" s="25" t="n">
        <v>205</v>
      </c>
      <c r="B209" s="26" t="s">
        <v>700</v>
      </c>
      <c r="C209" s="26" t="s">
        <v>701</v>
      </c>
      <c r="D209" s="27" t="s">
        <v>705</v>
      </c>
      <c r="E209" s="26" t="s">
        <v>706</v>
      </c>
      <c r="F209" s="27" t="s">
        <v>707</v>
      </c>
      <c r="G209" s="25" t="str">
        <f aca="false">IF($D209="","",IF(MID($D209,5,1)="S","S(봄)",IF(MID($D209,5,1)="M","M(여름)",IF(MID($D209,5,1)="X","X(사계절)",MID($D209,5,1)))))</f>
        <v>M(여름)</v>
      </c>
      <c r="H209" s="26" t="s">
        <v>79</v>
      </c>
      <c r="I209" s="25" t="s">
        <v>416</v>
      </c>
      <c r="J209" s="28" t="s">
        <v>626</v>
      </c>
      <c r="K209" s="29" t="n">
        <f aca="false">IF($J209="","",IFERROR(DATE(IF(VALUE(LEFT($J209,FIND("월",$J209)-1))&gt;=9,기준정보!$C$7-1,기준정보!$C$7),VALUE(LEFT($J209,FIND("월",$J209)-1)),1+7*(VALUE(SUBSTITUTE(MID($J209,FIND("월",$J209)+1,5),"주",""))-1)),""))</f>
        <v>46454</v>
      </c>
      <c r="L209" s="29" t="n">
        <f aca="false">IF($K209="","",IF(AND($K209-기준정보!$C$5&gt;=기준정보!$C$10,$K209-기준정보!$C$5&lt;=기준정보!$C$11),기준정보!$C$10-1,$K209-기준정보!$C$5))</f>
        <v>46440</v>
      </c>
      <c r="M209" s="30" t="n">
        <f aca="false">IF($L209="","",IF(OR(ISNUMBER(SEARCH("중국",$U209)),ISNUMBER(SEARCH("베트남",$U209))),MAX(0,MIN($L209,기준정보!$C$9)-MAX($L209-기준정보!$C$6,기준정보!$C$8)+1),IF(ISNUMBER(SEARCH("한국",$U209)),MAX(0,MIN($L209,기준정보!$C$11)-MAX($L209-기준정보!$C$6,기준정보!$C$10)+1),0)))</f>
        <v>0</v>
      </c>
      <c r="N209" s="29" t="n">
        <f aca="false">IF($L209="","",$L209-기준정보!$C$6-$M209)</f>
        <v>46350</v>
      </c>
      <c r="O209" s="31" t="n">
        <f aca="false">IF($N209="","",$N209-기준정보!$C$4)</f>
        <v>108</v>
      </c>
      <c r="P209" s="28" t="s">
        <v>83</v>
      </c>
      <c r="Q209" s="28" t="s">
        <v>83</v>
      </c>
      <c r="R209" s="32"/>
      <c r="S209" s="27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T209" s="26" t="s">
        <v>704</v>
      </c>
      <c r="U209" s="26" t="s">
        <v>166</v>
      </c>
      <c r="V209" s="33" t="n">
        <v>12000</v>
      </c>
      <c r="W209" s="27"/>
      <c r="X209" s="27" t="str">
        <f aca="false">IF($K209="","출고일 미정",IF($P209="X","작지 미발행",IF($P209="부분","작지 일부 미발행",IF(AND($R209&lt;&gt;"",$R209&gt;$N209),"소재입고 마감("&amp;TEXT($N209,"MM/DD")&amp;") 초과",IF($P209="","발행여부 확인 필요",IF($R209="","소재 입고일정 확인 필요","정상"))))))</f>
        <v>작지 미발행</v>
      </c>
      <c r="Y209" s="25" t="str">
        <f aca="false">IF($K209="","",IF(OR(LEFT($X209,2)="작지",LEFT($X209,4)="소재입고"),IF(LEFT($G209,1)="S","★ 납기위험(S코드)","◆ 지연주의"),IF($X209="정상","✓ 정상","? 확인필요")))</f>
        <v>◆ 지연주의</v>
      </c>
      <c r="Z209" s="28"/>
      <c r="AA209" s="34"/>
    </row>
    <row r="210" customFormat="false" ht="15" hidden="false" customHeight="false" outlineLevel="0" collapsed="false">
      <c r="A210" s="25" t="n">
        <v>206</v>
      </c>
      <c r="B210" s="26" t="s">
        <v>700</v>
      </c>
      <c r="C210" s="26" t="s">
        <v>701</v>
      </c>
      <c r="D210" s="27" t="s">
        <v>708</v>
      </c>
      <c r="E210" s="26" t="s">
        <v>709</v>
      </c>
      <c r="F210" s="27" t="s">
        <v>219</v>
      </c>
      <c r="G210" s="25" t="str">
        <f aca="false">IF($D210="","",IF(MID($D210,5,1)="S","S(봄)",IF(MID($D210,5,1)="M","M(여름)",IF(MID($D210,5,1)="X","X(사계절)",MID($D210,5,1)))))</f>
        <v>M(여름)</v>
      </c>
      <c r="H210" s="26" t="s">
        <v>79</v>
      </c>
      <c r="I210" s="25" t="s">
        <v>416</v>
      </c>
      <c r="J210" s="28" t="s">
        <v>626</v>
      </c>
      <c r="K210" s="29" t="n">
        <f aca="false">IF($J210="","",IFERROR(DATE(IF(VALUE(LEFT($J210,FIND("월",$J210)-1))&gt;=9,기준정보!$C$7-1,기준정보!$C$7),VALUE(LEFT($J210,FIND("월",$J210)-1)),1+7*(VALUE(SUBSTITUTE(MID($J210,FIND("월",$J210)+1,5),"주",""))-1)),""))</f>
        <v>46454</v>
      </c>
      <c r="L210" s="29" t="n">
        <f aca="false">IF($K210="","",IF(AND($K210-기준정보!$C$5&gt;=기준정보!$C$10,$K210-기준정보!$C$5&lt;=기준정보!$C$11),기준정보!$C$10-1,$K210-기준정보!$C$5))</f>
        <v>46440</v>
      </c>
      <c r="M210" s="30" t="n">
        <f aca="false">IF($L210="","",IF(OR(ISNUMBER(SEARCH("중국",$U210)),ISNUMBER(SEARCH("베트남",$U210))),MAX(0,MIN($L210,기준정보!$C$9)-MAX($L210-기준정보!$C$6,기준정보!$C$8)+1),IF(ISNUMBER(SEARCH("한국",$U210)),MAX(0,MIN($L210,기준정보!$C$11)-MAX($L210-기준정보!$C$6,기준정보!$C$10)+1),0)))</f>
        <v>0</v>
      </c>
      <c r="N210" s="29" t="n">
        <f aca="false">IF($L210="","",$L210-기준정보!$C$6-$M210)</f>
        <v>46350</v>
      </c>
      <c r="O210" s="31" t="n">
        <f aca="false">IF($N210="","",$N210-기준정보!$C$4)</f>
        <v>108</v>
      </c>
      <c r="P210" s="28" t="s">
        <v>83</v>
      </c>
      <c r="Q210" s="28" t="s">
        <v>83</v>
      </c>
      <c r="R210" s="32"/>
      <c r="S210" s="27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T210" s="26" t="s">
        <v>704</v>
      </c>
      <c r="U210" s="26" t="s">
        <v>166</v>
      </c>
      <c r="V210" s="33" t="n">
        <v>2000</v>
      </c>
      <c r="W210" s="27"/>
      <c r="X210" s="27" t="str">
        <f aca="false">IF($K210="","출고일 미정",IF($P210="X","작지 미발행",IF($P210="부분","작지 일부 미발행",IF(AND($R210&lt;&gt;"",$R210&gt;$N210),"소재입고 마감("&amp;TEXT($N210,"MM/DD")&amp;") 초과",IF($P210="","발행여부 확인 필요",IF($R210="","소재 입고일정 확인 필요","정상"))))))</f>
        <v>작지 미발행</v>
      </c>
      <c r="Y210" s="25" t="str">
        <f aca="false">IF($K210="","",IF(OR(LEFT($X210,2)="작지",LEFT($X210,4)="소재입고"),IF(LEFT($G210,1)="S","★ 납기위험(S코드)","◆ 지연주의"),IF($X210="정상","✓ 정상","? 확인필요")))</f>
        <v>◆ 지연주의</v>
      </c>
      <c r="Z210" s="28"/>
      <c r="AA210" s="34"/>
    </row>
    <row r="211" customFormat="false" ht="15" hidden="false" customHeight="false" outlineLevel="0" collapsed="false">
      <c r="A211" s="25" t="n">
        <v>207</v>
      </c>
      <c r="B211" s="26" t="s">
        <v>700</v>
      </c>
      <c r="C211" s="26" t="s">
        <v>701</v>
      </c>
      <c r="D211" s="27" t="s">
        <v>710</v>
      </c>
      <c r="E211" s="26" t="s">
        <v>711</v>
      </c>
      <c r="F211" s="27" t="s">
        <v>505</v>
      </c>
      <c r="G211" s="25" t="str">
        <f aca="false">IF($D211="","",IF(MID($D211,5,1)="S","S(봄)",IF(MID($D211,5,1)="M","M(여름)",IF(MID($D211,5,1)="X","X(사계절)",MID($D211,5,1)))))</f>
        <v>M(여름)</v>
      </c>
      <c r="H211" s="26" t="s">
        <v>79</v>
      </c>
      <c r="I211" s="25" t="s">
        <v>416</v>
      </c>
      <c r="J211" s="28" t="s">
        <v>626</v>
      </c>
      <c r="K211" s="29" t="n">
        <f aca="false">IF($J211="","",IFERROR(DATE(IF(VALUE(LEFT($J211,FIND("월",$J211)-1))&gt;=9,기준정보!$C$7-1,기준정보!$C$7),VALUE(LEFT($J211,FIND("월",$J211)-1)),1+7*(VALUE(SUBSTITUTE(MID($J211,FIND("월",$J211)+1,5),"주",""))-1)),""))</f>
        <v>46454</v>
      </c>
      <c r="L211" s="29" t="n">
        <f aca="false">IF($K211="","",IF(AND($K211-기준정보!$C$5&gt;=기준정보!$C$10,$K211-기준정보!$C$5&lt;=기준정보!$C$11),기준정보!$C$10-1,$K211-기준정보!$C$5))</f>
        <v>46440</v>
      </c>
      <c r="M211" s="30" t="n">
        <f aca="false">IF($L211="","",IF(OR(ISNUMBER(SEARCH("중국",$U211)),ISNUMBER(SEARCH("베트남",$U211))),MAX(0,MIN($L211,기준정보!$C$9)-MAX($L211-기준정보!$C$6,기준정보!$C$8)+1),IF(ISNUMBER(SEARCH("한국",$U211)),MAX(0,MIN($L211,기준정보!$C$11)-MAX($L211-기준정보!$C$6,기준정보!$C$10)+1),0)))</f>
        <v>0</v>
      </c>
      <c r="N211" s="29" t="n">
        <f aca="false">IF($L211="","",$L211-기준정보!$C$6-$M211)</f>
        <v>46350</v>
      </c>
      <c r="O211" s="31" t="n">
        <f aca="false">IF($N211="","",$N211-기준정보!$C$4)</f>
        <v>108</v>
      </c>
      <c r="P211" s="28" t="s">
        <v>83</v>
      </c>
      <c r="Q211" s="28" t="s">
        <v>83</v>
      </c>
      <c r="R211" s="32"/>
      <c r="S211" s="27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T211" s="26" t="s">
        <v>704</v>
      </c>
      <c r="U211" s="26" t="s">
        <v>166</v>
      </c>
      <c r="V211" s="33" t="n">
        <v>3000</v>
      </c>
      <c r="W211" s="27"/>
      <c r="X211" s="27" t="str">
        <f aca="false">IF($K211="","출고일 미정",IF($P211="X","작지 미발행",IF($P211="부분","작지 일부 미발행",IF(AND($R211&lt;&gt;"",$R211&gt;$N211),"소재입고 마감("&amp;TEXT($N211,"MM/DD")&amp;") 초과",IF($P211="","발행여부 확인 필요",IF($R211="","소재 입고일정 확인 필요","정상"))))))</f>
        <v>작지 미발행</v>
      </c>
      <c r="Y211" s="25" t="str">
        <f aca="false">IF($K211="","",IF(OR(LEFT($X211,2)="작지",LEFT($X211,4)="소재입고"),IF(LEFT($G211,1)="S","★ 납기위험(S코드)","◆ 지연주의"),IF($X211="정상","✓ 정상","? 확인필요")))</f>
        <v>◆ 지연주의</v>
      </c>
      <c r="Z211" s="28"/>
      <c r="AA211" s="34"/>
    </row>
    <row r="212" customFormat="false" ht="15" hidden="false" customHeight="false" outlineLevel="0" collapsed="false">
      <c r="A212" s="25" t="n">
        <v>208</v>
      </c>
      <c r="B212" s="26" t="s">
        <v>700</v>
      </c>
      <c r="C212" s="26" t="s">
        <v>701</v>
      </c>
      <c r="D212" s="27" t="s">
        <v>712</v>
      </c>
      <c r="E212" s="26" t="s">
        <v>713</v>
      </c>
      <c r="F212" s="27" t="s">
        <v>714</v>
      </c>
      <c r="G212" s="25" t="str">
        <f aca="false">IF($D212="","",IF(MID($D212,5,1)="S","S(봄)",IF(MID($D212,5,1)="M","M(여름)",IF(MID($D212,5,1)="X","X(사계절)",MID($D212,5,1)))))</f>
        <v>M(여름)</v>
      </c>
      <c r="H212" s="26" t="s">
        <v>79</v>
      </c>
      <c r="I212" s="25" t="s">
        <v>416</v>
      </c>
      <c r="J212" s="28" t="s">
        <v>626</v>
      </c>
      <c r="K212" s="29" t="n">
        <f aca="false">IF($J212="","",IFERROR(DATE(IF(VALUE(LEFT($J212,FIND("월",$J212)-1))&gt;=9,기준정보!$C$7-1,기준정보!$C$7),VALUE(LEFT($J212,FIND("월",$J212)-1)),1+7*(VALUE(SUBSTITUTE(MID($J212,FIND("월",$J212)+1,5),"주",""))-1)),""))</f>
        <v>46454</v>
      </c>
      <c r="L212" s="29" t="n">
        <f aca="false">IF($K212="","",IF(AND($K212-기준정보!$C$5&gt;=기준정보!$C$10,$K212-기준정보!$C$5&lt;=기준정보!$C$11),기준정보!$C$10-1,$K212-기준정보!$C$5))</f>
        <v>46440</v>
      </c>
      <c r="M212" s="30" t="n">
        <f aca="false">IF($L212="","",IF(OR(ISNUMBER(SEARCH("중국",$U212)),ISNUMBER(SEARCH("베트남",$U212))),MAX(0,MIN($L212,기준정보!$C$9)-MAX($L212-기준정보!$C$6,기준정보!$C$8)+1),IF(ISNUMBER(SEARCH("한국",$U212)),MAX(0,MIN($L212,기준정보!$C$11)-MAX($L212-기준정보!$C$6,기준정보!$C$10)+1),0)))</f>
        <v>0</v>
      </c>
      <c r="N212" s="29" t="n">
        <f aca="false">IF($L212="","",$L212-기준정보!$C$6-$M212)</f>
        <v>46350</v>
      </c>
      <c r="O212" s="31" t="n">
        <f aca="false">IF($N212="","",$N212-기준정보!$C$4)</f>
        <v>108</v>
      </c>
      <c r="P212" s="28" t="s">
        <v>83</v>
      </c>
      <c r="Q212" s="28" t="s">
        <v>83</v>
      </c>
      <c r="R212" s="32"/>
      <c r="S212" s="27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T212" s="26" t="s">
        <v>704</v>
      </c>
      <c r="U212" s="26" t="s">
        <v>166</v>
      </c>
      <c r="V212" s="33" t="n">
        <v>1600</v>
      </c>
      <c r="W212" s="27"/>
      <c r="X212" s="27" t="str">
        <f aca="false">IF($K212="","출고일 미정",IF($P212="X","작지 미발행",IF($P212="부분","작지 일부 미발행",IF(AND($R212&lt;&gt;"",$R212&gt;$N212),"소재입고 마감("&amp;TEXT($N212,"MM/DD")&amp;") 초과",IF($P212="","발행여부 확인 필요",IF($R212="","소재 입고일정 확인 필요","정상"))))))</f>
        <v>작지 미발행</v>
      </c>
      <c r="Y212" s="25" t="str">
        <f aca="false">IF($K212="","",IF(OR(LEFT($X212,2)="작지",LEFT($X212,4)="소재입고"),IF(LEFT($G212,1)="S","★ 납기위험(S코드)","◆ 지연주의"),IF($X212="정상","✓ 정상","? 확인필요")))</f>
        <v>◆ 지연주의</v>
      </c>
      <c r="Z212" s="28"/>
      <c r="AA212" s="34"/>
    </row>
    <row r="213" customFormat="false" ht="15" hidden="false" customHeight="false" outlineLevel="0" collapsed="false">
      <c r="A213" s="25" t="n">
        <v>209</v>
      </c>
      <c r="B213" s="26" t="s">
        <v>700</v>
      </c>
      <c r="C213" s="26" t="s">
        <v>701</v>
      </c>
      <c r="D213" s="27" t="s">
        <v>715</v>
      </c>
      <c r="E213" s="26" t="s">
        <v>716</v>
      </c>
      <c r="F213" s="27" t="s">
        <v>717</v>
      </c>
      <c r="G213" s="25" t="str">
        <f aca="false">IF($D213="","",IF(MID($D213,5,1)="S","S(봄)",IF(MID($D213,5,1)="M","M(여름)",IF(MID($D213,5,1)="X","X(사계절)",MID($D213,5,1)))))</f>
        <v>M(여름)</v>
      </c>
      <c r="H213" s="26" t="s">
        <v>79</v>
      </c>
      <c r="I213" s="25" t="s">
        <v>416</v>
      </c>
      <c r="J213" s="28" t="s">
        <v>626</v>
      </c>
      <c r="K213" s="29" t="n">
        <f aca="false">IF($J213="","",IFERROR(DATE(IF(VALUE(LEFT($J213,FIND("월",$J213)-1))&gt;=9,기준정보!$C$7-1,기준정보!$C$7),VALUE(LEFT($J213,FIND("월",$J213)-1)),1+7*(VALUE(SUBSTITUTE(MID($J213,FIND("월",$J213)+1,5),"주",""))-1)),""))</f>
        <v>46454</v>
      </c>
      <c r="L213" s="29" t="n">
        <f aca="false">IF($K213="","",IF(AND($K213-기준정보!$C$5&gt;=기준정보!$C$10,$K213-기준정보!$C$5&lt;=기준정보!$C$11),기준정보!$C$10-1,$K213-기준정보!$C$5))</f>
        <v>46440</v>
      </c>
      <c r="M213" s="30" t="n">
        <f aca="false">IF($L213="","",IF(OR(ISNUMBER(SEARCH("중국",$U213)),ISNUMBER(SEARCH("베트남",$U213))),MAX(0,MIN($L213,기준정보!$C$9)-MAX($L213-기준정보!$C$6,기준정보!$C$8)+1),IF(ISNUMBER(SEARCH("한국",$U213)),MAX(0,MIN($L213,기준정보!$C$11)-MAX($L213-기준정보!$C$6,기준정보!$C$10)+1),0)))</f>
        <v>0</v>
      </c>
      <c r="N213" s="29" t="n">
        <f aca="false">IF($L213="","",$L213-기준정보!$C$6-$M213)</f>
        <v>46350</v>
      </c>
      <c r="O213" s="31" t="n">
        <f aca="false">IF($N213="","",$N213-기준정보!$C$4)</f>
        <v>108</v>
      </c>
      <c r="P213" s="28" t="s">
        <v>83</v>
      </c>
      <c r="Q213" s="28" t="s">
        <v>83</v>
      </c>
      <c r="R213" s="32"/>
      <c r="S213" s="27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T213" s="27"/>
      <c r="U213" s="26" t="s">
        <v>166</v>
      </c>
      <c r="V213" s="33" t="n">
        <v>1100</v>
      </c>
      <c r="W213" s="27"/>
      <c r="X213" s="27" t="str">
        <f aca="false">IF($K213="","출고일 미정",IF($P213="X","작지 미발행",IF($P213="부분","작지 일부 미발행",IF(AND($R213&lt;&gt;"",$R213&gt;$N213),"소재입고 마감("&amp;TEXT($N213,"MM/DD")&amp;") 초과",IF($P213="","발행여부 확인 필요",IF($R213="","소재 입고일정 확인 필요","정상"))))))</f>
        <v>작지 미발행</v>
      </c>
      <c r="Y213" s="25" t="str">
        <f aca="false">IF($K213="","",IF(OR(LEFT($X213,2)="작지",LEFT($X213,4)="소재입고"),IF(LEFT($G213,1)="S","★ 납기위험(S코드)","◆ 지연주의"),IF($X213="정상","✓ 정상","? 확인필요")))</f>
        <v>◆ 지연주의</v>
      </c>
      <c r="Z213" s="28"/>
      <c r="AA213" s="34"/>
    </row>
    <row r="214" customFormat="false" ht="15" hidden="false" customHeight="false" outlineLevel="0" collapsed="false">
      <c r="A214" s="25" t="n">
        <v>210</v>
      </c>
      <c r="B214" s="26" t="s">
        <v>267</v>
      </c>
      <c r="C214" s="26" t="s">
        <v>268</v>
      </c>
      <c r="D214" s="27" t="s">
        <v>718</v>
      </c>
      <c r="E214" s="26" t="s">
        <v>719</v>
      </c>
      <c r="F214" s="27" t="s">
        <v>714</v>
      </c>
      <c r="G214" s="25" t="str">
        <f aca="false">IF($D214="","",IF(MID($D214,5,1)="S","S(봄)",IF(MID($D214,5,1)="M","M(여름)",IF(MID($D214,5,1)="X","X(사계절)",MID($D214,5,1)))))</f>
        <v>M(여름)</v>
      </c>
      <c r="H214" s="27" t="s">
        <v>209</v>
      </c>
      <c r="I214" s="25" t="s">
        <v>720</v>
      </c>
      <c r="J214" s="28" t="s">
        <v>626</v>
      </c>
      <c r="K214" s="29" t="n">
        <f aca="false">IF($J214="","",IFERROR(DATE(IF(VALUE(LEFT($J214,FIND("월",$J214)-1))&gt;=9,기준정보!$C$7-1,기준정보!$C$7),VALUE(LEFT($J214,FIND("월",$J214)-1)),1+7*(VALUE(SUBSTITUTE(MID($J214,FIND("월",$J214)+1,5),"주",""))-1)),""))</f>
        <v>46454</v>
      </c>
      <c r="L214" s="29" t="n">
        <f aca="false">IF($K214="","",IF(AND($K214-기준정보!$C$5&gt;=기준정보!$C$10,$K214-기준정보!$C$5&lt;=기준정보!$C$11),기준정보!$C$10-1,$K214-기준정보!$C$5))</f>
        <v>46440</v>
      </c>
      <c r="M214" s="30" t="n">
        <f aca="false">IF($L214="","",IF(OR(ISNUMBER(SEARCH("중국",$U214)),ISNUMBER(SEARCH("베트남",$U214))),MAX(0,MIN($L214,기준정보!$C$9)-MAX($L214-기준정보!$C$6,기준정보!$C$8)+1),IF(ISNUMBER(SEARCH("한국",$U214)),MAX(0,MIN($L214,기준정보!$C$11)-MAX($L214-기준정보!$C$6,기준정보!$C$10)+1),0)))</f>
        <v>15</v>
      </c>
      <c r="N214" s="29" t="n">
        <f aca="false">IF($L214="","",$L214-기준정보!$C$6-$M214)</f>
        <v>46335</v>
      </c>
      <c r="O214" s="31" t="n">
        <f aca="false">IF($N214="","",$N214-기준정보!$C$4)</f>
        <v>93</v>
      </c>
      <c r="P214" s="28" t="s">
        <v>82</v>
      </c>
      <c r="Q214" s="28" t="s">
        <v>83</v>
      </c>
      <c r="R214" s="32"/>
      <c r="S214" s="27" t="str">
        <f aca="false">IF($H214="","",IF(AND(ISNUMBER(SEARCH("CMT",$H214)),OR(ISNUMBER(SEARCH("완사입",$H214)),ISNUMBER(SEARCH("ODM",$H214)))),"본사/생산처 혼재",IF(ISNUMBER(SEARCH("CMT",$H214)),"본사(소재팀)","생산처")))</f>
        <v>본사(소재팀)</v>
      </c>
      <c r="T214" s="26" t="s">
        <v>99</v>
      </c>
      <c r="U214" s="26" t="s">
        <v>85</v>
      </c>
      <c r="V214" s="33" t="n">
        <v>3500</v>
      </c>
      <c r="W214" s="27"/>
      <c r="X214" s="27" t="str">
        <f aca="false">IF($K214="","출고일 미정",IF($P214="X","작지 미발행",IF($P214="부분","작지 일부 미발행",IF(AND($R214&lt;&gt;"",$R214&gt;$N214),"소재입고 마감("&amp;TEXT($N214,"MM/DD")&amp;") 초과",IF($P214="","발행여부 확인 필요",IF($R214="","소재 입고일정 확인 필요","정상"))))))</f>
        <v>소재 입고일정 확인 필요</v>
      </c>
      <c r="Y214" s="25" t="str">
        <f aca="false">IF($K214="","",IF(OR(LEFT($X214,2)="작지",LEFT($X214,4)="소재입고"),IF(LEFT($G214,1)="S","★ 납기위험(S코드)","◆ 지연주의"),IF($X214="정상","✓ 정상","? 확인필요")))</f>
        <v>? 확인필요</v>
      </c>
      <c r="Z214" s="28"/>
      <c r="AA214" s="34"/>
    </row>
    <row r="215" customFormat="false" ht="15" hidden="false" customHeight="false" outlineLevel="0" collapsed="false">
      <c r="A215" s="25" t="n">
        <v>211</v>
      </c>
      <c r="B215" s="26" t="s">
        <v>267</v>
      </c>
      <c r="C215" s="26" t="s">
        <v>268</v>
      </c>
      <c r="D215" s="27" t="s">
        <v>721</v>
      </c>
      <c r="E215" s="26" t="s">
        <v>722</v>
      </c>
      <c r="F215" s="27" t="s">
        <v>723</v>
      </c>
      <c r="G215" s="25" t="str">
        <f aca="false">IF($D215="","",IF(MID($D215,5,1)="S","S(봄)",IF(MID($D215,5,1)="M","M(여름)",IF(MID($D215,5,1)="X","X(사계절)",MID($D215,5,1)))))</f>
        <v>M(여름)</v>
      </c>
      <c r="H215" s="26" t="s">
        <v>79</v>
      </c>
      <c r="I215" s="25" t="s">
        <v>506</v>
      </c>
      <c r="J215" s="28" t="s">
        <v>626</v>
      </c>
      <c r="K215" s="29" t="n">
        <f aca="false">IF($J215="","",IFERROR(DATE(IF(VALUE(LEFT($J215,FIND("월",$J215)-1))&gt;=9,기준정보!$C$7-1,기준정보!$C$7),VALUE(LEFT($J215,FIND("월",$J215)-1)),1+7*(VALUE(SUBSTITUTE(MID($J215,FIND("월",$J215)+1,5),"주",""))-1)),""))</f>
        <v>46454</v>
      </c>
      <c r="L215" s="29" t="n">
        <f aca="false">IF($K215="","",IF(AND($K215-기준정보!$C$5&gt;=기준정보!$C$10,$K215-기준정보!$C$5&lt;=기준정보!$C$11),기준정보!$C$10-1,$K215-기준정보!$C$5))</f>
        <v>46440</v>
      </c>
      <c r="M215" s="30" t="n">
        <f aca="false">IF($L215="","",IF(OR(ISNUMBER(SEARCH("중국",$U215)),ISNUMBER(SEARCH("베트남",$U215))),MAX(0,MIN($L215,기준정보!$C$9)-MAX($L215-기준정보!$C$6,기준정보!$C$8)+1),IF(ISNUMBER(SEARCH("한국",$U215)),MAX(0,MIN($L215,기준정보!$C$11)-MAX($L215-기준정보!$C$6,기준정보!$C$10)+1),0)))</f>
        <v>15</v>
      </c>
      <c r="N215" s="29" t="n">
        <f aca="false">IF($L215="","",$L215-기준정보!$C$6-$M215)</f>
        <v>46335</v>
      </c>
      <c r="O215" s="31" t="n">
        <f aca="false">IF($N215="","",$N215-기준정보!$C$4)</f>
        <v>93</v>
      </c>
      <c r="P215" s="28" t="s">
        <v>82</v>
      </c>
      <c r="Q215" s="28" t="s">
        <v>83</v>
      </c>
      <c r="R215" s="32"/>
      <c r="S215" s="27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T215" s="26" t="s">
        <v>391</v>
      </c>
      <c r="U215" s="26" t="s">
        <v>85</v>
      </c>
      <c r="V215" s="33" t="n">
        <v>3500</v>
      </c>
      <c r="W215" s="27"/>
      <c r="X215" s="27" t="str">
        <f aca="false">IF($K215="","출고일 미정",IF($P215="X","작지 미발행",IF($P215="부분","작지 일부 미발행",IF(AND($R215&lt;&gt;"",$R215&gt;$N215),"소재입고 마감("&amp;TEXT($N215,"MM/DD")&amp;") 초과",IF($P215="","발행여부 확인 필요",IF($R215="","소재 입고일정 확인 필요","정상"))))))</f>
        <v>소재 입고일정 확인 필요</v>
      </c>
      <c r="Y215" s="25" t="str">
        <f aca="false">IF($K215="","",IF(OR(LEFT($X215,2)="작지",LEFT($X215,4)="소재입고"),IF(LEFT($G215,1)="S","★ 납기위험(S코드)","◆ 지연주의"),IF($X215="정상","✓ 정상","? 확인필요")))</f>
        <v>? 확인필요</v>
      </c>
      <c r="Z215" s="28"/>
      <c r="AA215" s="34"/>
    </row>
    <row r="216" customFormat="false" ht="15" hidden="false" customHeight="false" outlineLevel="0" collapsed="false">
      <c r="A216" s="25" t="n">
        <v>212</v>
      </c>
      <c r="B216" s="26" t="s">
        <v>267</v>
      </c>
      <c r="C216" s="26" t="s">
        <v>268</v>
      </c>
      <c r="D216" s="27" t="s">
        <v>724</v>
      </c>
      <c r="E216" s="26" t="s">
        <v>725</v>
      </c>
      <c r="F216" s="27" t="s">
        <v>271</v>
      </c>
      <c r="G216" s="25" t="str">
        <f aca="false">IF($D216="","",IF(MID($D216,5,1)="S","S(봄)",IF(MID($D216,5,1)="M","M(여름)",IF(MID($D216,5,1)="X","X(사계절)",MID($D216,5,1)))))</f>
        <v>M(여름)</v>
      </c>
      <c r="H216" s="27" t="s">
        <v>209</v>
      </c>
      <c r="I216" s="25" t="s">
        <v>720</v>
      </c>
      <c r="J216" s="28" t="s">
        <v>626</v>
      </c>
      <c r="K216" s="29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9" t="n">
        <f aca="false">IF($K216="","",IF(AND($K216-기준정보!$C$5&gt;=기준정보!$C$10,$K216-기준정보!$C$5&lt;=기준정보!$C$11),기준정보!$C$10-1,$K216-기준정보!$C$5))</f>
        <v>46440</v>
      </c>
      <c r="M216" s="30" t="n">
        <f aca="false">IF($L216="","",IF(OR(ISNUMBER(SEARCH("중국",$U216)),ISNUMBER(SEARCH("베트남",$U216))),MAX(0,MIN($L216,기준정보!$C$9)-MAX($L216-기준정보!$C$6,기준정보!$C$8)+1),IF(ISNUMBER(SEARCH("한국",$U216)),MAX(0,MIN($L216,기준정보!$C$11)-MAX($L216-기준정보!$C$6,기준정보!$C$10)+1),0)))</f>
        <v>15</v>
      </c>
      <c r="N216" s="29" t="n">
        <f aca="false">IF($L216="","",$L216-기준정보!$C$6-$M216)</f>
        <v>46335</v>
      </c>
      <c r="O216" s="31" t="n">
        <f aca="false">IF($N216="","",$N216-기준정보!$C$4)</f>
        <v>93</v>
      </c>
      <c r="P216" s="28" t="s">
        <v>82</v>
      </c>
      <c r="Q216" s="28" t="s">
        <v>83</v>
      </c>
      <c r="R216" s="32"/>
      <c r="S216" s="27" t="str">
        <f aca="false">IF($H216="","",IF(AND(ISNUMBER(SEARCH("CMT",$H216)),OR(ISNUMBER(SEARCH("완사입",$H216)),ISNUMBER(SEARCH("ODM",$H216)))),"본사/생산처 혼재",IF(ISNUMBER(SEARCH("CMT",$H216)),"본사(소재팀)","생산처")))</f>
        <v>본사(소재팀)</v>
      </c>
      <c r="T216" s="27" t="s">
        <v>235</v>
      </c>
      <c r="U216" s="26" t="s">
        <v>85</v>
      </c>
      <c r="V216" s="33" t="n">
        <v>2000</v>
      </c>
      <c r="W216" s="27"/>
      <c r="X216" s="27" t="str">
        <f aca="false">IF($K216="","출고일 미정",IF($P216="X","작지 미발행",IF($P216="부분","작지 일부 미발행",IF(AND($R216&lt;&gt;"",$R216&gt;$N216),"소재입고 마감("&amp;TEXT($N216,"MM/DD")&amp;") 초과",IF($P216="","발행여부 확인 필요",IF($R216="","소재 입고일정 확인 필요","정상"))))))</f>
        <v>소재 입고일정 확인 필요</v>
      </c>
      <c r="Y216" s="25" t="str">
        <f aca="false">IF($K216="","",IF(OR(LEFT($X216,2)="작지",LEFT($X216,4)="소재입고"),IF(LEFT($G216,1)="S","★ 납기위험(S코드)","◆ 지연주의"),IF($X216="정상","✓ 정상","? 확인필요")))</f>
        <v>? 확인필요</v>
      </c>
      <c r="Z216" s="28"/>
      <c r="AA216" s="34"/>
    </row>
    <row r="217" customFormat="false" ht="15" hidden="false" customHeight="false" outlineLevel="0" collapsed="false">
      <c r="A217" s="25" t="n">
        <v>213</v>
      </c>
      <c r="B217" s="26" t="s">
        <v>124</v>
      </c>
      <c r="C217" s="26" t="s">
        <v>268</v>
      </c>
      <c r="D217" s="27" t="s">
        <v>726</v>
      </c>
      <c r="E217" s="26" t="s">
        <v>727</v>
      </c>
      <c r="F217" s="27" t="s">
        <v>728</v>
      </c>
      <c r="G217" s="25" t="str">
        <f aca="false">IF($D217="","",IF(MID($D217,5,1)="S","S(봄)",IF(MID($D217,5,1)="M","M(여름)",IF(MID($D217,5,1)="X","X(사계절)",MID($D217,5,1)))))</f>
        <v>M(여름)</v>
      </c>
      <c r="H217" s="26" t="s">
        <v>79</v>
      </c>
      <c r="I217" s="25"/>
      <c r="J217" s="28" t="s">
        <v>626</v>
      </c>
      <c r="K217" s="29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9" t="n">
        <f aca="false">IF($K217="","",IF(AND($K217-기준정보!$C$5&gt;=기준정보!$C$10,$K217-기준정보!$C$5&lt;=기준정보!$C$11),기준정보!$C$10-1,$K217-기준정보!$C$5))</f>
        <v>46440</v>
      </c>
      <c r="M217" s="30" t="n">
        <f aca="false">IF($L217="","",IF(OR(ISNUMBER(SEARCH("중국",$U217)),ISNUMBER(SEARCH("베트남",$U217))),MAX(0,MIN($L217,기준정보!$C$9)-MAX($L217-기준정보!$C$6,기준정보!$C$8)+1),IF(ISNUMBER(SEARCH("한국",$U217)),MAX(0,MIN($L217,기준정보!$C$11)-MAX($L217-기준정보!$C$6,기준정보!$C$10)+1),0)))</f>
        <v>15</v>
      </c>
      <c r="N217" s="29" t="n">
        <f aca="false">IF($L217="","",$L217-기준정보!$C$6-$M217)</f>
        <v>46335</v>
      </c>
      <c r="O217" s="31" t="n">
        <f aca="false">IF($N217="","",$N217-기준정보!$C$4)</f>
        <v>93</v>
      </c>
      <c r="P217" s="28" t="s">
        <v>82</v>
      </c>
      <c r="Q217" s="28" t="s">
        <v>83</v>
      </c>
      <c r="R217" s="32"/>
      <c r="S217" s="27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T217" s="26" t="s">
        <v>513</v>
      </c>
      <c r="U217" s="26" t="s">
        <v>85</v>
      </c>
      <c r="V217" s="33" t="n">
        <v>5500</v>
      </c>
      <c r="W217" s="27" t="s">
        <v>626</v>
      </c>
      <c r="X217" s="27" t="str">
        <f aca="false">IF($K217="","출고일 미정",IF($P217="X","작지 미발행",IF($P217="부분","작지 일부 미발행",IF(AND($R217&lt;&gt;"",$R217&gt;$N217),"소재입고 마감("&amp;TEXT($N217,"MM/DD")&amp;") 초과",IF($P217="","발행여부 확인 필요",IF($R217="","소재 입고일정 확인 필요","정상"))))))</f>
        <v>소재 입고일정 확인 필요</v>
      </c>
      <c r="Y217" s="25" t="str">
        <f aca="false">IF($K217="","",IF(OR(LEFT($X217,2)="작지",LEFT($X217,4)="소재입고"),IF(LEFT($G217,1)="S","★ 납기위험(S코드)","◆ 지연주의"),IF($X217="정상","✓ 정상","? 확인필요")))</f>
        <v>? 확인필요</v>
      </c>
      <c r="Z217" s="28"/>
      <c r="AA217" s="34"/>
    </row>
    <row r="218" customFormat="false" ht="15" hidden="false" customHeight="false" outlineLevel="0" collapsed="false">
      <c r="A218" s="25" t="n">
        <v>214</v>
      </c>
      <c r="B218" s="26" t="s">
        <v>124</v>
      </c>
      <c r="C218" s="26" t="s">
        <v>268</v>
      </c>
      <c r="D218" s="27" t="s">
        <v>729</v>
      </c>
      <c r="E218" s="26" t="s">
        <v>730</v>
      </c>
      <c r="F218" s="27" t="s">
        <v>731</v>
      </c>
      <c r="G218" s="25" t="str">
        <f aca="false">IF($D218="","",IF(MID($D218,5,1)="S","S(봄)",IF(MID($D218,5,1)="M","M(여름)",IF(MID($D218,5,1)="X","X(사계절)",MID($D218,5,1)))))</f>
        <v>M(여름)</v>
      </c>
      <c r="H218" s="26" t="s">
        <v>79</v>
      </c>
      <c r="I218" s="25"/>
      <c r="J218" s="28" t="s">
        <v>626</v>
      </c>
      <c r="K218" s="29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9" t="n">
        <f aca="false">IF($K218="","",IF(AND($K218-기준정보!$C$5&gt;=기준정보!$C$10,$K218-기준정보!$C$5&lt;=기준정보!$C$11),기준정보!$C$10-1,$K218-기준정보!$C$5))</f>
        <v>46440</v>
      </c>
      <c r="M218" s="30" t="n">
        <f aca="false">IF($L218="","",IF(OR(ISNUMBER(SEARCH("중국",$U218)),ISNUMBER(SEARCH("베트남",$U218))),MAX(0,MIN($L218,기준정보!$C$9)-MAX($L218-기준정보!$C$6,기준정보!$C$8)+1),IF(ISNUMBER(SEARCH("한국",$U218)),MAX(0,MIN($L218,기준정보!$C$11)-MAX($L218-기준정보!$C$6,기준정보!$C$10)+1),0)))</f>
        <v>15</v>
      </c>
      <c r="N218" s="29" t="n">
        <f aca="false">IF($L218="","",$L218-기준정보!$C$6-$M218)</f>
        <v>46335</v>
      </c>
      <c r="O218" s="31" t="n">
        <f aca="false">IF($N218="","",$N218-기준정보!$C$4)</f>
        <v>93</v>
      </c>
      <c r="P218" s="28" t="s">
        <v>82</v>
      </c>
      <c r="Q218" s="28" t="s">
        <v>83</v>
      </c>
      <c r="R218" s="32"/>
      <c r="S218" s="27" t="str">
        <f aca="false">IF($H218="","",IF(AND(ISNUMBER(SEARCH("CMT",$H218)),OR(ISNUMBER(SEARCH("완사입",$H218)),ISNUMBER(SEARCH("ODM",$H218)))),"본사/생산처 혼재",IF(ISNUMBER(SEARCH("CMT",$H218)),"본사(소재팀)","생산처")))</f>
        <v>생산처</v>
      </c>
      <c r="T218" s="26" t="s">
        <v>513</v>
      </c>
      <c r="U218" s="26" t="s">
        <v>85</v>
      </c>
      <c r="V218" s="33" t="n">
        <v>4000</v>
      </c>
      <c r="W218" s="27"/>
      <c r="X218" s="27" t="str">
        <f aca="false">IF($K218="","출고일 미정",IF($P218="X","작지 미발행",IF($P218="부분","작지 일부 미발행",IF(AND($R218&lt;&gt;"",$R218&gt;$N218),"소재입고 마감("&amp;TEXT($N218,"MM/DD")&amp;") 초과",IF($P218="","발행여부 확인 필요",IF($R218="","소재 입고일정 확인 필요","정상"))))))</f>
        <v>소재 입고일정 확인 필요</v>
      </c>
      <c r="Y218" s="25" t="str">
        <f aca="false">IF($K218="","",IF(OR(LEFT($X218,2)="작지",LEFT($X218,4)="소재입고"),IF(LEFT($G218,1)="S","★ 납기위험(S코드)","◆ 지연주의"),IF($X218="정상","✓ 정상","? 확인필요")))</f>
        <v>? 확인필요</v>
      </c>
      <c r="Z218" s="28"/>
      <c r="AA218" s="34"/>
    </row>
    <row r="219" customFormat="false" ht="15" hidden="false" customHeight="false" outlineLevel="0" collapsed="false">
      <c r="A219" s="25" t="n">
        <v>215</v>
      </c>
      <c r="B219" s="26" t="s">
        <v>74</v>
      </c>
      <c r="C219" s="27" t="s">
        <v>732</v>
      </c>
      <c r="D219" s="27" t="s">
        <v>733</v>
      </c>
      <c r="E219" s="26" t="s">
        <v>734</v>
      </c>
      <c r="F219" s="27" t="s">
        <v>735</v>
      </c>
      <c r="G219" s="25" t="str">
        <f aca="false">IF($D219="","",IF(MID($D219,5,1)="S","S(봄)",IF(MID($D219,5,1)="M","M(여름)",IF(MID($D219,5,1)="X","X(사계절)",MID($D219,5,1)))))</f>
        <v>M(여름)</v>
      </c>
      <c r="H219" s="26" t="s">
        <v>79</v>
      </c>
      <c r="I219" s="25"/>
      <c r="J219" s="28" t="s">
        <v>626</v>
      </c>
      <c r="K219" s="29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9" t="n">
        <f aca="false">IF($K219="","",IF(AND($K219-기준정보!$C$5&gt;=기준정보!$C$10,$K219-기준정보!$C$5&lt;=기준정보!$C$11),기준정보!$C$10-1,$K219-기준정보!$C$5))</f>
        <v>46440</v>
      </c>
      <c r="M219" s="30" t="n">
        <f aca="false">IF($L219="","",IF(OR(ISNUMBER(SEARCH("중국",$U219)),ISNUMBER(SEARCH("베트남",$U219))),MAX(0,MIN($L219,기준정보!$C$9)-MAX($L219-기준정보!$C$6,기준정보!$C$8)+1),IF(ISNUMBER(SEARCH("한국",$U219)),MAX(0,MIN($L219,기준정보!$C$11)-MAX($L219-기준정보!$C$6,기준정보!$C$10)+1),0)))</f>
        <v>0</v>
      </c>
      <c r="N219" s="29" t="n">
        <f aca="false">IF($L219="","",$L219-기준정보!$C$6-$M219)</f>
        <v>46350</v>
      </c>
      <c r="O219" s="31" t="n">
        <f aca="false">IF($N219="","",$N219-기준정보!$C$4)</f>
        <v>108</v>
      </c>
      <c r="P219" s="28" t="s">
        <v>82</v>
      </c>
      <c r="Q219" s="28"/>
      <c r="R219" s="32"/>
      <c r="S219" s="27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T219" s="27"/>
      <c r="U219" s="27"/>
      <c r="V219" s="33" t="n">
        <v>2500</v>
      </c>
      <c r="W219" s="27"/>
      <c r="X219" s="27" t="str">
        <f aca="false">IF($K219="","출고일 미정",IF($P219="X","작지 미발행",IF($P219="부분","작지 일부 미발행",IF(AND($R219&lt;&gt;"",$R219&gt;$N219),"소재입고 마감("&amp;TEXT($N219,"MM/DD")&amp;") 초과",IF($P219="","발행여부 확인 필요",IF($R219="","소재 입고일정 확인 필요","정상"))))))</f>
        <v>소재 입고일정 확인 필요</v>
      </c>
      <c r="Y219" s="25" t="str">
        <f aca="false">IF($K219="","",IF(OR(LEFT($X219,2)="작지",LEFT($X219,4)="소재입고"),IF(LEFT($G219,1)="S","★ 납기위험(S코드)","◆ 지연주의"),IF($X219="정상","✓ 정상","? 확인필요")))</f>
        <v>? 확인필요</v>
      </c>
      <c r="Z219" s="28"/>
      <c r="AA219" s="34"/>
    </row>
    <row r="220" customFormat="false" ht="15" hidden="false" customHeight="false" outlineLevel="0" collapsed="false">
      <c r="A220" s="25" t="n">
        <v>216</v>
      </c>
      <c r="B220" s="26" t="s">
        <v>124</v>
      </c>
      <c r="C220" s="26" t="s">
        <v>268</v>
      </c>
      <c r="D220" s="27" t="s">
        <v>736</v>
      </c>
      <c r="E220" s="26" t="s">
        <v>737</v>
      </c>
      <c r="F220" s="27" t="s">
        <v>738</v>
      </c>
      <c r="G220" s="25" t="str">
        <f aca="false">IF($D220="","",IF(MID($D220,5,1)="S","S(봄)",IF(MID($D220,5,1)="M","M(여름)",IF(MID($D220,5,1)="X","X(사계절)",MID($D220,5,1)))))</f>
        <v>M(여름)</v>
      </c>
      <c r="H220" s="26" t="s">
        <v>79</v>
      </c>
      <c r="I220" s="25"/>
      <c r="J220" s="28" t="s">
        <v>626</v>
      </c>
      <c r="K220" s="29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9" t="n">
        <f aca="false">IF($K220="","",IF(AND($K220-기준정보!$C$5&gt;=기준정보!$C$10,$K220-기준정보!$C$5&lt;=기준정보!$C$11),기준정보!$C$10-1,$K220-기준정보!$C$5))</f>
        <v>46440</v>
      </c>
      <c r="M220" s="30" t="n">
        <f aca="false">IF($L220="","",IF(OR(ISNUMBER(SEARCH("중국",$U220)),ISNUMBER(SEARCH("베트남",$U220))),MAX(0,MIN($L220,기준정보!$C$9)-MAX($L220-기준정보!$C$6,기준정보!$C$8)+1),IF(ISNUMBER(SEARCH("한국",$U220)),MAX(0,MIN($L220,기준정보!$C$11)-MAX($L220-기준정보!$C$6,기준정보!$C$10)+1),0)))</f>
        <v>15</v>
      </c>
      <c r="N220" s="29" t="n">
        <f aca="false">IF($L220="","",$L220-기준정보!$C$6-$M220)</f>
        <v>46335</v>
      </c>
      <c r="O220" s="31" t="n">
        <f aca="false">IF($N220="","",$N220-기준정보!$C$4)</f>
        <v>93</v>
      </c>
      <c r="P220" s="28" t="s">
        <v>82</v>
      </c>
      <c r="Q220" s="28" t="s">
        <v>83</v>
      </c>
      <c r="R220" s="32"/>
      <c r="S220" s="27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T220" s="26" t="s">
        <v>513</v>
      </c>
      <c r="U220" s="26" t="s">
        <v>85</v>
      </c>
      <c r="V220" s="33" t="n">
        <v>3500</v>
      </c>
      <c r="W220" s="27" t="s">
        <v>626</v>
      </c>
      <c r="X220" s="27" t="str">
        <f aca="false">IF($K220="","출고일 미정",IF($P220="X","작지 미발행",IF($P220="부분","작지 일부 미발행",IF(AND($R220&lt;&gt;"",$R220&gt;$N220),"소재입고 마감("&amp;TEXT($N220,"MM/DD")&amp;") 초과",IF($P220="","발행여부 확인 필요",IF($R220="","소재 입고일정 확인 필요","정상"))))))</f>
        <v>소재 입고일정 확인 필요</v>
      </c>
      <c r="Y220" s="25" t="str">
        <f aca="false">IF($K220="","",IF(OR(LEFT($X220,2)="작지",LEFT($X220,4)="소재입고"),IF(LEFT($G220,1)="S","★ 납기위험(S코드)","◆ 지연주의"),IF($X220="정상","✓ 정상","? 확인필요")))</f>
        <v>? 확인필요</v>
      </c>
      <c r="Z220" s="28"/>
      <c r="AA220" s="34"/>
    </row>
    <row r="221" customFormat="false" ht="15" hidden="false" customHeight="false" outlineLevel="0" collapsed="false">
      <c r="A221" s="25" t="n">
        <v>217</v>
      </c>
      <c r="B221" s="26" t="s">
        <v>124</v>
      </c>
      <c r="C221" s="26" t="s">
        <v>268</v>
      </c>
      <c r="D221" s="27" t="s">
        <v>739</v>
      </c>
      <c r="E221" s="26" t="s">
        <v>740</v>
      </c>
      <c r="F221" s="27" t="s">
        <v>741</v>
      </c>
      <c r="G221" s="25" t="str">
        <f aca="false">IF($D221="","",IF(MID($D221,5,1)="S","S(봄)",IF(MID($D221,5,1)="M","M(여름)",IF(MID($D221,5,1)="X","X(사계절)",MID($D221,5,1)))))</f>
        <v>M(여름)</v>
      </c>
      <c r="H221" s="26" t="s">
        <v>79</v>
      </c>
      <c r="I221" s="25"/>
      <c r="J221" s="28" t="s">
        <v>626</v>
      </c>
      <c r="K221" s="29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9" t="n">
        <f aca="false">IF($K221="","",IF(AND($K221-기준정보!$C$5&gt;=기준정보!$C$10,$K221-기준정보!$C$5&lt;=기준정보!$C$11),기준정보!$C$10-1,$K221-기준정보!$C$5))</f>
        <v>46440</v>
      </c>
      <c r="M221" s="30" t="n">
        <f aca="false">IF($L221="","",IF(OR(ISNUMBER(SEARCH("중국",$U221)),ISNUMBER(SEARCH("베트남",$U221))),MAX(0,MIN($L221,기준정보!$C$9)-MAX($L221-기준정보!$C$6,기준정보!$C$8)+1),IF(ISNUMBER(SEARCH("한국",$U221)),MAX(0,MIN($L221,기준정보!$C$11)-MAX($L221-기준정보!$C$6,기준정보!$C$10)+1),0)))</f>
        <v>15</v>
      </c>
      <c r="N221" s="29" t="n">
        <f aca="false">IF($L221="","",$L221-기준정보!$C$6-$M221)</f>
        <v>46335</v>
      </c>
      <c r="O221" s="31" t="n">
        <f aca="false">IF($N221="","",$N221-기준정보!$C$4)</f>
        <v>93</v>
      </c>
      <c r="P221" s="28" t="s">
        <v>82</v>
      </c>
      <c r="Q221" s="28" t="s">
        <v>83</v>
      </c>
      <c r="R221" s="32"/>
      <c r="S221" s="27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T221" s="26" t="s">
        <v>513</v>
      </c>
      <c r="U221" s="26" t="s">
        <v>85</v>
      </c>
      <c r="V221" s="33" t="n">
        <v>3000</v>
      </c>
      <c r="W221" s="27"/>
      <c r="X221" s="27" t="str">
        <f aca="false">IF($K221="","출고일 미정",IF($P221="X","작지 미발행",IF($P221="부분","작지 일부 미발행",IF(AND($R221&lt;&gt;"",$R221&gt;$N221),"소재입고 마감("&amp;TEXT($N221,"MM/DD")&amp;") 초과",IF($P221="","발행여부 확인 필요",IF($R221="","소재 입고일정 확인 필요","정상"))))))</f>
        <v>소재 입고일정 확인 필요</v>
      </c>
      <c r="Y221" s="25" t="str">
        <f aca="false">IF($K221="","",IF(OR(LEFT($X221,2)="작지",LEFT($X221,4)="소재입고"),IF(LEFT($G221,1)="S","★ 납기위험(S코드)","◆ 지연주의"),IF($X221="정상","✓ 정상","? 확인필요")))</f>
        <v>? 확인필요</v>
      </c>
      <c r="Z221" s="28"/>
      <c r="AA221" s="34"/>
    </row>
    <row r="222" customFormat="false" ht="15" hidden="false" customHeight="false" outlineLevel="0" collapsed="false">
      <c r="A222" s="25" t="n">
        <v>218</v>
      </c>
      <c r="B222" s="26" t="s">
        <v>124</v>
      </c>
      <c r="C222" s="26" t="s">
        <v>125</v>
      </c>
      <c r="D222" s="27" t="s">
        <v>742</v>
      </c>
      <c r="E222" s="26" t="s">
        <v>743</v>
      </c>
      <c r="F222" s="27" t="s">
        <v>744</v>
      </c>
      <c r="G222" s="25" t="str">
        <f aca="false">IF($D222="","",IF(MID($D222,5,1)="S","S(봄)",IF(MID($D222,5,1)="M","M(여름)",IF(MID($D222,5,1)="X","X(사계절)",MID($D222,5,1)))))</f>
        <v>M(여름)</v>
      </c>
      <c r="H222" s="27" t="s">
        <v>129</v>
      </c>
      <c r="I222" s="25"/>
      <c r="J222" s="28" t="s">
        <v>626</v>
      </c>
      <c r="K222" s="29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9" t="n">
        <f aca="false">IF($K222="","",IF(AND($K222-기준정보!$C$5&gt;=기준정보!$C$10,$K222-기준정보!$C$5&lt;=기준정보!$C$11),기준정보!$C$10-1,$K222-기준정보!$C$5))</f>
        <v>46440</v>
      </c>
      <c r="M222" s="30" t="n">
        <f aca="false">IF($L222="","",IF(OR(ISNUMBER(SEARCH("중국",$U222)),ISNUMBER(SEARCH("베트남",$U222))),MAX(0,MIN($L222,기준정보!$C$9)-MAX($L222-기준정보!$C$6,기준정보!$C$8)+1),IF(ISNUMBER(SEARCH("한국",$U222)),MAX(0,MIN($L222,기준정보!$C$11)-MAX($L222-기준정보!$C$6,기준정보!$C$10)+1),0)))</f>
        <v>15</v>
      </c>
      <c r="N222" s="29" t="n">
        <f aca="false">IF($L222="","",$L222-기준정보!$C$6-$M222)</f>
        <v>46335</v>
      </c>
      <c r="O222" s="31" t="n">
        <f aca="false">IF($N222="","",$N222-기준정보!$C$4)</f>
        <v>93</v>
      </c>
      <c r="P222" s="28" t="s">
        <v>82</v>
      </c>
      <c r="Q222" s="28" t="s">
        <v>83</v>
      </c>
      <c r="R222" s="32"/>
      <c r="S222" s="27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T222" s="27" t="s">
        <v>130</v>
      </c>
      <c r="U222" s="26" t="s">
        <v>85</v>
      </c>
      <c r="V222" s="33" t="n">
        <v>24000</v>
      </c>
      <c r="W222" s="27" t="s">
        <v>626</v>
      </c>
      <c r="X222" s="27" t="str">
        <f aca="false">IF($K222="","출고일 미정",IF($P222="X","작지 미발행",IF($P222="부분","작지 일부 미발행",IF(AND($R222&lt;&gt;"",$R222&gt;$N222),"소재입고 마감("&amp;TEXT($N222,"MM/DD")&amp;") 초과",IF($P222="","발행여부 확인 필요",IF($R222="","소재 입고일정 확인 필요","정상"))))))</f>
        <v>소재 입고일정 확인 필요</v>
      </c>
      <c r="Y222" s="25" t="str">
        <f aca="false">IF($K222="","",IF(OR(LEFT($X222,2)="작지",LEFT($X222,4)="소재입고"),IF(LEFT($G222,1)="S","★ 납기위험(S코드)","◆ 지연주의"),IF($X222="정상","✓ 정상","? 확인필요")))</f>
        <v>? 확인필요</v>
      </c>
      <c r="Z222" s="28"/>
      <c r="AA222" s="34"/>
    </row>
    <row r="223" customFormat="false" ht="15" hidden="false" customHeight="false" outlineLevel="0" collapsed="false">
      <c r="A223" s="25" t="n">
        <v>219</v>
      </c>
      <c r="B223" s="26" t="s">
        <v>124</v>
      </c>
      <c r="C223" s="26" t="s">
        <v>125</v>
      </c>
      <c r="D223" s="27" t="s">
        <v>745</v>
      </c>
      <c r="E223" s="26" t="s">
        <v>746</v>
      </c>
      <c r="F223" s="27" t="s">
        <v>556</v>
      </c>
      <c r="G223" s="25" t="str">
        <f aca="false">IF($D223="","",IF(MID($D223,5,1)="S","S(봄)",IF(MID($D223,5,1)="M","M(여름)",IF(MID($D223,5,1)="X","X(사계절)",MID($D223,5,1)))))</f>
        <v>M(여름)</v>
      </c>
      <c r="H223" s="26" t="s">
        <v>79</v>
      </c>
      <c r="I223" s="25"/>
      <c r="J223" s="28" t="s">
        <v>626</v>
      </c>
      <c r="K223" s="29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9" t="n">
        <f aca="false">IF($K223="","",IF(AND($K223-기준정보!$C$5&gt;=기준정보!$C$10,$K223-기준정보!$C$5&lt;=기준정보!$C$11),기준정보!$C$10-1,$K223-기준정보!$C$5))</f>
        <v>46440</v>
      </c>
      <c r="M223" s="30" t="n">
        <f aca="false">IF($L223="","",IF(OR(ISNUMBER(SEARCH("중국",$U223)),ISNUMBER(SEARCH("베트남",$U223))),MAX(0,MIN($L223,기준정보!$C$9)-MAX($L223-기준정보!$C$6,기준정보!$C$8)+1),IF(ISNUMBER(SEARCH("한국",$U223)),MAX(0,MIN($L223,기준정보!$C$11)-MAX($L223-기준정보!$C$6,기준정보!$C$10)+1),0)))</f>
        <v>15</v>
      </c>
      <c r="N223" s="29" t="n">
        <f aca="false">IF($L223="","",$L223-기준정보!$C$6-$M223)</f>
        <v>46335</v>
      </c>
      <c r="O223" s="31" t="n">
        <f aca="false">IF($N223="","",$N223-기준정보!$C$4)</f>
        <v>93</v>
      </c>
      <c r="P223" s="28" t="s">
        <v>82</v>
      </c>
      <c r="Q223" s="28" t="s">
        <v>83</v>
      </c>
      <c r="R223" s="32"/>
      <c r="S223" s="27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T223" s="26" t="s">
        <v>311</v>
      </c>
      <c r="U223" s="26" t="s">
        <v>85</v>
      </c>
      <c r="V223" s="33" t="n">
        <v>12000</v>
      </c>
      <c r="W223" s="27" t="s">
        <v>626</v>
      </c>
      <c r="X223" s="27" t="str">
        <f aca="false">IF($K223="","출고일 미정",IF($P223="X","작지 미발행",IF($P223="부분","작지 일부 미발행",IF(AND($R223&lt;&gt;"",$R223&gt;$N223),"소재입고 마감("&amp;TEXT($N223,"MM/DD")&amp;") 초과",IF($P223="","발행여부 확인 필요",IF($R223="","소재 입고일정 확인 필요","정상"))))))</f>
        <v>소재 입고일정 확인 필요</v>
      </c>
      <c r="Y223" s="25" t="str">
        <f aca="false">IF($K223="","",IF(OR(LEFT($X223,2)="작지",LEFT($X223,4)="소재입고"),IF(LEFT($G223,1)="S","★ 납기위험(S코드)","◆ 지연주의"),IF($X223="정상","✓ 정상","? 확인필요")))</f>
        <v>? 확인필요</v>
      </c>
      <c r="Z223" s="28"/>
      <c r="AA223" s="34"/>
    </row>
    <row r="224" customFormat="false" ht="15" hidden="false" customHeight="false" outlineLevel="0" collapsed="false">
      <c r="A224" s="25" t="n">
        <v>220</v>
      </c>
      <c r="B224" s="26" t="s">
        <v>124</v>
      </c>
      <c r="C224" s="26" t="s">
        <v>125</v>
      </c>
      <c r="D224" s="27" t="s">
        <v>747</v>
      </c>
      <c r="E224" s="26" t="s">
        <v>748</v>
      </c>
      <c r="F224" s="27" t="s">
        <v>252</v>
      </c>
      <c r="G224" s="25" t="str">
        <f aca="false">IF($D224="","",IF(MID($D224,5,1)="S","S(봄)",IF(MID($D224,5,1)="M","M(여름)",IF(MID($D224,5,1)="X","X(사계절)",MID($D224,5,1)))))</f>
        <v>M(여름)</v>
      </c>
      <c r="H224" s="26" t="s">
        <v>79</v>
      </c>
      <c r="I224" s="25"/>
      <c r="J224" s="28" t="s">
        <v>626</v>
      </c>
      <c r="K224" s="29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9" t="n">
        <f aca="false">IF($K224="","",IF(AND($K224-기준정보!$C$5&gt;=기준정보!$C$10,$K224-기준정보!$C$5&lt;=기준정보!$C$11),기준정보!$C$10-1,$K224-기준정보!$C$5))</f>
        <v>46440</v>
      </c>
      <c r="M224" s="30" t="n">
        <f aca="false">IF($L224="","",IF(OR(ISNUMBER(SEARCH("중국",$U224)),ISNUMBER(SEARCH("베트남",$U224))),MAX(0,MIN($L224,기준정보!$C$9)-MAX($L224-기준정보!$C$6,기준정보!$C$8)+1),IF(ISNUMBER(SEARCH("한국",$U224)),MAX(0,MIN($L224,기준정보!$C$11)-MAX($L224-기준정보!$C$6,기준정보!$C$10)+1),0)))</f>
        <v>15</v>
      </c>
      <c r="N224" s="29" t="n">
        <f aca="false">IF($L224="","",$L224-기준정보!$C$6-$M224)</f>
        <v>46335</v>
      </c>
      <c r="O224" s="31" t="n">
        <f aca="false">IF($N224="","",$N224-기준정보!$C$4)</f>
        <v>93</v>
      </c>
      <c r="P224" s="28" t="s">
        <v>82</v>
      </c>
      <c r="Q224" s="28" t="s">
        <v>83</v>
      </c>
      <c r="R224" s="32"/>
      <c r="S224" s="27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T224" s="26" t="s">
        <v>311</v>
      </c>
      <c r="U224" s="26" t="s">
        <v>85</v>
      </c>
      <c r="V224" s="33" t="n">
        <v>3000</v>
      </c>
      <c r="W224" s="27" t="s">
        <v>626</v>
      </c>
      <c r="X224" s="27" t="str">
        <f aca="false">IF($K224="","출고일 미정",IF($P224="X","작지 미발행",IF($P224="부분","작지 일부 미발행",IF(AND($R224&lt;&gt;"",$R224&gt;$N224),"소재입고 마감("&amp;TEXT($N224,"MM/DD")&amp;") 초과",IF($P224="","발행여부 확인 필요",IF($R224="","소재 입고일정 확인 필요","정상"))))))</f>
        <v>소재 입고일정 확인 필요</v>
      </c>
      <c r="Y224" s="25" t="str">
        <f aca="false">IF($K224="","",IF(OR(LEFT($X224,2)="작지",LEFT($X224,4)="소재입고"),IF(LEFT($G224,1)="S","★ 납기위험(S코드)","◆ 지연주의"),IF($X224="정상","✓ 정상","? 확인필요")))</f>
        <v>? 확인필요</v>
      </c>
      <c r="Z224" s="28"/>
      <c r="AA224" s="34"/>
    </row>
    <row r="225" customFormat="false" ht="15" hidden="false" customHeight="false" outlineLevel="0" collapsed="false">
      <c r="A225" s="25" t="n">
        <v>221</v>
      </c>
      <c r="B225" s="26" t="s">
        <v>124</v>
      </c>
      <c r="C225" s="26" t="s">
        <v>125</v>
      </c>
      <c r="D225" s="27" t="s">
        <v>749</v>
      </c>
      <c r="E225" s="26" t="s">
        <v>750</v>
      </c>
      <c r="F225" s="27" t="s">
        <v>529</v>
      </c>
      <c r="G225" s="25" t="str">
        <f aca="false">IF($D225="","",IF(MID($D225,5,1)="S","S(봄)",IF(MID($D225,5,1)="M","M(여름)",IF(MID($D225,5,1)="X","X(사계절)",MID($D225,5,1)))))</f>
        <v>M(여름)</v>
      </c>
      <c r="H225" s="26" t="s">
        <v>79</v>
      </c>
      <c r="I225" s="25"/>
      <c r="J225" s="28" t="s">
        <v>626</v>
      </c>
      <c r="K225" s="29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9" t="n">
        <f aca="false">IF($K225="","",IF(AND($K225-기준정보!$C$5&gt;=기준정보!$C$10,$K225-기준정보!$C$5&lt;=기준정보!$C$11),기준정보!$C$10-1,$K225-기준정보!$C$5))</f>
        <v>46440</v>
      </c>
      <c r="M225" s="30" t="n">
        <f aca="false">IF($L225="","",IF(OR(ISNUMBER(SEARCH("중국",$U225)),ISNUMBER(SEARCH("베트남",$U225))),MAX(0,MIN($L225,기준정보!$C$9)-MAX($L225-기준정보!$C$6,기준정보!$C$8)+1),IF(ISNUMBER(SEARCH("한국",$U225)),MAX(0,MIN($L225,기준정보!$C$11)-MAX($L225-기준정보!$C$6,기준정보!$C$10)+1),0)))</f>
        <v>15</v>
      </c>
      <c r="N225" s="29" t="n">
        <f aca="false">IF($L225="","",$L225-기준정보!$C$6-$M225)</f>
        <v>46335</v>
      </c>
      <c r="O225" s="31" t="n">
        <f aca="false">IF($N225="","",$N225-기준정보!$C$4)</f>
        <v>93</v>
      </c>
      <c r="P225" s="28" t="s">
        <v>82</v>
      </c>
      <c r="Q225" s="28" t="s">
        <v>83</v>
      </c>
      <c r="R225" s="32"/>
      <c r="S225" s="27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T225" s="26" t="s">
        <v>311</v>
      </c>
      <c r="U225" s="26" t="s">
        <v>85</v>
      </c>
      <c r="V225" s="33" t="n">
        <v>6000</v>
      </c>
      <c r="W225" s="27" t="s">
        <v>626</v>
      </c>
      <c r="X225" s="27" t="str">
        <f aca="false">IF($K225="","출고일 미정",IF($P225="X","작지 미발행",IF($P225="부분","작지 일부 미발행",IF(AND($R225&lt;&gt;"",$R225&gt;$N225),"소재입고 마감("&amp;TEXT($N225,"MM/DD")&amp;") 초과",IF($P225="","발행여부 확인 필요",IF($R225="","소재 입고일정 확인 필요","정상"))))))</f>
        <v>소재 입고일정 확인 필요</v>
      </c>
      <c r="Y225" s="25" t="str">
        <f aca="false">IF($K225="","",IF(OR(LEFT($X225,2)="작지",LEFT($X225,4)="소재입고"),IF(LEFT($G225,1)="S","★ 납기위험(S코드)","◆ 지연주의"),IF($X225="정상","✓ 정상","? 확인필요")))</f>
        <v>? 확인필요</v>
      </c>
      <c r="Z225" s="28"/>
      <c r="AA225" s="34"/>
    </row>
    <row r="226" customFormat="false" ht="15" hidden="false" customHeight="false" outlineLevel="0" collapsed="false">
      <c r="A226" s="25" t="n">
        <v>222</v>
      </c>
      <c r="B226" s="26" t="s">
        <v>74</v>
      </c>
      <c r="C226" s="27" t="s">
        <v>732</v>
      </c>
      <c r="D226" s="27" t="s">
        <v>751</v>
      </c>
      <c r="E226" s="26" t="s">
        <v>752</v>
      </c>
      <c r="F226" s="27" t="s">
        <v>735</v>
      </c>
      <c r="G226" s="25" t="str">
        <f aca="false">IF($D226="","",IF(MID($D226,5,1)="S","S(봄)",IF(MID($D226,5,1)="M","M(여름)",IF(MID($D226,5,1)="X","X(사계절)",MID($D226,5,1)))))</f>
        <v>M(여름)</v>
      </c>
      <c r="H226" s="26" t="s">
        <v>79</v>
      </c>
      <c r="I226" s="25"/>
      <c r="J226" s="28" t="s">
        <v>626</v>
      </c>
      <c r="K226" s="29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9" t="n">
        <f aca="false">IF($K226="","",IF(AND($K226-기준정보!$C$5&gt;=기준정보!$C$10,$K226-기준정보!$C$5&lt;=기준정보!$C$11),기준정보!$C$10-1,$K226-기준정보!$C$5))</f>
        <v>46440</v>
      </c>
      <c r="M226" s="30" t="n">
        <f aca="false">IF($L226="","",IF(OR(ISNUMBER(SEARCH("중국",$U226)),ISNUMBER(SEARCH("베트남",$U226))),MAX(0,MIN($L226,기준정보!$C$9)-MAX($L226-기준정보!$C$6,기준정보!$C$8)+1),IF(ISNUMBER(SEARCH("한국",$U226)),MAX(0,MIN($L226,기준정보!$C$11)-MAX($L226-기준정보!$C$6,기준정보!$C$10)+1),0)))</f>
        <v>0</v>
      </c>
      <c r="N226" s="29" t="n">
        <f aca="false">IF($L226="","",$L226-기준정보!$C$6-$M226)</f>
        <v>46350</v>
      </c>
      <c r="O226" s="31" t="n">
        <f aca="false">IF($N226="","",$N226-기준정보!$C$4)</f>
        <v>108</v>
      </c>
      <c r="P226" s="28" t="s">
        <v>82</v>
      </c>
      <c r="Q226" s="28"/>
      <c r="R226" s="32"/>
      <c r="S226" s="27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T226" s="27"/>
      <c r="U226" s="27"/>
      <c r="V226" s="33" t="n">
        <v>1800</v>
      </c>
      <c r="W226" s="27"/>
      <c r="X226" s="27" t="str">
        <f aca="false">IF($K226="","출고일 미정",IF($P226="X","작지 미발행",IF($P226="부분","작지 일부 미발행",IF(AND($R226&lt;&gt;"",$R226&gt;$N226),"소재입고 마감("&amp;TEXT($N226,"MM/DD")&amp;") 초과",IF($P226="","발행여부 확인 필요",IF($R226="","소재 입고일정 확인 필요","정상"))))))</f>
        <v>소재 입고일정 확인 필요</v>
      </c>
      <c r="Y226" s="25" t="str">
        <f aca="false">IF($K226="","",IF(OR(LEFT($X226,2)="작지",LEFT($X226,4)="소재입고"),IF(LEFT($G226,1)="S","★ 납기위험(S코드)","◆ 지연주의"),IF($X226="정상","✓ 정상","? 확인필요")))</f>
        <v>? 확인필요</v>
      </c>
      <c r="Z226" s="28"/>
      <c r="AA226" s="34"/>
    </row>
    <row r="227" customFormat="false" ht="15" hidden="false" customHeight="false" outlineLevel="0" collapsed="false">
      <c r="A227" s="25" t="n">
        <v>223</v>
      </c>
      <c r="B227" s="26" t="s">
        <v>74</v>
      </c>
      <c r="C227" s="27" t="s">
        <v>732</v>
      </c>
      <c r="D227" s="27" t="s">
        <v>753</v>
      </c>
      <c r="E227" s="26" t="s">
        <v>754</v>
      </c>
      <c r="F227" s="27" t="s">
        <v>735</v>
      </c>
      <c r="G227" s="25" t="str">
        <f aca="false">IF($D227="","",IF(MID($D227,5,1)="S","S(봄)",IF(MID($D227,5,1)="M","M(여름)",IF(MID($D227,5,1)="X","X(사계절)",MID($D227,5,1)))))</f>
        <v>M(여름)</v>
      </c>
      <c r="H227" s="26" t="s">
        <v>79</v>
      </c>
      <c r="I227" s="25"/>
      <c r="J227" s="28" t="s">
        <v>626</v>
      </c>
      <c r="K227" s="29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9" t="n">
        <f aca="false">IF($K227="","",IF(AND($K227-기준정보!$C$5&gt;=기준정보!$C$10,$K227-기준정보!$C$5&lt;=기준정보!$C$11),기준정보!$C$10-1,$K227-기준정보!$C$5))</f>
        <v>46440</v>
      </c>
      <c r="M227" s="30" t="n">
        <f aca="false">IF($L227="","",IF(OR(ISNUMBER(SEARCH("중국",$U227)),ISNUMBER(SEARCH("베트남",$U227))),MAX(0,MIN($L227,기준정보!$C$9)-MAX($L227-기준정보!$C$6,기준정보!$C$8)+1),IF(ISNUMBER(SEARCH("한국",$U227)),MAX(0,MIN($L227,기준정보!$C$11)-MAX($L227-기준정보!$C$6,기준정보!$C$10)+1),0)))</f>
        <v>0</v>
      </c>
      <c r="N227" s="29" t="n">
        <f aca="false">IF($L227="","",$L227-기준정보!$C$6-$M227)</f>
        <v>46350</v>
      </c>
      <c r="O227" s="31" t="n">
        <f aca="false">IF($N227="","",$N227-기준정보!$C$4)</f>
        <v>108</v>
      </c>
      <c r="P227" s="28" t="s">
        <v>82</v>
      </c>
      <c r="Q227" s="28"/>
      <c r="R227" s="32"/>
      <c r="S227" s="27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T227" s="27"/>
      <c r="U227" s="27"/>
      <c r="V227" s="33" t="n">
        <v>3200</v>
      </c>
      <c r="W227" s="27"/>
      <c r="X227" s="27" t="str">
        <f aca="false">IF($K227="","출고일 미정",IF($P227="X","작지 미발행",IF($P227="부분","작지 일부 미발행",IF(AND($R227&lt;&gt;"",$R227&gt;$N227),"소재입고 마감("&amp;TEXT($N227,"MM/DD")&amp;") 초과",IF($P227="","발행여부 확인 필요",IF($R227="","소재 입고일정 확인 필요","정상"))))))</f>
        <v>소재 입고일정 확인 필요</v>
      </c>
      <c r="Y227" s="25" t="str">
        <f aca="false">IF($K227="","",IF(OR(LEFT($X227,2)="작지",LEFT($X227,4)="소재입고"),IF(LEFT($G227,1)="S","★ 납기위험(S코드)","◆ 지연주의"),IF($X227="정상","✓ 정상","? 확인필요")))</f>
        <v>? 확인필요</v>
      </c>
      <c r="Z227" s="28"/>
      <c r="AA227" s="34"/>
    </row>
    <row r="228" customFormat="false" ht="15" hidden="false" customHeight="false" outlineLevel="0" collapsed="false">
      <c r="A228" s="25" t="n">
        <v>224</v>
      </c>
      <c r="B228" s="26" t="s">
        <v>124</v>
      </c>
      <c r="C228" s="26" t="s">
        <v>125</v>
      </c>
      <c r="D228" s="27" t="s">
        <v>755</v>
      </c>
      <c r="E228" s="26" t="s">
        <v>756</v>
      </c>
      <c r="F228" s="27" t="s">
        <v>757</v>
      </c>
      <c r="G228" s="25" t="str">
        <f aca="false">IF($D228="","",IF(MID($D228,5,1)="S","S(봄)",IF(MID($D228,5,1)="M","M(여름)",IF(MID($D228,5,1)="X","X(사계절)",MID($D228,5,1)))))</f>
        <v>M(여름)</v>
      </c>
      <c r="H228" s="26" t="s">
        <v>79</v>
      </c>
      <c r="I228" s="25"/>
      <c r="J228" s="28" t="s">
        <v>626</v>
      </c>
      <c r="K228" s="29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9" t="n">
        <f aca="false">IF($K228="","",IF(AND($K228-기준정보!$C$5&gt;=기준정보!$C$10,$K228-기준정보!$C$5&lt;=기준정보!$C$11),기준정보!$C$10-1,$K228-기준정보!$C$5))</f>
        <v>46440</v>
      </c>
      <c r="M228" s="30" t="n">
        <f aca="false">IF($L228="","",IF(OR(ISNUMBER(SEARCH("중국",$U228)),ISNUMBER(SEARCH("베트남",$U228))),MAX(0,MIN($L228,기준정보!$C$9)-MAX($L228-기준정보!$C$6,기준정보!$C$8)+1),IF(ISNUMBER(SEARCH("한국",$U228)),MAX(0,MIN($L228,기준정보!$C$11)-MAX($L228-기준정보!$C$6,기준정보!$C$10)+1),0)))</f>
        <v>15</v>
      </c>
      <c r="N228" s="29" t="n">
        <f aca="false">IF($L228="","",$L228-기준정보!$C$6-$M228)</f>
        <v>46335</v>
      </c>
      <c r="O228" s="31" t="n">
        <f aca="false">IF($N228="","",$N228-기준정보!$C$4)</f>
        <v>93</v>
      </c>
      <c r="P228" s="28" t="s">
        <v>82</v>
      </c>
      <c r="Q228" s="28" t="s">
        <v>83</v>
      </c>
      <c r="R228" s="32"/>
      <c r="S228" s="27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T228" s="26" t="s">
        <v>311</v>
      </c>
      <c r="U228" s="26" t="s">
        <v>85</v>
      </c>
      <c r="V228" s="33" t="n">
        <v>1500</v>
      </c>
      <c r="W228" s="27" t="s">
        <v>626</v>
      </c>
      <c r="X228" s="27" t="str">
        <f aca="false">IF($K228="","출고일 미정",IF($P228="X","작지 미발행",IF($P228="부분","작지 일부 미발행",IF(AND($R228&lt;&gt;"",$R228&gt;$N228),"소재입고 마감("&amp;TEXT($N228,"MM/DD")&amp;") 초과",IF($P228="","발행여부 확인 필요",IF($R228="","소재 입고일정 확인 필요","정상"))))))</f>
        <v>소재 입고일정 확인 필요</v>
      </c>
      <c r="Y228" s="25" t="str">
        <f aca="false">IF($K228="","",IF(OR(LEFT($X228,2)="작지",LEFT($X228,4)="소재입고"),IF(LEFT($G228,1)="S","★ 납기위험(S코드)","◆ 지연주의"),IF($X228="정상","✓ 정상","? 확인필요")))</f>
        <v>? 확인필요</v>
      </c>
      <c r="Z228" s="28"/>
      <c r="AA228" s="34"/>
    </row>
    <row r="229" customFormat="false" ht="15" hidden="false" customHeight="false" outlineLevel="0" collapsed="false">
      <c r="A229" s="25" t="n">
        <v>225</v>
      </c>
      <c r="B229" s="26" t="s">
        <v>267</v>
      </c>
      <c r="C229" s="26" t="s">
        <v>254</v>
      </c>
      <c r="D229" s="27" t="s">
        <v>758</v>
      </c>
      <c r="E229" s="26" t="s">
        <v>759</v>
      </c>
      <c r="F229" s="27" t="s">
        <v>760</v>
      </c>
      <c r="G229" s="25" t="str">
        <f aca="false">IF($D229="","",IF(MID($D229,5,1)="S","S(봄)",IF(MID($D229,5,1)="M","M(여름)",IF(MID($D229,5,1)="X","X(사계절)",MID($D229,5,1)))))</f>
        <v>M(여름)</v>
      </c>
      <c r="H229" s="26" t="s">
        <v>79</v>
      </c>
      <c r="I229" s="25" t="s">
        <v>509</v>
      </c>
      <c r="J229" s="28" t="s">
        <v>626</v>
      </c>
      <c r="K229" s="29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9" t="n">
        <f aca="false">IF($K229="","",IF(AND($K229-기준정보!$C$5&gt;=기준정보!$C$10,$K229-기준정보!$C$5&lt;=기준정보!$C$11),기준정보!$C$10-1,$K229-기준정보!$C$5))</f>
        <v>46440</v>
      </c>
      <c r="M229" s="30" t="n">
        <f aca="false">IF($L229="","",IF(OR(ISNUMBER(SEARCH("중국",$U229)),ISNUMBER(SEARCH("베트남",$U229))),MAX(0,MIN($L229,기준정보!$C$9)-MAX($L229-기준정보!$C$6,기준정보!$C$8)+1),IF(ISNUMBER(SEARCH("한국",$U229)),MAX(0,MIN($L229,기준정보!$C$11)-MAX($L229-기준정보!$C$6,기준정보!$C$10)+1),0)))</f>
        <v>15</v>
      </c>
      <c r="N229" s="29" t="n">
        <f aca="false">IF($L229="","",$L229-기준정보!$C$6-$M229)</f>
        <v>46335</v>
      </c>
      <c r="O229" s="31" t="n">
        <f aca="false">IF($N229="","",$N229-기준정보!$C$4)</f>
        <v>93</v>
      </c>
      <c r="P229" s="28" t="s">
        <v>82</v>
      </c>
      <c r="Q229" s="28" t="s">
        <v>83</v>
      </c>
      <c r="R229" s="32"/>
      <c r="S229" s="27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T229" s="26" t="s">
        <v>258</v>
      </c>
      <c r="U229" s="26" t="s">
        <v>85</v>
      </c>
      <c r="V229" s="33" t="n">
        <v>2000</v>
      </c>
      <c r="W229" s="27"/>
      <c r="X229" s="27" t="str">
        <f aca="false">IF($K229="","출고일 미정",IF($P229="X","작지 미발행",IF($P229="부분","작지 일부 미발행",IF(AND($R229&lt;&gt;"",$R229&gt;$N229),"소재입고 마감("&amp;TEXT($N229,"MM/DD")&amp;") 초과",IF($P229="","발행여부 확인 필요",IF($R229="","소재 입고일정 확인 필요","정상"))))))</f>
        <v>소재 입고일정 확인 필요</v>
      </c>
      <c r="Y229" s="25" t="str">
        <f aca="false">IF($K229="","",IF(OR(LEFT($X229,2)="작지",LEFT($X229,4)="소재입고"),IF(LEFT($G229,1)="S","★ 납기위험(S코드)","◆ 지연주의"),IF($X229="정상","✓ 정상","? 확인필요")))</f>
        <v>? 확인필요</v>
      </c>
      <c r="Z229" s="28"/>
      <c r="AA229" s="34"/>
    </row>
    <row r="230" customFormat="false" ht="15" hidden="false" customHeight="false" outlineLevel="0" collapsed="false">
      <c r="A230" s="25" t="n">
        <v>226</v>
      </c>
      <c r="B230" s="26" t="s">
        <v>267</v>
      </c>
      <c r="C230" s="26" t="s">
        <v>254</v>
      </c>
      <c r="D230" s="27" t="s">
        <v>761</v>
      </c>
      <c r="E230" s="26" t="s">
        <v>762</v>
      </c>
      <c r="F230" s="27" t="s">
        <v>763</v>
      </c>
      <c r="G230" s="25" t="str">
        <f aca="false">IF($D230="","",IF(MID($D230,5,1)="S","S(봄)",IF(MID($D230,5,1)="M","M(여름)",IF(MID($D230,5,1)="X","X(사계절)",MID($D230,5,1)))))</f>
        <v>M(여름)</v>
      </c>
      <c r="H230" s="26" t="s">
        <v>79</v>
      </c>
      <c r="I230" s="25" t="s">
        <v>506</v>
      </c>
      <c r="J230" s="28" t="s">
        <v>626</v>
      </c>
      <c r="K230" s="29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9" t="n">
        <f aca="false">IF($K230="","",IF(AND($K230-기준정보!$C$5&gt;=기준정보!$C$10,$K230-기준정보!$C$5&lt;=기준정보!$C$11),기준정보!$C$10-1,$K230-기준정보!$C$5))</f>
        <v>46440</v>
      </c>
      <c r="M230" s="30" t="n">
        <f aca="false">IF($L230="","",IF(OR(ISNUMBER(SEARCH("중국",$U230)),ISNUMBER(SEARCH("베트남",$U230))),MAX(0,MIN($L230,기준정보!$C$9)-MAX($L230-기준정보!$C$6,기준정보!$C$8)+1),IF(ISNUMBER(SEARCH("한국",$U230)),MAX(0,MIN($L230,기준정보!$C$11)-MAX($L230-기준정보!$C$6,기준정보!$C$10)+1),0)))</f>
        <v>15</v>
      </c>
      <c r="N230" s="29" t="n">
        <f aca="false">IF($L230="","",$L230-기준정보!$C$6-$M230)</f>
        <v>46335</v>
      </c>
      <c r="O230" s="31" t="n">
        <f aca="false">IF($N230="","",$N230-기준정보!$C$4)</f>
        <v>93</v>
      </c>
      <c r="P230" s="28" t="s">
        <v>82</v>
      </c>
      <c r="Q230" s="28" t="s">
        <v>83</v>
      </c>
      <c r="R230" s="32"/>
      <c r="S230" s="27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T230" s="26" t="s">
        <v>89</v>
      </c>
      <c r="U230" s="26" t="s">
        <v>85</v>
      </c>
      <c r="V230" s="33" t="n">
        <v>3000</v>
      </c>
      <c r="W230" s="27"/>
      <c r="X230" s="27" t="str">
        <f aca="false">IF($K230="","출고일 미정",IF($P230="X","작지 미발행",IF($P230="부분","작지 일부 미발행",IF(AND($R230&lt;&gt;"",$R230&gt;$N230),"소재입고 마감("&amp;TEXT($N230,"MM/DD")&amp;") 초과",IF($P230="","발행여부 확인 필요",IF($R230="","소재 입고일정 확인 필요","정상"))))))</f>
        <v>소재 입고일정 확인 필요</v>
      </c>
      <c r="Y230" s="25" t="str">
        <f aca="false">IF($K230="","",IF(OR(LEFT($X230,2)="작지",LEFT($X230,4)="소재입고"),IF(LEFT($G230,1)="S","★ 납기위험(S코드)","◆ 지연주의"),IF($X230="정상","✓ 정상","? 확인필요")))</f>
        <v>? 확인필요</v>
      </c>
      <c r="Z230" s="28"/>
      <c r="AA230" s="34"/>
    </row>
    <row r="231" customFormat="false" ht="15" hidden="false" customHeight="false" outlineLevel="0" collapsed="false">
      <c r="A231" s="25" t="n">
        <v>227</v>
      </c>
      <c r="B231" s="26" t="s">
        <v>267</v>
      </c>
      <c r="C231" s="26" t="s">
        <v>254</v>
      </c>
      <c r="D231" s="27" t="s">
        <v>764</v>
      </c>
      <c r="E231" s="26" t="s">
        <v>765</v>
      </c>
      <c r="F231" s="27" t="s">
        <v>766</v>
      </c>
      <c r="G231" s="25" t="str">
        <f aca="false">IF($D231="","",IF(MID($D231,5,1)="S","S(봄)",IF(MID($D231,5,1)="M","M(여름)",IF(MID($D231,5,1)="X","X(사계절)",MID($D231,5,1)))))</f>
        <v>M(여름)</v>
      </c>
      <c r="H231" s="26" t="s">
        <v>79</v>
      </c>
      <c r="I231" s="25" t="s">
        <v>509</v>
      </c>
      <c r="J231" s="28" t="s">
        <v>626</v>
      </c>
      <c r="K231" s="29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9" t="n">
        <f aca="false">IF($K231="","",IF(AND($K231-기준정보!$C$5&gt;=기준정보!$C$10,$K231-기준정보!$C$5&lt;=기준정보!$C$11),기준정보!$C$10-1,$K231-기준정보!$C$5))</f>
        <v>46440</v>
      </c>
      <c r="M231" s="30" t="n">
        <f aca="false">IF($L231="","",IF(OR(ISNUMBER(SEARCH("중국",$U231)),ISNUMBER(SEARCH("베트남",$U231))),MAX(0,MIN($L231,기준정보!$C$9)-MAX($L231-기준정보!$C$6,기준정보!$C$8)+1),IF(ISNUMBER(SEARCH("한국",$U231)),MAX(0,MIN($L231,기준정보!$C$11)-MAX($L231-기준정보!$C$6,기준정보!$C$10)+1),0)))</f>
        <v>15</v>
      </c>
      <c r="N231" s="29" t="n">
        <f aca="false">IF($L231="","",$L231-기준정보!$C$6-$M231)</f>
        <v>46335</v>
      </c>
      <c r="O231" s="31" t="n">
        <f aca="false">IF($N231="","",$N231-기준정보!$C$4)</f>
        <v>93</v>
      </c>
      <c r="P231" s="28" t="s">
        <v>82</v>
      </c>
      <c r="Q231" s="28" t="s">
        <v>83</v>
      </c>
      <c r="R231" s="32"/>
      <c r="S231" s="27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T231" s="26" t="s">
        <v>266</v>
      </c>
      <c r="U231" s="26" t="s">
        <v>85</v>
      </c>
      <c r="V231" s="33" t="n">
        <v>3500</v>
      </c>
      <c r="W231" s="27"/>
      <c r="X231" s="27" t="str">
        <f aca="false">IF($K231="","출고일 미정",IF($P231="X","작지 미발행",IF($P231="부분","작지 일부 미발행",IF(AND($R231&lt;&gt;"",$R231&gt;$N231),"소재입고 마감("&amp;TEXT($N231,"MM/DD")&amp;") 초과",IF($P231="","발행여부 확인 필요",IF($R231="","소재 입고일정 확인 필요","정상"))))))</f>
        <v>소재 입고일정 확인 필요</v>
      </c>
      <c r="Y231" s="25" t="str">
        <f aca="false">IF($K231="","",IF(OR(LEFT($X231,2)="작지",LEFT($X231,4)="소재입고"),IF(LEFT($G231,1)="S","★ 납기위험(S코드)","◆ 지연주의"),IF($X231="정상","✓ 정상","? 확인필요")))</f>
        <v>? 확인필요</v>
      </c>
      <c r="Z231" s="28"/>
      <c r="AA231" s="34"/>
    </row>
    <row r="232" customFormat="false" ht="15" hidden="false" customHeight="false" outlineLevel="0" collapsed="false">
      <c r="A232" s="25" t="n">
        <v>228</v>
      </c>
      <c r="B232" s="26" t="s">
        <v>253</v>
      </c>
      <c r="C232" s="26" t="s">
        <v>262</v>
      </c>
      <c r="D232" s="27" t="s">
        <v>767</v>
      </c>
      <c r="E232" s="26" t="s">
        <v>768</v>
      </c>
      <c r="F232" s="27" t="s">
        <v>769</v>
      </c>
      <c r="G232" s="25" t="str">
        <f aca="false">IF($D232="","",IF(MID($D232,5,1)="S","S(봄)",IF(MID($D232,5,1)="M","M(여름)",IF(MID($D232,5,1)="X","X(사계절)",MID($D232,5,1)))))</f>
        <v>M(여름)</v>
      </c>
      <c r="H232" s="27" t="s">
        <v>209</v>
      </c>
      <c r="I232" s="25"/>
      <c r="J232" s="28" t="s">
        <v>626</v>
      </c>
      <c r="K232" s="29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9" t="n">
        <f aca="false">IF($K232="","",IF(AND($K232-기준정보!$C$5&gt;=기준정보!$C$10,$K232-기준정보!$C$5&lt;=기준정보!$C$11),기준정보!$C$10-1,$K232-기준정보!$C$5))</f>
        <v>46440</v>
      </c>
      <c r="M232" s="30" t="n">
        <f aca="false">IF($L232="","",IF(OR(ISNUMBER(SEARCH("중국",$U232)),ISNUMBER(SEARCH("베트남",$U232))),MAX(0,MIN($L232,기준정보!$C$9)-MAX($L232-기준정보!$C$6,기준정보!$C$8)+1),IF(ISNUMBER(SEARCH("한국",$U232)),MAX(0,MIN($L232,기준정보!$C$11)-MAX($L232-기준정보!$C$6,기준정보!$C$10)+1),0)))</f>
        <v>15</v>
      </c>
      <c r="N232" s="29" t="n">
        <f aca="false">IF($L232="","",$L232-기준정보!$C$6-$M232)</f>
        <v>46335</v>
      </c>
      <c r="O232" s="31" t="n">
        <f aca="false">IF($N232="","",$N232-기준정보!$C$4)</f>
        <v>93</v>
      </c>
      <c r="P232" s="28" t="s">
        <v>82</v>
      </c>
      <c r="Q232" s="28" t="s">
        <v>83</v>
      </c>
      <c r="R232" s="32"/>
      <c r="S232" s="27" t="str">
        <f aca="false">IF($H232="","",IF(AND(ISNUMBER(SEARCH("CMT",$H232)),OR(ISNUMBER(SEARCH("완사입",$H232)),ISNUMBER(SEARCH("ODM",$H232)))),"본사/생산처 혼재",IF(ISNUMBER(SEARCH("CMT",$H232)),"본사(소재팀)","생산처")))</f>
        <v>본사(소재팀)</v>
      </c>
      <c r="T232" s="26" t="s">
        <v>99</v>
      </c>
      <c r="U232" s="26" t="s">
        <v>85</v>
      </c>
      <c r="V232" s="33" t="n">
        <v>2700</v>
      </c>
      <c r="W232" s="27" t="s">
        <v>626</v>
      </c>
      <c r="X232" s="27" t="str">
        <f aca="false">IF($K232="","출고일 미정",IF($P232="X","작지 미발행",IF($P232="부분","작지 일부 미발행",IF(AND($R232&lt;&gt;"",$R232&gt;$N232),"소재입고 마감("&amp;TEXT($N232,"MM/DD")&amp;") 초과",IF($P232="","발행여부 확인 필요",IF($R232="","소재 입고일정 확인 필요","정상"))))))</f>
        <v>소재 입고일정 확인 필요</v>
      </c>
      <c r="Y232" s="25" t="str">
        <f aca="false">IF($K232="","",IF(OR(LEFT($X232,2)="작지",LEFT($X232,4)="소재입고"),IF(LEFT($G232,1)="S","★ 납기위험(S코드)","◆ 지연주의"),IF($X232="정상","✓ 정상","? 확인필요")))</f>
        <v>? 확인필요</v>
      </c>
      <c r="Z232" s="28"/>
      <c r="AA232" s="34"/>
    </row>
    <row r="233" customFormat="false" ht="15" hidden="false" customHeight="false" outlineLevel="0" collapsed="false">
      <c r="A233" s="25" t="n">
        <v>229</v>
      </c>
      <c r="B233" s="26" t="s">
        <v>253</v>
      </c>
      <c r="C233" s="26" t="s">
        <v>262</v>
      </c>
      <c r="D233" s="27" t="s">
        <v>770</v>
      </c>
      <c r="E233" s="26" t="s">
        <v>771</v>
      </c>
      <c r="F233" s="27" t="s">
        <v>769</v>
      </c>
      <c r="G233" s="25" t="str">
        <f aca="false">IF($D233="","",IF(MID($D233,5,1)="S","S(봄)",IF(MID($D233,5,1)="M","M(여름)",IF(MID($D233,5,1)="X","X(사계절)",MID($D233,5,1)))))</f>
        <v>M(여름)</v>
      </c>
      <c r="H233" s="27" t="s">
        <v>209</v>
      </c>
      <c r="I233" s="25"/>
      <c r="J233" s="28" t="s">
        <v>626</v>
      </c>
      <c r="K233" s="29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9" t="n">
        <f aca="false">IF($K233="","",IF(AND($K233-기준정보!$C$5&gt;=기준정보!$C$10,$K233-기준정보!$C$5&lt;=기준정보!$C$11),기준정보!$C$10-1,$K233-기준정보!$C$5))</f>
        <v>46440</v>
      </c>
      <c r="M233" s="30" t="n">
        <f aca="false">IF($L233="","",IF(OR(ISNUMBER(SEARCH("중국",$U233)),ISNUMBER(SEARCH("베트남",$U233))),MAX(0,MIN($L233,기준정보!$C$9)-MAX($L233-기준정보!$C$6,기준정보!$C$8)+1),IF(ISNUMBER(SEARCH("한국",$U233)),MAX(0,MIN($L233,기준정보!$C$11)-MAX($L233-기준정보!$C$6,기준정보!$C$10)+1),0)))</f>
        <v>15</v>
      </c>
      <c r="N233" s="29" t="n">
        <f aca="false">IF($L233="","",$L233-기준정보!$C$6-$M233)</f>
        <v>46335</v>
      </c>
      <c r="O233" s="31" t="n">
        <f aca="false">IF($N233="","",$N233-기준정보!$C$4)</f>
        <v>93</v>
      </c>
      <c r="P233" s="28" t="s">
        <v>82</v>
      </c>
      <c r="Q233" s="28" t="s">
        <v>83</v>
      </c>
      <c r="R233" s="32"/>
      <c r="S233" s="27" t="str">
        <f aca="false">IF($H233="","",IF(AND(ISNUMBER(SEARCH("CMT",$H233)),OR(ISNUMBER(SEARCH("완사입",$H233)),ISNUMBER(SEARCH("ODM",$H233)))),"본사/생산처 혼재",IF(ISNUMBER(SEARCH("CMT",$H233)),"본사(소재팀)","생산처")))</f>
        <v>본사(소재팀)</v>
      </c>
      <c r="T233" s="26" t="s">
        <v>99</v>
      </c>
      <c r="U233" s="26" t="s">
        <v>85</v>
      </c>
      <c r="V233" s="33" t="n">
        <v>2300</v>
      </c>
      <c r="W233" s="27" t="s">
        <v>626</v>
      </c>
      <c r="X233" s="27" t="str">
        <f aca="false">IF($K233="","출고일 미정",IF($P233="X","작지 미발행",IF($P233="부분","작지 일부 미발행",IF(AND($R233&lt;&gt;"",$R233&gt;$N233),"소재입고 마감("&amp;TEXT($N233,"MM/DD")&amp;") 초과",IF($P233="","발행여부 확인 필요",IF($R233="","소재 입고일정 확인 필요","정상"))))))</f>
        <v>소재 입고일정 확인 필요</v>
      </c>
      <c r="Y233" s="25" t="str">
        <f aca="false">IF($K233="","",IF(OR(LEFT($X233,2)="작지",LEFT($X233,4)="소재입고"),IF(LEFT($G233,1)="S","★ 납기위험(S코드)","◆ 지연주의"),IF($X233="정상","✓ 정상","? 확인필요")))</f>
        <v>? 확인필요</v>
      </c>
      <c r="Z233" s="28"/>
      <c r="AA233" s="34"/>
    </row>
    <row r="234" customFormat="false" ht="15" hidden="false" customHeight="false" outlineLevel="0" collapsed="false">
      <c r="A234" s="25" t="n">
        <v>230</v>
      </c>
      <c r="B234" s="26" t="s">
        <v>124</v>
      </c>
      <c r="C234" s="26" t="s">
        <v>262</v>
      </c>
      <c r="D234" s="27" t="s">
        <v>772</v>
      </c>
      <c r="E234" s="26" t="s">
        <v>773</v>
      </c>
      <c r="F234" s="27" t="s">
        <v>769</v>
      </c>
      <c r="G234" s="25" t="str">
        <f aca="false">IF($D234="","",IF(MID($D234,5,1)="S","S(봄)",IF(MID($D234,5,1)="M","M(여름)",IF(MID($D234,5,1)="X","X(사계절)",MID($D234,5,1)))))</f>
        <v>M(여름)</v>
      </c>
      <c r="H234" s="26" t="s">
        <v>79</v>
      </c>
      <c r="I234" s="25"/>
      <c r="J234" s="28" t="s">
        <v>626</v>
      </c>
      <c r="K234" s="29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9" t="n">
        <f aca="false">IF($K234="","",IF(AND($K234-기준정보!$C$5&gt;=기준정보!$C$10,$K234-기준정보!$C$5&lt;=기준정보!$C$11),기준정보!$C$10-1,$K234-기준정보!$C$5))</f>
        <v>46440</v>
      </c>
      <c r="M234" s="30" t="n">
        <f aca="false">IF($L234="","",IF(OR(ISNUMBER(SEARCH("중국",$U234)),ISNUMBER(SEARCH("베트남",$U234))),MAX(0,MIN($L234,기준정보!$C$9)-MAX($L234-기준정보!$C$6,기준정보!$C$8)+1),IF(ISNUMBER(SEARCH("한국",$U234)),MAX(0,MIN($L234,기준정보!$C$11)-MAX($L234-기준정보!$C$6,기준정보!$C$10)+1),0)))</f>
        <v>15</v>
      </c>
      <c r="N234" s="29" t="n">
        <f aca="false">IF($L234="","",$L234-기준정보!$C$6-$M234)</f>
        <v>46335</v>
      </c>
      <c r="O234" s="31" t="n">
        <f aca="false">IF($N234="","",$N234-기준정보!$C$4)</f>
        <v>93</v>
      </c>
      <c r="P234" s="28" t="s">
        <v>82</v>
      </c>
      <c r="Q234" s="28" t="s">
        <v>83</v>
      </c>
      <c r="R234" s="32"/>
      <c r="S234" s="27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T234" s="26" t="s">
        <v>239</v>
      </c>
      <c r="U234" s="26" t="s">
        <v>85</v>
      </c>
      <c r="V234" s="33" t="n">
        <v>3500</v>
      </c>
      <c r="W234" s="27" t="s">
        <v>626</v>
      </c>
      <c r="X234" s="27" t="str">
        <f aca="false">IF($K234="","출고일 미정",IF($P234="X","작지 미발행",IF($P234="부분","작지 일부 미발행",IF(AND($R234&lt;&gt;"",$R234&gt;$N234),"소재입고 마감("&amp;TEXT($N234,"MM/DD")&amp;") 초과",IF($P234="","발행여부 확인 필요",IF($R234="","소재 입고일정 확인 필요","정상"))))))</f>
        <v>소재 입고일정 확인 필요</v>
      </c>
      <c r="Y234" s="25" t="str">
        <f aca="false">IF($K234="","",IF(OR(LEFT($X234,2)="작지",LEFT($X234,4)="소재입고"),IF(LEFT($G234,1)="S","★ 납기위험(S코드)","◆ 지연주의"),IF($X234="정상","✓ 정상","? 확인필요")))</f>
        <v>? 확인필요</v>
      </c>
      <c r="Z234" s="28"/>
      <c r="AA234" s="34"/>
    </row>
    <row r="235" customFormat="false" ht="15" hidden="false" customHeight="false" outlineLevel="0" collapsed="false">
      <c r="A235" s="25" t="n">
        <v>231</v>
      </c>
      <c r="B235" s="26" t="s">
        <v>124</v>
      </c>
      <c r="C235" s="26" t="s">
        <v>262</v>
      </c>
      <c r="D235" s="27" t="s">
        <v>774</v>
      </c>
      <c r="E235" s="26" t="s">
        <v>775</v>
      </c>
      <c r="F235" s="27" t="s">
        <v>776</v>
      </c>
      <c r="G235" s="25" t="str">
        <f aca="false">IF($D235="","",IF(MID($D235,5,1)="S","S(봄)",IF(MID($D235,5,1)="M","M(여름)",IF(MID($D235,5,1)="X","X(사계절)",MID($D235,5,1)))))</f>
        <v>M(여름)</v>
      </c>
      <c r="H235" s="26" t="s">
        <v>79</v>
      </c>
      <c r="I235" s="25"/>
      <c r="J235" s="28" t="s">
        <v>626</v>
      </c>
      <c r="K235" s="29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9" t="n">
        <f aca="false">IF($K235="","",IF(AND($K235-기준정보!$C$5&gt;=기준정보!$C$10,$K235-기준정보!$C$5&lt;=기준정보!$C$11),기준정보!$C$10-1,$K235-기준정보!$C$5))</f>
        <v>46440</v>
      </c>
      <c r="M235" s="30" t="n">
        <f aca="false">IF($L235="","",IF(OR(ISNUMBER(SEARCH("중국",$U235)),ISNUMBER(SEARCH("베트남",$U235))),MAX(0,MIN($L235,기준정보!$C$9)-MAX($L235-기준정보!$C$6,기준정보!$C$8)+1),IF(ISNUMBER(SEARCH("한국",$U235)),MAX(0,MIN($L235,기준정보!$C$11)-MAX($L235-기준정보!$C$6,기준정보!$C$10)+1),0)))</f>
        <v>15</v>
      </c>
      <c r="N235" s="29" t="n">
        <f aca="false">IF($L235="","",$L235-기준정보!$C$6-$M235)</f>
        <v>46335</v>
      </c>
      <c r="O235" s="31" t="n">
        <f aca="false">IF($N235="","",$N235-기준정보!$C$4)</f>
        <v>93</v>
      </c>
      <c r="P235" s="28" t="s">
        <v>82</v>
      </c>
      <c r="Q235" s="28" t="s">
        <v>83</v>
      </c>
      <c r="R235" s="32"/>
      <c r="S235" s="27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T235" s="26" t="s">
        <v>239</v>
      </c>
      <c r="U235" s="26" t="s">
        <v>85</v>
      </c>
      <c r="V235" s="33" t="n">
        <v>3000</v>
      </c>
      <c r="W235" s="27" t="s">
        <v>626</v>
      </c>
      <c r="X235" s="27" t="str">
        <f aca="false">IF($K235="","출고일 미정",IF($P235="X","작지 미발행",IF($P235="부분","작지 일부 미발행",IF(AND($R235&lt;&gt;"",$R235&gt;$N235),"소재입고 마감("&amp;TEXT($N235,"MM/DD")&amp;") 초과",IF($P235="","발행여부 확인 필요",IF($R235="","소재 입고일정 확인 필요","정상"))))))</f>
        <v>소재 입고일정 확인 필요</v>
      </c>
      <c r="Y235" s="25" t="str">
        <f aca="false">IF($K235="","",IF(OR(LEFT($X235,2)="작지",LEFT($X235,4)="소재입고"),IF(LEFT($G235,1)="S","★ 납기위험(S코드)","◆ 지연주의"),IF($X235="정상","✓ 정상","? 확인필요")))</f>
        <v>? 확인필요</v>
      </c>
      <c r="Z235" s="28"/>
      <c r="AA235" s="34"/>
    </row>
    <row r="236" customFormat="false" ht="15" hidden="false" customHeight="false" outlineLevel="0" collapsed="false">
      <c r="A236" s="25" t="n">
        <v>232</v>
      </c>
      <c r="B236" s="26" t="s">
        <v>124</v>
      </c>
      <c r="C236" s="26" t="s">
        <v>262</v>
      </c>
      <c r="D236" s="27" t="s">
        <v>777</v>
      </c>
      <c r="E236" s="26" t="s">
        <v>778</v>
      </c>
      <c r="F236" s="27" t="s">
        <v>779</v>
      </c>
      <c r="G236" s="25" t="str">
        <f aca="false">IF($D236="","",IF(MID($D236,5,1)="S","S(봄)",IF(MID($D236,5,1)="M","M(여름)",IF(MID($D236,5,1)="X","X(사계절)",MID($D236,5,1)))))</f>
        <v>M(여름)</v>
      </c>
      <c r="H236" s="26" t="s">
        <v>79</v>
      </c>
      <c r="I236" s="25"/>
      <c r="J236" s="28" t="s">
        <v>626</v>
      </c>
      <c r="K236" s="29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9" t="n">
        <f aca="false">IF($K236="","",IF(AND($K236-기준정보!$C$5&gt;=기준정보!$C$10,$K236-기준정보!$C$5&lt;=기준정보!$C$11),기준정보!$C$10-1,$K236-기준정보!$C$5))</f>
        <v>46440</v>
      </c>
      <c r="M236" s="30" t="n">
        <f aca="false">IF($L236="","",IF(OR(ISNUMBER(SEARCH("중국",$U236)),ISNUMBER(SEARCH("베트남",$U236))),MAX(0,MIN($L236,기준정보!$C$9)-MAX($L236-기준정보!$C$6,기준정보!$C$8)+1),IF(ISNUMBER(SEARCH("한국",$U236)),MAX(0,MIN($L236,기준정보!$C$11)-MAX($L236-기준정보!$C$6,기준정보!$C$10)+1),0)))</f>
        <v>15</v>
      </c>
      <c r="N236" s="29" t="n">
        <f aca="false">IF($L236="","",$L236-기준정보!$C$6-$M236)</f>
        <v>46335</v>
      </c>
      <c r="O236" s="31" t="n">
        <f aca="false">IF($N236="","",$N236-기준정보!$C$4)</f>
        <v>93</v>
      </c>
      <c r="P236" s="28" t="s">
        <v>82</v>
      </c>
      <c r="Q236" s="28" t="s">
        <v>83</v>
      </c>
      <c r="R236" s="32"/>
      <c r="S236" s="27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T236" s="26" t="s">
        <v>513</v>
      </c>
      <c r="U236" s="26" t="s">
        <v>85</v>
      </c>
      <c r="V236" s="33" t="n">
        <v>3000</v>
      </c>
      <c r="W236" s="27"/>
      <c r="X236" s="27" t="str">
        <f aca="false">IF($K236="","출고일 미정",IF($P236="X","작지 미발행",IF($P236="부분","작지 일부 미발행",IF(AND($R236&lt;&gt;"",$R236&gt;$N236),"소재입고 마감("&amp;TEXT($N236,"MM/DD")&amp;") 초과",IF($P236="","발행여부 확인 필요",IF($R236="","소재 입고일정 확인 필요","정상"))))))</f>
        <v>소재 입고일정 확인 필요</v>
      </c>
      <c r="Y236" s="25" t="str">
        <f aca="false">IF($K236="","",IF(OR(LEFT($X236,2)="작지",LEFT($X236,4)="소재입고"),IF(LEFT($G236,1)="S","★ 납기위험(S코드)","◆ 지연주의"),IF($X236="정상","✓ 정상","? 확인필요")))</f>
        <v>? 확인필요</v>
      </c>
      <c r="Z236" s="28"/>
      <c r="AA236" s="34"/>
    </row>
    <row r="237" customFormat="false" ht="15" hidden="false" customHeight="false" outlineLevel="0" collapsed="false">
      <c r="A237" s="25" t="n">
        <v>233</v>
      </c>
      <c r="B237" s="26" t="s">
        <v>124</v>
      </c>
      <c r="C237" s="26" t="s">
        <v>125</v>
      </c>
      <c r="D237" s="27" t="s">
        <v>780</v>
      </c>
      <c r="E237" s="26" t="s">
        <v>781</v>
      </c>
      <c r="F237" s="27" t="s">
        <v>782</v>
      </c>
      <c r="G237" s="25" t="str">
        <f aca="false">IF($D237="","",IF(MID($D237,5,1)="S","S(봄)",IF(MID($D237,5,1)="M","M(여름)",IF(MID($D237,5,1)="X","X(사계절)",MID($D237,5,1)))))</f>
        <v>M(여름)</v>
      </c>
      <c r="H237" s="26" t="s">
        <v>79</v>
      </c>
      <c r="I237" s="25"/>
      <c r="J237" s="28" t="s">
        <v>626</v>
      </c>
      <c r="K237" s="29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9" t="n">
        <f aca="false">IF($K237="","",IF(AND($K237-기준정보!$C$5&gt;=기준정보!$C$10,$K237-기준정보!$C$5&lt;=기준정보!$C$11),기준정보!$C$10-1,$K237-기준정보!$C$5))</f>
        <v>46440</v>
      </c>
      <c r="M237" s="30" t="n">
        <f aca="false">IF($L237="","",IF(OR(ISNUMBER(SEARCH("중국",$U237)),ISNUMBER(SEARCH("베트남",$U237))),MAX(0,MIN($L237,기준정보!$C$9)-MAX($L237-기준정보!$C$6,기준정보!$C$8)+1),IF(ISNUMBER(SEARCH("한국",$U237)),MAX(0,MIN($L237,기준정보!$C$11)-MAX($L237-기준정보!$C$6,기준정보!$C$10)+1),0)))</f>
        <v>15</v>
      </c>
      <c r="N237" s="29" t="n">
        <f aca="false">IF($L237="","",$L237-기준정보!$C$6-$M237)</f>
        <v>46335</v>
      </c>
      <c r="O237" s="31" t="n">
        <f aca="false">IF($N237="","",$N237-기준정보!$C$4)</f>
        <v>93</v>
      </c>
      <c r="P237" s="28" t="s">
        <v>82</v>
      </c>
      <c r="Q237" s="28" t="s">
        <v>83</v>
      </c>
      <c r="R237" s="32"/>
      <c r="S237" s="27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T237" s="26" t="s">
        <v>311</v>
      </c>
      <c r="U237" s="26" t="s">
        <v>85</v>
      </c>
      <c r="V237" s="33" t="n">
        <v>5500</v>
      </c>
      <c r="W237" s="27" t="s">
        <v>626</v>
      </c>
      <c r="X237" s="27" t="str">
        <f aca="false">IF($K237="","출고일 미정",IF($P237="X","작지 미발행",IF($P237="부분","작지 일부 미발행",IF(AND($R237&lt;&gt;"",$R237&gt;$N237),"소재입고 마감("&amp;TEXT($N237,"MM/DD")&amp;") 초과",IF($P237="","발행여부 확인 필요",IF($R237="","소재 입고일정 확인 필요","정상"))))))</f>
        <v>소재 입고일정 확인 필요</v>
      </c>
      <c r="Y237" s="25" t="str">
        <f aca="false">IF($K237="","",IF(OR(LEFT($X237,2)="작지",LEFT($X237,4)="소재입고"),IF(LEFT($G237,1)="S","★ 납기위험(S코드)","◆ 지연주의"),IF($X237="정상","✓ 정상","? 확인필요")))</f>
        <v>? 확인필요</v>
      </c>
      <c r="Z237" s="28"/>
      <c r="AA237" s="34"/>
    </row>
    <row r="238" customFormat="false" ht="15" hidden="false" customHeight="false" outlineLevel="0" collapsed="false">
      <c r="A238" s="25" t="n">
        <v>234</v>
      </c>
      <c r="B238" s="26" t="s">
        <v>124</v>
      </c>
      <c r="C238" s="26" t="s">
        <v>125</v>
      </c>
      <c r="D238" s="27" t="s">
        <v>783</v>
      </c>
      <c r="E238" s="26" t="s">
        <v>784</v>
      </c>
      <c r="F238" s="27" t="s">
        <v>785</v>
      </c>
      <c r="G238" s="25" t="str">
        <f aca="false">IF($D238="","",IF(MID($D238,5,1)="S","S(봄)",IF(MID($D238,5,1)="M","M(여름)",IF(MID($D238,5,1)="X","X(사계절)",MID($D238,5,1)))))</f>
        <v>M(여름)</v>
      </c>
      <c r="H238" s="26" t="s">
        <v>79</v>
      </c>
      <c r="I238" s="25"/>
      <c r="J238" s="28" t="s">
        <v>626</v>
      </c>
      <c r="K238" s="29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9" t="n">
        <f aca="false">IF($K238="","",IF(AND($K238-기준정보!$C$5&gt;=기준정보!$C$10,$K238-기준정보!$C$5&lt;=기준정보!$C$11),기준정보!$C$10-1,$K238-기준정보!$C$5))</f>
        <v>46440</v>
      </c>
      <c r="M238" s="30" t="n">
        <f aca="false">IF($L238="","",IF(OR(ISNUMBER(SEARCH("중국",$U238)),ISNUMBER(SEARCH("베트남",$U238))),MAX(0,MIN($L238,기준정보!$C$9)-MAX($L238-기준정보!$C$6,기준정보!$C$8)+1),IF(ISNUMBER(SEARCH("한국",$U238)),MAX(0,MIN($L238,기준정보!$C$11)-MAX($L238-기준정보!$C$6,기준정보!$C$10)+1),0)))</f>
        <v>15</v>
      </c>
      <c r="N238" s="29" t="n">
        <f aca="false">IF($L238="","",$L238-기준정보!$C$6-$M238)</f>
        <v>46335</v>
      </c>
      <c r="O238" s="31" t="n">
        <f aca="false">IF($N238="","",$N238-기준정보!$C$4)</f>
        <v>93</v>
      </c>
      <c r="P238" s="28" t="s">
        <v>82</v>
      </c>
      <c r="Q238" s="28" t="s">
        <v>83</v>
      </c>
      <c r="R238" s="32"/>
      <c r="S238" s="27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T238" s="26" t="s">
        <v>106</v>
      </c>
      <c r="U238" s="26" t="s">
        <v>85</v>
      </c>
      <c r="V238" s="33" t="n">
        <v>5000</v>
      </c>
      <c r="W238" s="27" t="s">
        <v>626</v>
      </c>
      <c r="X238" s="27" t="str">
        <f aca="false">IF($K238="","출고일 미정",IF($P238="X","작지 미발행",IF($P238="부분","작지 일부 미발행",IF(AND($R238&lt;&gt;"",$R238&gt;$N238),"소재입고 마감("&amp;TEXT($N238,"MM/DD")&amp;") 초과",IF($P238="","발행여부 확인 필요",IF($R238="","소재 입고일정 확인 필요","정상"))))))</f>
        <v>소재 입고일정 확인 필요</v>
      </c>
      <c r="Y238" s="25" t="str">
        <f aca="false">IF($K238="","",IF(OR(LEFT($X238,2)="작지",LEFT($X238,4)="소재입고"),IF(LEFT($G238,1)="S","★ 납기위험(S코드)","◆ 지연주의"),IF($X238="정상","✓ 정상","? 확인필요")))</f>
        <v>? 확인필요</v>
      </c>
      <c r="Z238" s="28"/>
      <c r="AA238" s="34"/>
    </row>
    <row r="239" customFormat="false" ht="15" hidden="false" customHeight="false" outlineLevel="0" collapsed="false">
      <c r="A239" s="25" t="n">
        <v>235</v>
      </c>
      <c r="B239" s="26" t="s">
        <v>124</v>
      </c>
      <c r="C239" s="26" t="s">
        <v>125</v>
      </c>
      <c r="D239" s="27" t="s">
        <v>786</v>
      </c>
      <c r="E239" s="26" t="s">
        <v>787</v>
      </c>
      <c r="F239" s="27" t="s">
        <v>556</v>
      </c>
      <c r="G239" s="25" t="str">
        <f aca="false">IF($D239="","",IF(MID($D239,5,1)="S","S(봄)",IF(MID($D239,5,1)="M","M(여름)",IF(MID($D239,5,1)="X","X(사계절)",MID($D239,5,1)))))</f>
        <v>M(여름)</v>
      </c>
      <c r="H239" s="26" t="s">
        <v>79</v>
      </c>
      <c r="I239" s="25"/>
      <c r="J239" s="28" t="s">
        <v>626</v>
      </c>
      <c r="K239" s="29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9" t="n">
        <f aca="false">IF($K239="","",IF(AND($K239-기준정보!$C$5&gt;=기준정보!$C$10,$K239-기준정보!$C$5&lt;=기준정보!$C$11),기준정보!$C$10-1,$K239-기준정보!$C$5))</f>
        <v>46440</v>
      </c>
      <c r="M239" s="30" t="n">
        <f aca="false">IF($L239="","",IF(OR(ISNUMBER(SEARCH("중국",$U239)),ISNUMBER(SEARCH("베트남",$U239))),MAX(0,MIN($L239,기준정보!$C$9)-MAX($L239-기준정보!$C$6,기준정보!$C$8)+1),IF(ISNUMBER(SEARCH("한국",$U239)),MAX(0,MIN($L239,기준정보!$C$11)-MAX($L239-기준정보!$C$6,기준정보!$C$10)+1),0)))</f>
        <v>15</v>
      </c>
      <c r="N239" s="29" t="n">
        <f aca="false">IF($L239="","",$L239-기준정보!$C$6-$M239)</f>
        <v>46335</v>
      </c>
      <c r="O239" s="31" t="n">
        <f aca="false">IF($N239="","",$N239-기준정보!$C$4)</f>
        <v>93</v>
      </c>
      <c r="P239" s="28" t="s">
        <v>82</v>
      </c>
      <c r="Q239" s="28" t="s">
        <v>83</v>
      </c>
      <c r="R239" s="32"/>
      <c r="S239" s="27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T239" s="26" t="s">
        <v>106</v>
      </c>
      <c r="U239" s="26" t="s">
        <v>85</v>
      </c>
      <c r="V239" s="33" t="n">
        <v>4000</v>
      </c>
      <c r="W239" s="27" t="s">
        <v>626</v>
      </c>
      <c r="X239" s="27" t="str">
        <f aca="false">IF($K239="","출고일 미정",IF($P239="X","작지 미발행",IF($P239="부분","작지 일부 미발행",IF(AND($R239&lt;&gt;"",$R239&gt;$N239),"소재입고 마감("&amp;TEXT($N239,"MM/DD")&amp;") 초과",IF($P239="","발행여부 확인 필요",IF($R239="","소재 입고일정 확인 필요","정상"))))))</f>
        <v>소재 입고일정 확인 필요</v>
      </c>
      <c r="Y239" s="25" t="str">
        <f aca="false">IF($K239="","",IF(OR(LEFT($X239,2)="작지",LEFT($X239,4)="소재입고"),IF(LEFT($G239,1)="S","★ 납기위험(S코드)","◆ 지연주의"),IF($X239="정상","✓ 정상","? 확인필요")))</f>
        <v>? 확인필요</v>
      </c>
      <c r="Z239" s="28"/>
      <c r="AA239" s="34"/>
    </row>
    <row r="240" customFormat="false" ht="15" hidden="false" customHeight="false" outlineLevel="0" collapsed="false">
      <c r="A240" s="25" t="n">
        <v>236</v>
      </c>
      <c r="B240" s="26" t="s">
        <v>74</v>
      </c>
      <c r="C240" s="27" t="s">
        <v>732</v>
      </c>
      <c r="D240" s="27" t="s">
        <v>788</v>
      </c>
      <c r="E240" s="26" t="s">
        <v>789</v>
      </c>
      <c r="F240" s="27" t="s">
        <v>735</v>
      </c>
      <c r="G240" s="25" t="str">
        <f aca="false">IF($D240="","",IF(MID($D240,5,1)="S","S(봄)",IF(MID($D240,5,1)="M","M(여름)",IF(MID($D240,5,1)="X","X(사계절)",MID($D240,5,1)))))</f>
        <v>M(여름)</v>
      </c>
      <c r="H240" s="26" t="s">
        <v>79</v>
      </c>
      <c r="I240" s="25"/>
      <c r="J240" s="28" t="s">
        <v>626</v>
      </c>
      <c r="K240" s="29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9" t="n">
        <f aca="false">IF($K240="","",IF(AND($K240-기준정보!$C$5&gt;=기준정보!$C$10,$K240-기준정보!$C$5&lt;=기준정보!$C$11),기준정보!$C$10-1,$K240-기준정보!$C$5))</f>
        <v>46440</v>
      </c>
      <c r="M240" s="30" t="n">
        <f aca="false">IF($L240="","",IF(OR(ISNUMBER(SEARCH("중국",$U240)),ISNUMBER(SEARCH("베트남",$U240))),MAX(0,MIN($L240,기준정보!$C$9)-MAX($L240-기준정보!$C$6,기준정보!$C$8)+1),IF(ISNUMBER(SEARCH("한국",$U240)),MAX(0,MIN($L240,기준정보!$C$11)-MAX($L240-기준정보!$C$6,기준정보!$C$10)+1),0)))</f>
        <v>0</v>
      </c>
      <c r="N240" s="29" t="n">
        <f aca="false">IF($L240="","",$L240-기준정보!$C$6-$M240)</f>
        <v>46350</v>
      </c>
      <c r="O240" s="31" t="n">
        <f aca="false">IF($N240="","",$N240-기준정보!$C$4)</f>
        <v>108</v>
      </c>
      <c r="P240" s="28" t="s">
        <v>82</v>
      </c>
      <c r="Q240" s="28"/>
      <c r="R240" s="32"/>
      <c r="S240" s="27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T240" s="27"/>
      <c r="U240" s="27"/>
      <c r="V240" s="33" t="n">
        <v>1500</v>
      </c>
      <c r="W240" s="27"/>
      <c r="X240" s="27" t="str">
        <f aca="false">IF($K240="","출고일 미정",IF($P240="X","작지 미발행",IF($P240="부분","작지 일부 미발행",IF(AND($R240&lt;&gt;"",$R240&gt;$N240),"소재입고 마감("&amp;TEXT($N240,"MM/DD")&amp;") 초과",IF($P240="","발행여부 확인 필요",IF($R240="","소재 입고일정 확인 필요","정상"))))))</f>
        <v>소재 입고일정 확인 필요</v>
      </c>
      <c r="Y240" s="25" t="str">
        <f aca="false">IF($K240="","",IF(OR(LEFT($X240,2)="작지",LEFT($X240,4)="소재입고"),IF(LEFT($G240,1)="S","★ 납기위험(S코드)","◆ 지연주의"),IF($X240="정상","✓ 정상","? 확인필요")))</f>
        <v>? 확인필요</v>
      </c>
      <c r="Z240" s="28"/>
      <c r="AA240" s="34"/>
    </row>
    <row r="241" customFormat="false" ht="15" hidden="false" customHeight="false" outlineLevel="0" collapsed="false">
      <c r="A241" s="25" t="n">
        <v>237</v>
      </c>
      <c r="B241" s="26" t="s">
        <v>74</v>
      </c>
      <c r="C241" s="27" t="s">
        <v>732</v>
      </c>
      <c r="D241" s="27" t="s">
        <v>790</v>
      </c>
      <c r="E241" s="26" t="s">
        <v>791</v>
      </c>
      <c r="F241" s="27" t="s">
        <v>735</v>
      </c>
      <c r="G241" s="25" t="str">
        <f aca="false">IF($D241="","",IF(MID($D241,5,1)="S","S(봄)",IF(MID($D241,5,1)="M","M(여름)",IF(MID($D241,5,1)="X","X(사계절)",MID($D241,5,1)))))</f>
        <v>M(여름)</v>
      </c>
      <c r="H241" s="26" t="s">
        <v>79</v>
      </c>
      <c r="I241" s="25"/>
      <c r="J241" s="28" t="s">
        <v>626</v>
      </c>
      <c r="K241" s="29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9" t="n">
        <f aca="false">IF($K241="","",IF(AND($K241-기준정보!$C$5&gt;=기준정보!$C$10,$K241-기준정보!$C$5&lt;=기준정보!$C$11),기준정보!$C$10-1,$K241-기준정보!$C$5))</f>
        <v>46440</v>
      </c>
      <c r="M241" s="30" t="n">
        <f aca="false">IF($L241="","",IF(OR(ISNUMBER(SEARCH("중국",$U241)),ISNUMBER(SEARCH("베트남",$U241))),MAX(0,MIN($L241,기준정보!$C$9)-MAX($L241-기준정보!$C$6,기준정보!$C$8)+1),IF(ISNUMBER(SEARCH("한국",$U241)),MAX(0,MIN($L241,기준정보!$C$11)-MAX($L241-기준정보!$C$6,기준정보!$C$10)+1),0)))</f>
        <v>0</v>
      </c>
      <c r="N241" s="29" t="n">
        <f aca="false">IF($L241="","",$L241-기준정보!$C$6-$M241)</f>
        <v>46350</v>
      </c>
      <c r="O241" s="31" t="n">
        <f aca="false">IF($N241="","",$N241-기준정보!$C$4)</f>
        <v>108</v>
      </c>
      <c r="P241" s="28" t="s">
        <v>82</v>
      </c>
      <c r="Q241" s="28"/>
      <c r="R241" s="32"/>
      <c r="S241" s="27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T241" s="27"/>
      <c r="U241" s="27"/>
      <c r="V241" s="33" t="n">
        <v>2000</v>
      </c>
      <c r="W241" s="27"/>
      <c r="X241" s="27" t="str">
        <f aca="false">IF($K241="","출고일 미정",IF($P241="X","작지 미발행",IF($P241="부분","작지 일부 미발행",IF(AND($R241&lt;&gt;"",$R241&gt;$N241),"소재입고 마감("&amp;TEXT($N241,"MM/DD")&amp;") 초과",IF($P241="","발행여부 확인 필요",IF($R241="","소재 입고일정 확인 필요","정상"))))))</f>
        <v>소재 입고일정 확인 필요</v>
      </c>
      <c r="Y241" s="25" t="str">
        <f aca="false">IF($K241="","",IF(OR(LEFT($X241,2)="작지",LEFT($X241,4)="소재입고"),IF(LEFT($G241,1)="S","★ 납기위험(S코드)","◆ 지연주의"),IF($X241="정상","✓ 정상","? 확인필요")))</f>
        <v>? 확인필요</v>
      </c>
      <c r="Z241" s="28"/>
      <c r="AA241" s="34"/>
    </row>
    <row r="242" customFormat="false" ht="15" hidden="false" customHeight="false" outlineLevel="0" collapsed="false">
      <c r="A242" s="25" t="n">
        <v>238</v>
      </c>
      <c r="B242" s="26" t="s">
        <v>267</v>
      </c>
      <c r="C242" s="26" t="s">
        <v>268</v>
      </c>
      <c r="D242" s="27" t="s">
        <v>792</v>
      </c>
      <c r="E242" s="26" t="s">
        <v>793</v>
      </c>
      <c r="F242" s="27" t="s">
        <v>794</v>
      </c>
      <c r="G242" s="25" t="str">
        <f aca="false">IF($D242="","",IF(MID($D242,5,1)="S","S(봄)",IF(MID($D242,5,1)="M","M(여름)",IF(MID($D242,5,1)="X","X(사계절)",MID($D242,5,1)))))</f>
        <v>M(여름)</v>
      </c>
      <c r="H242" s="26" t="s">
        <v>79</v>
      </c>
      <c r="I242" s="25" t="s">
        <v>509</v>
      </c>
      <c r="J242" s="28" t="s">
        <v>626</v>
      </c>
      <c r="K242" s="29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9" t="n">
        <f aca="false">IF($K242="","",IF(AND($K242-기준정보!$C$5&gt;=기준정보!$C$10,$K242-기준정보!$C$5&lt;=기준정보!$C$11),기준정보!$C$10-1,$K242-기준정보!$C$5))</f>
        <v>46440</v>
      </c>
      <c r="M242" s="30" t="n">
        <f aca="false">IF($L242="","",IF(OR(ISNUMBER(SEARCH("중국",$U242)),ISNUMBER(SEARCH("베트남",$U242))),MAX(0,MIN($L242,기준정보!$C$9)-MAX($L242-기준정보!$C$6,기준정보!$C$8)+1),IF(ISNUMBER(SEARCH("한국",$U242)),MAX(0,MIN($L242,기준정보!$C$11)-MAX($L242-기준정보!$C$6,기준정보!$C$10)+1),0)))</f>
        <v>15</v>
      </c>
      <c r="N242" s="29" t="n">
        <f aca="false">IF($L242="","",$L242-기준정보!$C$6-$M242)</f>
        <v>46335</v>
      </c>
      <c r="O242" s="31" t="n">
        <f aca="false">IF($N242="","",$N242-기준정보!$C$4)</f>
        <v>93</v>
      </c>
      <c r="P242" s="28" t="s">
        <v>82</v>
      </c>
      <c r="Q242" s="28" t="s">
        <v>83</v>
      </c>
      <c r="R242" s="32"/>
      <c r="S242" s="27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T242" s="26" t="s">
        <v>266</v>
      </c>
      <c r="U242" s="26" t="s">
        <v>85</v>
      </c>
      <c r="V242" s="33" t="n">
        <v>2500</v>
      </c>
      <c r="W242" s="27"/>
      <c r="X242" s="27" t="str">
        <f aca="false">IF($K242="","출고일 미정",IF($P242="X","작지 미발행",IF($P242="부분","작지 일부 미발행",IF(AND($R242&lt;&gt;"",$R242&gt;$N242),"소재입고 마감("&amp;TEXT($N242,"MM/DD")&amp;") 초과",IF($P242="","발행여부 확인 필요",IF($R242="","소재 입고일정 확인 필요","정상"))))))</f>
        <v>소재 입고일정 확인 필요</v>
      </c>
      <c r="Y242" s="25" t="str">
        <f aca="false">IF($K242="","",IF(OR(LEFT($X242,2)="작지",LEFT($X242,4)="소재입고"),IF(LEFT($G242,1)="S","★ 납기위험(S코드)","◆ 지연주의"),IF($X242="정상","✓ 정상","? 확인필요")))</f>
        <v>? 확인필요</v>
      </c>
      <c r="Z242" s="28"/>
      <c r="AA242" s="34"/>
    </row>
    <row r="243" customFormat="false" ht="15" hidden="false" customHeight="false" outlineLevel="0" collapsed="false">
      <c r="A243" s="25" t="n">
        <v>239</v>
      </c>
      <c r="B243" s="26" t="s">
        <v>267</v>
      </c>
      <c r="C243" s="26" t="s">
        <v>268</v>
      </c>
      <c r="D243" s="27" t="s">
        <v>795</v>
      </c>
      <c r="E243" s="26" t="s">
        <v>796</v>
      </c>
      <c r="F243" s="27" t="s">
        <v>797</v>
      </c>
      <c r="G243" s="25" t="str">
        <f aca="false">IF($D243="","",IF(MID($D243,5,1)="S","S(봄)",IF(MID($D243,5,1)="M","M(여름)",IF(MID($D243,5,1)="X","X(사계절)",MID($D243,5,1)))))</f>
        <v>M(여름)</v>
      </c>
      <c r="H243" s="26" t="s">
        <v>79</v>
      </c>
      <c r="I243" s="25" t="s">
        <v>509</v>
      </c>
      <c r="J243" s="28" t="s">
        <v>626</v>
      </c>
      <c r="K243" s="29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9" t="n">
        <f aca="false">IF($K243="","",IF(AND($K243-기준정보!$C$5&gt;=기준정보!$C$10,$K243-기준정보!$C$5&lt;=기준정보!$C$11),기준정보!$C$10-1,$K243-기준정보!$C$5))</f>
        <v>46440</v>
      </c>
      <c r="M243" s="30" t="n">
        <f aca="false">IF($L243="","",IF(OR(ISNUMBER(SEARCH("중국",$U243)),ISNUMBER(SEARCH("베트남",$U243))),MAX(0,MIN($L243,기준정보!$C$9)-MAX($L243-기준정보!$C$6,기준정보!$C$8)+1),IF(ISNUMBER(SEARCH("한국",$U243)),MAX(0,MIN($L243,기준정보!$C$11)-MAX($L243-기준정보!$C$6,기준정보!$C$10)+1),0)))</f>
        <v>15</v>
      </c>
      <c r="N243" s="29" t="n">
        <f aca="false">IF($L243="","",$L243-기준정보!$C$6-$M243)</f>
        <v>46335</v>
      </c>
      <c r="O243" s="31" t="n">
        <f aca="false">IF($N243="","",$N243-기준정보!$C$4)</f>
        <v>93</v>
      </c>
      <c r="P243" s="28" t="s">
        <v>82</v>
      </c>
      <c r="Q243" s="28" t="s">
        <v>83</v>
      </c>
      <c r="R243" s="32"/>
      <c r="S243" s="27" t="str">
        <f aca="false">IF($H243="","",IF(AND(ISNUMBER(SEARCH("CMT",$H243)),OR(ISNUMBER(SEARCH("완사입",$H243)),ISNUMBER(SEARCH("ODM",$H243)))),"본사/생산처 혼재",IF(ISNUMBER(SEARCH("CMT",$H243)),"본사(소재팀)","생산처")))</f>
        <v>생산처</v>
      </c>
      <c r="T243" s="26" t="s">
        <v>266</v>
      </c>
      <c r="U243" s="26" t="s">
        <v>85</v>
      </c>
      <c r="V243" s="33" t="n">
        <v>5500</v>
      </c>
      <c r="W243" s="27"/>
      <c r="X243" s="27" t="str">
        <f aca="false">IF($K243="","출고일 미정",IF($P243="X","작지 미발행",IF($P243="부분","작지 일부 미발행",IF(AND($R243&lt;&gt;"",$R243&gt;$N243),"소재입고 마감("&amp;TEXT($N243,"MM/DD")&amp;") 초과",IF($P243="","발행여부 확인 필요",IF($R243="","소재 입고일정 확인 필요","정상"))))))</f>
        <v>소재 입고일정 확인 필요</v>
      </c>
      <c r="Y243" s="25" t="str">
        <f aca="false">IF($K243="","",IF(OR(LEFT($X243,2)="작지",LEFT($X243,4)="소재입고"),IF(LEFT($G243,1)="S","★ 납기위험(S코드)","◆ 지연주의"),IF($X243="정상","✓ 정상","? 확인필요")))</f>
        <v>? 확인필요</v>
      </c>
      <c r="Z243" s="28"/>
      <c r="AA243" s="34"/>
    </row>
    <row r="244" customFormat="false" ht="15" hidden="false" customHeight="false" outlineLevel="0" collapsed="false">
      <c r="A244" s="25" t="n">
        <v>240</v>
      </c>
      <c r="B244" s="26" t="s">
        <v>220</v>
      </c>
      <c r="C244" s="26" t="s">
        <v>225</v>
      </c>
      <c r="D244" s="27" t="s">
        <v>798</v>
      </c>
      <c r="E244" s="26" t="s">
        <v>799</v>
      </c>
      <c r="F244" s="27" t="s">
        <v>800</v>
      </c>
      <c r="G244" s="25" t="str">
        <f aca="false">IF($D244="","",IF(MID($D244,5,1)="S","S(봄)",IF(MID($D244,5,1)="M","M(여름)",IF(MID($D244,5,1)="X","X(사계절)",MID($D244,5,1)))))</f>
        <v>M(여름)</v>
      </c>
      <c r="H244" s="26" t="s">
        <v>79</v>
      </c>
      <c r="I244" s="25"/>
      <c r="J244" s="28" t="s">
        <v>801</v>
      </c>
      <c r="K244" s="29" t="n">
        <f aca="false">IF($J244="","",IFERROR(DATE(IF(VALUE(LEFT($J244,FIND("월",$J244)-1))&gt;=9,기준정보!$C$7-1,기준정보!$C$7),VALUE(LEFT($J244,FIND("월",$J244)-1)),1+7*(VALUE(SUBSTITUTE(MID($J244,FIND("월",$J244)+1,5),"주",""))-1)),""))</f>
        <v>46461</v>
      </c>
      <c r="L244" s="29" t="n">
        <f aca="false">IF($K244="","",IF(AND($K244-기준정보!$C$5&gt;=기준정보!$C$10,$K244-기준정보!$C$5&lt;=기준정보!$C$11),기준정보!$C$10-1,$K244-기준정보!$C$5))</f>
        <v>46447</v>
      </c>
      <c r="M244" s="30" t="n">
        <f aca="false">IF($L244="","",IF(OR(ISNUMBER(SEARCH("중국",$U244)),ISNUMBER(SEARCH("베트남",$U244))),MAX(0,MIN($L244,기준정보!$C$9)-MAX($L244-기준정보!$C$6,기준정보!$C$8)+1),IF(ISNUMBER(SEARCH("한국",$U244)),MAX(0,MIN($L244,기준정보!$C$11)-MAX($L244-기준정보!$C$6,기준정보!$C$10)+1),0)))</f>
        <v>0</v>
      </c>
      <c r="N244" s="29" t="n">
        <f aca="false">IF($L244="","",$L244-기준정보!$C$6-$M244)</f>
        <v>46357</v>
      </c>
      <c r="O244" s="31" t="n">
        <f aca="false">IF($N244="","",$N244-기준정보!$C$4)</f>
        <v>115</v>
      </c>
      <c r="P244" s="28" t="s">
        <v>82</v>
      </c>
      <c r="Q244" s="28" t="s">
        <v>83</v>
      </c>
      <c r="R244" s="32"/>
      <c r="S244" s="27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T244" s="27" t="s">
        <v>243</v>
      </c>
      <c r="U244" s="26" t="s">
        <v>90</v>
      </c>
      <c r="V244" s="33" t="n">
        <v>3000</v>
      </c>
      <c r="W244" s="27" t="s">
        <v>491</v>
      </c>
      <c r="X244" s="27" t="str">
        <f aca="false">IF($K244="","출고일 미정",IF($P244="X","작지 미발행",IF($P244="부분","작지 일부 미발행",IF(AND($R244&lt;&gt;"",$R244&gt;$N244),"소재입고 마감("&amp;TEXT($N244,"MM/DD")&amp;") 초과",IF($P244="","발행여부 확인 필요",IF($R244="","소재 입고일정 확인 필요","정상"))))))</f>
        <v>소재 입고일정 확인 필요</v>
      </c>
      <c r="Y244" s="25" t="str">
        <f aca="false">IF($K244="","",IF(OR(LEFT($X244,2)="작지",LEFT($X244,4)="소재입고"),IF(LEFT($G244,1)="S","★ 납기위험(S코드)","◆ 지연주의"),IF($X244="정상","✓ 정상","? 확인필요")))</f>
        <v>? 확인필요</v>
      </c>
      <c r="Z244" s="28"/>
      <c r="AA244" s="34"/>
    </row>
    <row r="245" customFormat="false" ht="15" hidden="false" customHeight="false" outlineLevel="0" collapsed="false">
      <c r="A245" s="25" t="n">
        <v>241</v>
      </c>
      <c r="B245" s="26" t="s">
        <v>199</v>
      </c>
      <c r="C245" s="26" t="s">
        <v>435</v>
      </c>
      <c r="D245" s="27" t="s">
        <v>802</v>
      </c>
      <c r="E245" s="26" t="s">
        <v>803</v>
      </c>
      <c r="F245" s="27" t="s">
        <v>804</v>
      </c>
      <c r="G245" s="25" t="str">
        <f aca="false">IF($D245="","",IF(MID($D245,5,1)="S","S(봄)",IF(MID($D245,5,1)="M","M(여름)",IF(MID($D245,5,1)="X","X(사계절)",MID($D245,5,1)))))</f>
        <v>M(여름)</v>
      </c>
      <c r="H245" s="27" t="s">
        <v>209</v>
      </c>
      <c r="I245" s="25" t="s">
        <v>416</v>
      </c>
      <c r="J245" s="28" t="s">
        <v>805</v>
      </c>
      <c r="K245" s="29" t="n">
        <f aca="false">IF($J245="","",IFERROR(DATE(IF(VALUE(LEFT($J245,FIND("월",$J245)-1))&gt;=9,기준정보!$C$7-1,기준정보!$C$7),VALUE(LEFT($J245,FIND("월",$J245)-1)),1+7*(VALUE(SUBSTITUTE(MID($J245,FIND("월",$J245)+1,5),"주",""))-1)),""))</f>
        <v>46468</v>
      </c>
      <c r="L245" s="29" t="n">
        <f aca="false">IF($K245="","",IF(AND($K245-기준정보!$C$5&gt;=기준정보!$C$10,$K245-기준정보!$C$5&lt;=기준정보!$C$11),기준정보!$C$10-1,$K245-기준정보!$C$5))</f>
        <v>46454</v>
      </c>
      <c r="M245" s="30" t="n">
        <f aca="false">IF($L245="","",IF(OR(ISNUMBER(SEARCH("중국",$U245)),ISNUMBER(SEARCH("베트남",$U245))),MAX(0,MIN($L245,기준정보!$C$9)-MAX($L245-기준정보!$C$6,기준정보!$C$8)+1),IF(ISNUMBER(SEARCH("한국",$U245)),MAX(0,MIN($L245,기준정보!$C$11)-MAX($L245-기준정보!$C$6,기준정보!$C$10)+1),0)))</f>
        <v>15</v>
      </c>
      <c r="N245" s="29" t="n">
        <f aca="false">IF($L245="","",$L245-기준정보!$C$6-$M245)</f>
        <v>46349</v>
      </c>
      <c r="O245" s="31" t="n">
        <f aca="false">IF($N245="","",$N245-기준정보!$C$4)</f>
        <v>107</v>
      </c>
      <c r="P245" s="28" t="s">
        <v>82</v>
      </c>
      <c r="Q245" s="28" t="s">
        <v>83</v>
      </c>
      <c r="R245" s="32"/>
      <c r="S245" s="27" t="str">
        <f aca="false">IF($H245="","",IF(AND(ISNUMBER(SEARCH("CMT",$H245)),OR(ISNUMBER(SEARCH("완사입",$H245)),ISNUMBER(SEARCH("ODM",$H245)))),"본사/생산처 혼재",IF(ISNUMBER(SEARCH("CMT",$H245)),"본사(소재팀)","생산처")))</f>
        <v>본사(소재팀)</v>
      </c>
      <c r="T245" s="26" t="s">
        <v>84</v>
      </c>
      <c r="U245" s="26" t="s">
        <v>85</v>
      </c>
      <c r="V245" s="33" t="n">
        <v>4000</v>
      </c>
      <c r="W245" s="27" t="s">
        <v>805</v>
      </c>
      <c r="X245" s="27" t="str">
        <f aca="false">IF($K245="","출고일 미정",IF($P245="X","작지 미발행",IF($P245="부분","작지 일부 미발행",IF(AND($R245&lt;&gt;"",$R245&gt;$N245),"소재입고 마감("&amp;TEXT($N245,"MM/DD")&amp;") 초과",IF($P245="","발행여부 확인 필요",IF($R245="","소재 입고일정 확인 필요","정상"))))))</f>
        <v>소재 입고일정 확인 필요</v>
      </c>
      <c r="Y245" s="25" t="str">
        <f aca="false">IF($K245="","",IF(OR(LEFT($X245,2)="작지",LEFT($X245,4)="소재입고"),IF(LEFT($G245,1)="S","★ 납기위험(S코드)","◆ 지연주의"),IF($X245="정상","✓ 정상","? 확인필요")))</f>
        <v>? 확인필요</v>
      </c>
      <c r="Z245" s="28"/>
      <c r="AA245" s="34"/>
    </row>
    <row r="246" customFormat="false" ht="15" hidden="false" customHeight="false" outlineLevel="0" collapsed="false">
      <c r="A246" s="25" t="n">
        <v>242</v>
      </c>
      <c r="B246" s="26" t="s">
        <v>199</v>
      </c>
      <c r="C246" s="26" t="s">
        <v>435</v>
      </c>
      <c r="D246" s="27" t="s">
        <v>806</v>
      </c>
      <c r="E246" s="26" t="s">
        <v>807</v>
      </c>
      <c r="F246" s="27" t="s">
        <v>808</v>
      </c>
      <c r="G246" s="25" t="str">
        <f aca="false">IF($D246="","",IF(MID($D246,5,1)="S","S(봄)",IF(MID($D246,5,1)="M","M(여름)",IF(MID($D246,5,1)="X","X(사계절)",MID($D246,5,1)))))</f>
        <v>M(여름)</v>
      </c>
      <c r="H246" s="27" t="s">
        <v>209</v>
      </c>
      <c r="I246" s="25" t="s">
        <v>416</v>
      </c>
      <c r="J246" s="28" t="s">
        <v>805</v>
      </c>
      <c r="K246" s="29" t="n">
        <f aca="false">IF($J246="","",IFERROR(DATE(IF(VALUE(LEFT($J246,FIND("월",$J246)-1))&gt;=9,기준정보!$C$7-1,기준정보!$C$7),VALUE(LEFT($J246,FIND("월",$J246)-1)),1+7*(VALUE(SUBSTITUTE(MID($J246,FIND("월",$J246)+1,5),"주",""))-1)),""))</f>
        <v>46468</v>
      </c>
      <c r="L246" s="29" t="n">
        <f aca="false">IF($K246="","",IF(AND($K246-기준정보!$C$5&gt;=기준정보!$C$10,$K246-기준정보!$C$5&lt;=기준정보!$C$11),기준정보!$C$10-1,$K246-기준정보!$C$5))</f>
        <v>46454</v>
      </c>
      <c r="M246" s="30" t="n">
        <f aca="false">IF($L246="","",IF(OR(ISNUMBER(SEARCH("중국",$U246)),ISNUMBER(SEARCH("베트남",$U246))),MAX(0,MIN($L246,기준정보!$C$9)-MAX($L246-기준정보!$C$6,기준정보!$C$8)+1),IF(ISNUMBER(SEARCH("한국",$U246)),MAX(0,MIN($L246,기준정보!$C$11)-MAX($L246-기준정보!$C$6,기준정보!$C$10)+1),0)))</f>
        <v>15</v>
      </c>
      <c r="N246" s="29" t="n">
        <f aca="false">IF($L246="","",$L246-기준정보!$C$6-$M246)</f>
        <v>46349</v>
      </c>
      <c r="O246" s="31" t="n">
        <f aca="false">IF($N246="","",$N246-기준정보!$C$4)</f>
        <v>107</v>
      </c>
      <c r="P246" s="28" t="s">
        <v>82</v>
      </c>
      <c r="Q246" s="28" t="s">
        <v>83</v>
      </c>
      <c r="R246" s="32"/>
      <c r="S246" s="27" t="str">
        <f aca="false">IF($H246="","",IF(AND(ISNUMBER(SEARCH("CMT",$H246)),OR(ISNUMBER(SEARCH("완사입",$H246)),ISNUMBER(SEARCH("ODM",$H246)))),"본사/생산처 혼재",IF(ISNUMBER(SEARCH("CMT",$H246)),"본사(소재팀)","생산처")))</f>
        <v>본사(소재팀)</v>
      </c>
      <c r="T246" s="26" t="s">
        <v>84</v>
      </c>
      <c r="U246" s="26" t="s">
        <v>85</v>
      </c>
      <c r="V246" s="33" t="n">
        <v>1800</v>
      </c>
      <c r="W246" s="27" t="s">
        <v>805</v>
      </c>
      <c r="X246" s="27" t="str">
        <f aca="false">IF($K246="","출고일 미정",IF($P246="X","작지 미발행",IF($P246="부분","작지 일부 미발행",IF(AND($R246&lt;&gt;"",$R246&gt;$N246),"소재입고 마감("&amp;TEXT($N246,"MM/DD")&amp;") 초과",IF($P246="","발행여부 확인 필요",IF($R246="","소재 입고일정 확인 필요","정상"))))))</f>
        <v>소재 입고일정 확인 필요</v>
      </c>
      <c r="Y246" s="25" t="str">
        <f aca="false">IF($K246="","",IF(OR(LEFT($X246,2)="작지",LEFT($X246,4)="소재입고"),IF(LEFT($G246,1)="S","★ 납기위험(S코드)","◆ 지연주의"),IF($X246="정상","✓ 정상","? 확인필요")))</f>
        <v>? 확인필요</v>
      </c>
      <c r="Z246" s="28"/>
      <c r="AA246" s="34"/>
    </row>
    <row r="247" customFormat="false" ht="15" hidden="false" customHeight="false" outlineLevel="0" collapsed="false">
      <c r="A247" s="25" t="n">
        <v>243</v>
      </c>
      <c r="B247" s="26" t="s">
        <v>199</v>
      </c>
      <c r="C247" s="26" t="s">
        <v>435</v>
      </c>
      <c r="D247" s="27" t="s">
        <v>809</v>
      </c>
      <c r="E247" s="26" t="s">
        <v>810</v>
      </c>
      <c r="F247" s="27" t="s">
        <v>811</v>
      </c>
      <c r="G247" s="25" t="str">
        <f aca="false">IF($D247="","",IF(MID($D247,5,1)="S","S(봄)",IF(MID($D247,5,1)="M","M(여름)",IF(MID($D247,5,1)="X","X(사계절)",MID($D247,5,1)))))</f>
        <v>M(여름)</v>
      </c>
      <c r="H247" s="27" t="s">
        <v>209</v>
      </c>
      <c r="I247" s="25" t="s">
        <v>416</v>
      </c>
      <c r="J247" s="28" t="s">
        <v>805</v>
      </c>
      <c r="K247" s="29" t="n">
        <f aca="false">IF($J247="","",IFERROR(DATE(IF(VALUE(LEFT($J247,FIND("월",$J247)-1))&gt;=9,기준정보!$C$7-1,기준정보!$C$7),VALUE(LEFT($J247,FIND("월",$J247)-1)),1+7*(VALUE(SUBSTITUTE(MID($J247,FIND("월",$J247)+1,5),"주",""))-1)),""))</f>
        <v>46468</v>
      </c>
      <c r="L247" s="29" t="n">
        <f aca="false">IF($K247="","",IF(AND($K247-기준정보!$C$5&gt;=기준정보!$C$10,$K247-기준정보!$C$5&lt;=기준정보!$C$11),기준정보!$C$10-1,$K247-기준정보!$C$5))</f>
        <v>46454</v>
      </c>
      <c r="M247" s="30" t="n">
        <f aca="false">IF($L247="","",IF(OR(ISNUMBER(SEARCH("중국",$U247)),ISNUMBER(SEARCH("베트남",$U247))),MAX(0,MIN($L247,기준정보!$C$9)-MAX($L247-기준정보!$C$6,기준정보!$C$8)+1),IF(ISNUMBER(SEARCH("한국",$U247)),MAX(0,MIN($L247,기준정보!$C$11)-MAX($L247-기준정보!$C$6,기준정보!$C$10)+1),0)))</f>
        <v>15</v>
      </c>
      <c r="N247" s="29" t="n">
        <f aca="false">IF($L247="","",$L247-기준정보!$C$6-$M247)</f>
        <v>46349</v>
      </c>
      <c r="O247" s="31" t="n">
        <f aca="false">IF($N247="","",$N247-기준정보!$C$4)</f>
        <v>107</v>
      </c>
      <c r="P247" s="28" t="s">
        <v>82</v>
      </c>
      <c r="Q247" s="28" t="s">
        <v>83</v>
      </c>
      <c r="R247" s="32"/>
      <c r="S247" s="27" t="str">
        <f aca="false">IF($H247="","",IF(AND(ISNUMBER(SEARCH("CMT",$H247)),OR(ISNUMBER(SEARCH("완사입",$H247)),ISNUMBER(SEARCH("ODM",$H247)))),"본사/생산처 혼재",IF(ISNUMBER(SEARCH("CMT",$H247)),"본사(소재팀)","생산처")))</f>
        <v>본사(소재팀)</v>
      </c>
      <c r="T247" s="26" t="s">
        <v>84</v>
      </c>
      <c r="U247" s="26" t="s">
        <v>85</v>
      </c>
      <c r="V247" s="33" t="n">
        <v>3000</v>
      </c>
      <c r="W247" s="27" t="s">
        <v>805</v>
      </c>
      <c r="X247" s="27" t="str">
        <f aca="false">IF($K247="","출고일 미정",IF($P247="X","작지 미발행",IF($P247="부분","작지 일부 미발행",IF(AND($R247&lt;&gt;"",$R247&gt;$N247),"소재입고 마감("&amp;TEXT($N247,"MM/DD")&amp;") 초과",IF($P247="","발행여부 확인 필요",IF($R247="","소재 입고일정 확인 필요","정상"))))))</f>
        <v>소재 입고일정 확인 필요</v>
      </c>
      <c r="Y247" s="25" t="str">
        <f aca="false">IF($K247="","",IF(OR(LEFT($X247,2)="작지",LEFT($X247,4)="소재입고"),IF(LEFT($G247,1)="S","★ 납기위험(S코드)","◆ 지연주의"),IF($X247="정상","✓ 정상","? 확인필요")))</f>
        <v>? 확인필요</v>
      </c>
      <c r="Z247" s="28"/>
      <c r="AA247" s="34"/>
    </row>
    <row r="248" customFormat="false" ht="15" hidden="false" customHeight="false" outlineLevel="0" collapsed="false">
      <c r="A248" s="25" t="n">
        <v>244</v>
      </c>
      <c r="B248" s="26" t="s">
        <v>204</v>
      </c>
      <c r="C248" s="26" t="s">
        <v>205</v>
      </c>
      <c r="D248" s="27" t="s">
        <v>812</v>
      </c>
      <c r="E248" s="26" t="s">
        <v>813</v>
      </c>
      <c r="F248" s="27" t="s">
        <v>814</v>
      </c>
      <c r="G248" s="25" t="str">
        <f aca="false">IF($D248="","",IF(MID($D248,5,1)="S","S(봄)",IF(MID($D248,5,1)="M","M(여름)",IF(MID($D248,5,1)="X","X(사계절)",MID($D248,5,1)))))</f>
        <v>M(여름)</v>
      </c>
      <c r="H248" s="27" t="s">
        <v>209</v>
      </c>
      <c r="I248" s="25"/>
      <c r="J248" s="28" t="s">
        <v>805</v>
      </c>
      <c r="K248" s="29" t="n">
        <f aca="false">IF($J248="","",IFERROR(DATE(IF(VALUE(LEFT($J248,FIND("월",$J248)-1))&gt;=9,기준정보!$C$7-1,기준정보!$C$7),VALUE(LEFT($J248,FIND("월",$J248)-1)),1+7*(VALUE(SUBSTITUTE(MID($J248,FIND("월",$J248)+1,5),"주",""))-1)),""))</f>
        <v>46468</v>
      </c>
      <c r="L248" s="29" t="n">
        <f aca="false">IF($K248="","",IF(AND($K248-기준정보!$C$5&gt;=기준정보!$C$10,$K248-기준정보!$C$5&lt;=기준정보!$C$11),기준정보!$C$10-1,$K248-기준정보!$C$5))</f>
        <v>46454</v>
      </c>
      <c r="M248" s="30" t="n">
        <f aca="false">IF($L248="","",IF(OR(ISNUMBER(SEARCH("중국",$U248)),ISNUMBER(SEARCH("베트남",$U248))),MAX(0,MIN($L248,기준정보!$C$9)-MAX($L248-기준정보!$C$6,기준정보!$C$8)+1),IF(ISNUMBER(SEARCH("한국",$U248)),MAX(0,MIN($L248,기준정보!$C$11)-MAX($L248-기준정보!$C$6,기준정보!$C$10)+1),0)))</f>
        <v>15</v>
      </c>
      <c r="N248" s="29" t="n">
        <f aca="false">IF($L248="","",$L248-기준정보!$C$6-$M248)</f>
        <v>46349</v>
      </c>
      <c r="O248" s="31" t="n">
        <f aca="false">IF($N248="","",$N248-기준정보!$C$4)</f>
        <v>107</v>
      </c>
      <c r="P248" s="28" t="s">
        <v>82</v>
      </c>
      <c r="Q248" s="28" t="s">
        <v>83</v>
      </c>
      <c r="R248" s="32"/>
      <c r="S248" s="27" t="str">
        <f aca="false">IF($H248="","",IF(AND(ISNUMBER(SEARCH("CMT",$H248)),OR(ISNUMBER(SEARCH("완사입",$H248)),ISNUMBER(SEARCH("ODM",$H248)))),"본사/생산처 혼재",IF(ISNUMBER(SEARCH("CMT",$H248)),"본사(소재팀)","생산처")))</f>
        <v>본사(소재팀)</v>
      </c>
      <c r="T248" s="27" t="s">
        <v>235</v>
      </c>
      <c r="U248" s="26" t="s">
        <v>85</v>
      </c>
      <c r="V248" s="33" t="n">
        <v>1800</v>
      </c>
      <c r="W248" s="27" t="s">
        <v>805</v>
      </c>
      <c r="X248" s="27" t="str">
        <f aca="false">IF($K248="","출고일 미정",IF($P248="X","작지 미발행",IF($P248="부분","작지 일부 미발행",IF(AND($R248&lt;&gt;"",$R248&gt;$N248),"소재입고 마감("&amp;TEXT($N248,"MM/DD")&amp;") 초과",IF($P248="","발행여부 확인 필요",IF($R248="","소재 입고일정 확인 필요","정상"))))))</f>
        <v>소재 입고일정 확인 필요</v>
      </c>
      <c r="Y248" s="25" t="str">
        <f aca="false">IF($K248="","",IF(OR(LEFT($X248,2)="작지",LEFT($X248,4)="소재입고"),IF(LEFT($G248,1)="S","★ 납기위험(S코드)","◆ 지연주의"),IF($X248="정상","✓ 정상","? 확인필요")))</f>
        <v>? 확인필요</v>
      </c>
      <c r="Z248" s="28"/>
      <c r="AA248" s="34"/>
    </row>
    <row r="249" customFormat="false" ht="15" hidden="false" customHeight="false" outlineLevel="0" collapsed="false">
      <c r="A249" s="25" t="n">
        <v>245</v>
      </c>
      <c r="B249" s="26" t="s">
        <v>204</v>
      </c>
      <c r="C249" s="26" t="s">
        <v>205</v>
      </c>
      <c r="D249" s="27" t="s">
        <v>815</v>
      </c>
      <c r="E249" s="26" t="s">
        <v>816</v>
      </c>
      <c r="F249" s="27" t="s">
        <v>146</v>
      </c>
      <c r="G249" s="25" t="str">
        <f aca="false">IF($D249="","",IF(MID($D249,5,1)="S","S(봄)",IF(MID($D249,5,1)="M","M(여름)",IF(MID($D249,5,1)="X","X(사계절)",MID($D249,5,1)))))</f>
        <v>M(여름)</v>
      </c>
      <c r="H249" s="27" t="s">
        <v>209</v>
      </c>
      <c r="I249" s="25"/>
      <c r="J249" s="28" t="s">
        <v>805</v>
      </c>
      <c r="K249" s="29" t="n">
        <f aca="false">IF($J249="","",IFERROR(DATE(IF(VALUE(LEFT($J249,FIND("월",$J249)-1))&gt;=9,기준정보!$C$7-1,기준정보!$C$7),VALUE(LEFT($J249,FIND("월",$J249)-1)),1+7*(VALUE(SUBSTITUTE(MID($J249,FIND("월",$J249)+1,5),"주",""))-1)),""))</f>
        <v>46468</v>
      </c>
      <c r="L249" s="29" t="n">
        <f aca="false">IF($K249="","",IF(AND($K249-기준정보!$C$5&gt;=기준정보!$C$10,$K249-기준정보!$C$5&lt;=기준정보!$C$11),기준정보!$C$10-1,$K249-기준정보!$C$5))</f>
        <v>46454</v>
      </c>
      <c r="M249" s="30" t="n">
        <f aca="false">IF($L249="","",IF(OR(ISNUMBER(SEARCH("중국",$U249)),ISNUMBER(SEARCH("베트남",$U249))),MAX(0,MIN($L249,기준정보!$C$9)-MAX($L249-기준정보!$C$6,기준정보!$C$8)+1),IF(ISNUMBER(SEARCH("한국",$U249)),MAX(0,MIN($L249,기준정보!$C$11)-MAX($L249-기준정보!$C$6,기준정보!$C$10)+1),0)))</f>
        <v>15</v>
      </c>
      <c r="N249" s="29" t="n">
        <f aca="false">IF($L249="","",$L249-기준정보!$C$6-$M249)</f>
        <v>46349</v>
      </c>
      <c r="O249" s="31" t="n">
        <f aca="false">IF($N249="","",$N249-기준정보!$C$4)</f>
        <v>107</v>
      </c>
      <c r="P249" s="28" t="s">
        <v>82</v>
      </c>
      <c r="Q249" s="28" t="s">
        <v>83</v>
      </c>
      <c r="R249" s="32"/>
      <c r="S249" s="27" t="str">
        <f aca="false">IF($H249="","",IF(AND(ISNUMBER(SEARCH("CMT",$H249)),OR(ISNUMBER(SEARCH("완사입",$H249)),ISNUMBER(SEARCH("ODM",$H249)))),"본사/생산처 혼재",IF(ISNUMBER(SEARCH("CMT",$H249)),"본사(소재팀)","생산처")))</f>
        <v>본사(소재팀)</v>
      </c>
      <c r="T249" s="27" t="s">
        <v>149</v>
      </c>
      <c r="U249" s="26" t="s">
        <v>85</v>
      </c>
      <c r="V249" s="33" t="n">
        <v>3200</v>
      </c>
      <c r="W249" s="27" t="s">
        <v>805</v>
      </c>
      <c r="X249" s="27" t="str">
        <f aca="false">IF($K249="","출고일 미정",IF($P249="X","작지 미발행",IF($P249="부분","작지 일부 미발행",IF(AND($R249&lt;&gt;"",$R249&gt;$N249),"소재입고 마감("&amp;TEXT($N249,"MM/DD")&amp;") 초과",IF($P249="","발행여부 확인 필요",IF($R249="","소재 입고일정 확인 필요","정상"))))))</f>
        <v>소재 입고일정 확인 필요</v>
      </c>
      <c r="Y249" s="25" t="str">
        <f aca="false">IF($K249="","",IF(OR(LEFT($X249,2)="작지",LEFT($X249,4)="소재입고"),IF(LEFT($G249,1)="S","★ 납기위험(S코드)","◆ 지연주의"),IF($X249="정상","✓ 정상","? 확인필요")))</f>
        <v>? 확인필요</v>
      </c>
      <c r="Z249" s="28"/>
      <c r="AA249" s="34"/>
    </row>
    <row r="250" customFormat="false" ht="15" hidden="false" customHeight="false" outlineLevel="0" collapsed="false">
      <c r="A250" s="25" t="n">
        <v>246</v>
      </c>
      <c r="B250" s="26" t="s">
        <v>204</v>
      </c>
      <c r="C250" s="26" t="s">
        <v>205</v>
      </c>
      <c r="D250" s="27" t="s">
        <v>817</v>
      </c>
      <c r="E250" s="26" t="s">
        <v>818</v>
      </c>
      <c r="F250" s="27" t="s">
        <v>819</v>
      </c>
      <c r="G250" s="25" t="str">
        <f aca="false">IF($D250="","",IF(MID($D250,5,1)="S","S(봄)",IF(MID($D250,5,1)="M","M(여름)",IF(MID($D250,5,1)="X","X(사계절)",MID($D250,5,1)))))</f>
        <v>M(여름)</v>
      </c>
      <c r="H250" s="27" t="s">
        <v>209</v>
      </c>
      <c r="I250" s="25"/>
      <c r="J250" s="28" t="s">
        <v>805</v>
      </c>
      <c r="K250" s="29" t="n">
        <f aca="false">IF($J250="","",IFERROR(DATE(IF(VALUE(LEFT($J250,FIND("월",$J250)-1))&gt;=9,기준정보!$C$7-1,기준정보!$C$7),VALUE(LEFT($J250,FIND("월",$J250)-1)),1+7*(VALUE(SUBSTITUTE(MID($J250,FIND("월",$J250)+1,5),"주",""))-1)),""))</f>
        <v>46468</v>
      </c>
      <c r="L250" s="29" t="n">
        <f aca="false">IF($K250="","",IF(AND($K250-기준정보!$C$5&gt;=기준정보!$C$10,$K250-기준정보!$C$5&lt;=기준정보!$C$11),기준정보!$C$10-1,$K250-기준정보!$C$5))</f>
        <v>46454</v>
      </c>
      <c r="M250" s="30" t="n">
        <f aca="false">IF($L250="","",IF(OR(ISNUMBER(SEARCH("중국",$U250)),ISNUMBER(SEARCH("베트남",$U250))),MAX(0,MIN($L250,기준정보!$C$9)-MAX($L250-기준정보!$C$6,기준정보!$C$8)+1),IF(ISNUMBER(SEARCH("한국",$U250)),MAX(0,MIN($L250,기준정보!$C$11)-MAX($L250-기준정보!$C$6,기준정보!$C$10)+1),0)))</f>
        <v>15</v>
      </c>
      <c r="N250" s="29" t="n">
        <f aca="false">IF($L250="","",$L250-기준정보!$C$6-$M250)</f>
        <v>46349</v>
      </c>
      <c r="O250" s="31" t="n">
        <f aca="false">IF($N250="","",$N250-기준정보!$C$4)</f>
        <v>107</v>
      </c>
      <c r="P250" s="28" t="s">
        <v>82</v>
      </c>
      <c r="Q250" s="28" t="s">
        <v>83</v>
      </c>
      <c r="R250" s="32"/>
      <c r="S250" s="27" t="str">
        <f aca="false">IF($H250="","",IF(AND(ISNUMBER(SEARCH("CMT",$H250)),OR(ISNUMBER(SEARCH("완사입",$H250)),ISNUMBER(SEARCH("ODM",$H250)))),"본사/생산처 혼재",IF(ISNUMBER(SEARCH("CMT",$H250)),"본사(소재팀)","생산처")))</f>
        <v>본사(소재팀)</v>
      </c>
      <c r="T250" s="27" t="s">
        <v>235</v>
      </c>
      <c r="U250" s="26" t="s">
        <v>85</v>
      </c>
      <c r="V250" s="33" t="n">
        <v>1500</v>
      </c>
      <c r="W250" s="27" t="s">
        <v>805</v>
      </c>
      <c r="X250" s="27" t="str">
        <f aca="false">IF($K250="","출고일 미정",IF($P250="X","작지 미발행",IF($P250="부분","작지 일부 미발행",IF(AND($R250&lt;&gt;"",$R250&gt;$N250),"소재입고 마감("&amp;TEXT($N250,"MM/DD")&amp;") 초과",IF($P250="","발행여부 확인 필요",IF($R250="","소재 입고일정 확인 필요","정상"))))))</f>
        <v>소재 입고일정 확인 필요</v>
      </c>
      <c r="Y250" s="25" t="str">
        <f aca="false">IF($K250="","",IF(OR(LEFT($X250,2)="작지",LEFT($X250,4)="소재입고"),IF(LEFT($G250,1)="S","★ 납기위험(S코드)","◆ 지연주의"),IF($X250="정상","✓ 정상","? 확인필요")))</f>
        <v>? 확인필요</v>
      </c>
      <c r="Z250" s="28"/>
      <c r="AA250" s="34"/>
    </row>
    <row r="251" customFormat="false" ht="15" hidden="false" customHeight="false" outlineLevel="0" collapsed="false">
      <c r="A251" s="25" t="n">
        <v>247</v>
      </c>
      <c r="B251" s="26" t="s">
        <v>199</v>
      </c>
      <c r="C251" s="26" t="s">
        <v>435</v>
      </c>
      <c r="D251" s="27" t="s">
        <v>820</v>
      </c>
      <c r="E251" s="26" t="s">
        <v>821</v>
      </c>
      <c r="F251" s="27" t="s">
        <v>160</v>
      </c>
      <c r="G251" s="25" t="str">
        <f aca="false">IF($D251="","",IF(MID($D251,5,1)="S","S(봄)",IF(MID($D251,5,1)="M","M(여름)",IF(MID($D251,5,1)="X","X(사계절)",MID($D251,5,1)))))</f>
        <v>M(여름)</v>
      </c>
      <c r="H251" s="26" t="s">
        <v>79</v>
      </c>
      <c r="I251" s="25" t="s">
        <v>416</v>
      </c>
      <c r="J251" s="28" t="s">
        <v>805</v>
      </c>
      <c r="K251" s="29" t="n">
        <f aca="false">IF($J251="","",IFERROR(DATE(IF(VALUE(LEFT($J251,FIND("월",$J251)-1))&gt;=9,기준정보!$C$7-1,기준정보!$C$7),VALUE(LEFT($J251,FIND("월",$J251)-1)),1+7*(VALUE(SUBSTITUTE(MID($J251,FIND("월",$J251)+1,5),"주",""))-1)),""))</f>
        <v>46468</v>
      </c>
      <c r="L251" s="29" t="n">
        <f aca="false">IF($K251="","",IF(AND($K251-기준정보!$C$5&gt;=기준정보!$C$10,$K251-기준정보!$C$5&lt;=기준정보!$C$11),기준정보!$C$10-1,$K251-기준정보!$C$5))</f>
        <v>46454</v>
      </c>
      <c r="M251" s="30" t="n">
        <f aca="false">IF($L251="","",IF(OR(ISNUMBER(SEARCH("중국",$U251)),ISNUMBER(SEARCH("베트남",$U251))),MAX(0,MIN($L251,기준정보!$C$9)-MAX($L251-기준정보!$C$6,기준정보!$C$8)+1),IF(ISNUMBER(SEARCH("한국",$U251)),MAX(0,MIN($L251,기준정보!$C$11)-MAX($L251-기준정보!$C$6,기준정보!$C$10)+1),0)))</f>
        <v>15</v>
      </c>
      <c r="N251" s="29" t="n">
        <f aca="false">IF($L251="","",$L251-기준정보!$C$6-$M251)</f>
        <v>46349</v>
      </c>
      <c r="O251" s="31" t="n">
        <f aca="false">IF($N251="","",$N251-기준정보!$C$4)</f>
        <v>107</v>
      </c>
      <c r="P251" s="28" t="s">
        <v>82</v>
      </c>
      <c r="Q251" s="28" t="s">
        <v>83</v>
      </c>
      <c r="R251" s="32"/>
      <c r="S251" s="27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T251" s="26" t="s">
        <v>106</v>
      </c>
      <c r="U251" s="26" t="s">
        <v>85</v>
      </c>
      <c r="V251" s="33" t="n">
        <v>800</v>
      </c>
      <c r="W251" s="27" t="s">
        <v>805</v>
      </c>
      <c r="X251" s="27" t="str">
        <f aca="false">IF($K251="","출고일 미정",IF($P251="X","작지 미발행",IF($P251="부분","작지 일부 미발행",IF(AND($R251&lt;&gt;"",$R251&gt;$N251),"소재입고 마감("&amp;TEXT($N251,"MM/DD")&amp;") 초과",IF($P251="","발행여부 확인 필요",IF($R251="","소재 입고일정 확인 필요","정상"))))))</f>
        <v>소재 입고일정 확인 필요</v>
      </c>
      <c r="Y251" s="25" t="str">
        <f aca="false">IF($K251="","",IF(OR(LEFT($X251,2)="작지",LEFT($X251,4)="소재입고"),IF(LEFT($G251,1)="S","★ 납기위험(S코드)","◆ 지연주의"),IF($X251="정상","✓ 정상","? 확인필요")))</f>
        <v>? 확인필요</v>
      </c>
      <c r="Z251" s="28"/>
      <c r="AA251" s="34"/>
    </row>
    <row r="252" customFormat="false" ht="15" hidden="false" customHeight="false" outlineLevel="0" collapsed="false">
      <c r="A252" s="25" t="n">
        <v>248</v>
      </c>
      <c r="B252" s="26" t="s">
        <v>204</v>
      </c>
      <c r="C252" s="26" t="s">
        <v>205</v>
      </c>
      <c r="D252" s="27" t="s">
        <v>822</v>
      </c>
      <c r="E252" s="26" t="s">
        <v>823</v>
      </c>
      <c r="F252" s="27" t="s">
        <v>824</v>
      </c>
      <c r="G252" s="25" t="str">
        <f aca="false">IF($D252="","",IF(MID($D252,5,1)="S","S(봄)",IF(MID($D252,5,1)="M","M(여름)",IF(MID($D252,5,1)="X","X(사계절)",MID($D252,5,1)))))</f>
        <v>M(여름)</v>
      </c>
      <c r="H252" s="26" t="s">
        <v>79</v>
      </c>
      <c r="I252" s="25"/>
      <c r="J252" s="28" t="s">
        <v>805</v>
      </c>
      <c r="K252" s="29" t="n">
        <f aca="false">IF($J252="","",IFERROR(DATE(IF(VALUE(LEFT($J252,FIND("월",$J252)-1))&gt;=9,기준정보!$C$7-1,기준정보!$C$7),VALUE(LEFT($J252,FIND("월",$J252)-1)),1+7*(VALUE(SUBSTITUTE(MID($J252,FIND("월",$J252)+1,5),"주",""))-1)),""))</f>
        <v>46468</v>
      </c>
      <c r="L252" s="29" t="n">
        <f aca="false">IF($K252="","",IF(AND($K252-기준정보!$C$5&gt;=기준정보!$C$10,$K252-기준정보!$C$5&lt;=기준정보!$C$11),기준정보!$C$10-1,$K252-기준정보!$C$5))</f>
        <v>46454</v>
      </c>
      <c r="M252" s="30" t="n">
        <f aca="false">IF($L252="","",IF(OR(ISNUMBER(SEARCH("중국",$U252)),ISNUMBER(SEARCH("베트남",$U252))),MAX(0,MIN($L252,기준정보!$C$9)-MAX($L252-기준정보!$C$6,기준정보!$C$8)+1),IF(ISNUMBER(SEARCH("한국",$U252)),MAX(0,MIN($L252,기준정보!$C$11)-MAX($L252-기준정보!$C$6,기준정보!$C$10)+1),0)))</f>
        <v>15</v>
      </c>
      <c r="N252" s="29" t="n">
        <f aca="false">IF($L252="","",$L252-기준정보!$C$6-$M252)</f>
        <v>46349</v>
      </c>
      <c r="O252" s="31" t="n">
        <f aca="false">IF($N252="","",$N252-기준정보!$C$4)</f>
        <v>107</v>
      </c>
      <c r="P252" s="28" t="s">
        <v>82</v>
      </c>
      <c r="Q252" s="28" t="s">
        <v>83</v>
      </c>
      <c r="R252" s="32"/>
      <c r="S252" s="27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T252" s="26" t="s">
        <v>239</v>
      </c>
      <c r="U252" s="26" t="s">
        <v>85</v>
      </c>
      <c r="V252" s="33" t="n">
        <v>4000</v>
      </c>
      <c r="W252" s="27" t="s">
        <v>805</v>
      </c>
      <c r="X252" s="27" t="str">
        <f aca="false">IF($K252="","출고일 미정",IF($P252="X","작지 미발행",IF($P252="부분","작지 일부 미발행",IF(AND($R252&lt;&gt;"",$R252&gt;$N252),"소재입고 마감("&amp;TEXT($N252,"MM/DD")&amp;") 초과",IF($P252="","발행여부 확인 필요",IF($R252="","소재 입고일정 확인 필요","정상"))))))</f>
        <v>소재 입고일정 확인 필요</v>
      </c>
      <c r="Y252" s="25" t="str">
        <f aca="false">IF($K252="","",IF(OR(LEFT($X252,2)="작지",LEFT($X252,4)="소재입고"),IF(LEFT($G252,1)="S","★ 납기위험(S코드)","◆ 지연주의"),IF($X252="정상","✓ 정상","? 확인필요")))</f>
        <v>? 확인필요</v>
      </c>
      <c r="Z252" s="28"/>
      <c r="AA252" s="34"/>
    </row>
    <row r="253" customFormat="false" ht="15" hidden="false" customHeight="false" outlineLevel="0" collapsed="false">
      <c r="A253" s="25" t="n">
        <v>249</v>
      </c>
      <c r="B253" s="26" t="s">
        <v>204</v>
      </c>
      <c r="C253" s="26" t="s">
        <v>205</v>
      </c>
      <c r="D253" s="27" t="s">
        <v>825</v>
      </c>
      <c r="E253" s="26" t="s">
        <v>826</v>
      </c>
      <c r="F253" s="27" t="s">
        <v>690</v>
      </c>
      <c r="G253" s="25" t="str">
        <f aca="false">IF($D253="","",IF(MID($D253,5,1)="S","S(봄)",IF(MID($D253,5,1)="M","M(여름)",IF(MID($D253,5,1)="X","X(사계절)",MID($D253,5,1)))))</f>
        <v>M(여름)</v>
      </c>
      <c r="H253" s="26" t="s">
        <v>79</v>
      </c>
      <c r="I253" s="25"/>
      <c r="J253" s="28" t="s">
        <v>805</v>
      </c>
      <c r="K253" s="29" t="n">
        <f aca="false">IF($J253="","",IFERROR(DATE(IF(VALUE(LEFT($J253,FIND("월",$J253)-1))&gt;=9,기준정보!$C$7-1,기준정보!$C$7),VALUE(LEFT($J253,FIND("월",$J253)-1)),1+7*(VALUE(SUBSTITUTE(MID($J253,FIND("월",$J253)+1,5),"주",""))-1)),""))</f>
        <v>46468</v>
      </c>
      <c r="L253" s="29" t="n">
        <f aca="false">IF($K253="","",IF(AND($K253-기준정보!$C$5&gt;=기준정보!$C$10,$K253-기준정보!$C$5&lt;=기준정보!$C$11),기준정보!$C$10-1,$K253-기준정보!$C$5))</f>
        <v>46454</v>
      </c>
      <c r="M253" s="30" t="n">
        <f aca="false">IF($L253="","",IF(OR(ISNUMBER(SEARCH("중국",$U253)),ISNUMBER(SEARCH("베트남",$U253))),MAX(0,MIN($L253,기준정보!$C$9)-MAX($L253-기준정보!$C$6,기준정보!$C$8)+1),IF(ISNUMBER(SEARCH("한국",$U253)),MAX(0,MIN($L253,기준정보!$C$11)-MAX($L253-기준정보!$C$6,기준정보!$C$10)+1),0)))</f>
        <v>15</v>
      </c>
      <c r="N253" s="29" t="n">
        <f aca="false">IF($L253="","",$L253-기준정보!$C$6-$M253)</f>
        <v>46349</v>
      </c>
      <c r="O253" s="31" t="n">
        <f aca="false">IF($N253="","",$N253-기준정보!$C$4)</f>
        <v>107</v>
      </c>
      <c r="P253" s="28" t="s">
        <v>82</v>
      </c>
      <c r="Q253" s="28" t="s">
        <v>83</v>
      </c>
      <c r="R253" s="32"/>
      <c r="S253" s="27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T253" s="26" t="s">
        <v>239</v>
      </c>
      <c r="U253" s="26" t="s">
        <v>85</v>
      </c>
      <c r="V253" s="33" t="n">
        <v>2000</v>
      </c>
      <c r="W253" s="27" t="s">
        <v>805</v>
      </c>
      <c r="X253" s="27" t="str">
        <f aca="false">IF($K253="","출고일 미정",IF($P253="X","작지 미발행",IF($P253="부분","작지 일부 미발행",IF(AND($R253&lt;&gt;"",$R253&gt;$N253),"소재입고 마감("&amp;TEXT($N253,"MM/DD")&amp;") 초과",IF($P253="","발행여부 확인 필요",IF($R253="","소재 입고일정 확인 필요","정상"))))))</f>
        <v>소재 입고일정 확인 필요</v>
      </c>
      <c r="Y253" s="25" t="str">
        <f aca="false">IF($K253="","",IF(OR(LEFT($X253,2)="작지",LEFT($X253,4)="소재입고"),IF(LEFT($G253,1)="S","★ 납기위험(S코드)","◆ 지연주의"),IF($X253="정상","✓ 정상","? 확인필요")))</f>
        <v>? 확인필요</v>
      </c>
      <c r="Z253" s="28"/>
      <c r="AA253" s="34"/>
    </row>
    <row r="254" customFormat="false" ht="15" hidden="false" customHeight="false" outlineLevel="0" collapsed="false">
      <c r="A254" s="25" t="n">
        <v>250</v>
      </c>
      <c r="B254" s="26" t="s">
        <v>199</v>
      </c>
      <c r="C254" s="26" t="s">
        <v>435</v>
      </c>
      <c r="D254" s="27" t="s">
        <v>827</v>
      </c>
      <c r="E254" s="26" t="s">
        <v>828</v>
      </c>
      <c r="F254" s="27" t="s">
        <v>829</v>
      </c>
      <c r="G254" s="25" t="str">
        <f aca="false">IF($D254="","",IF(MID($D254,5,1)="S","S(봄)",IF(MID($D254,5,1)="M","M(여름)",IF(MID($D254,5,1)="X","X(사계절)",MID($D254,5,1)))))</f>
        <v>M(여름)</v>
      </c>
      <c r="H254" s="26" t="s">
        <v>79</v>
      </c>
      <c r="I254" s="25" t="s">
        <v>416</v>
      </c>
      <c r="J254" s="28" t="s">
        <v>805</v>
      </c>
      <c r="K254" s="29" t="n">
        <f aca="false">IF($J254="","",IFERROR(DATE(IF(VALUE(LEFT($J254,FIND("월",$J254)-1))&gt;=9,기준정보!$C$7-1,기준정보!$C$7),VALUE(LEFT($J254,FIND("월",$J254)-1)),1+7*(VALUE(SUBSTITUTE(MID($J254,FIND("월",$J254)+1,5),"주",""))-1)),""))</f>
        <v>46468</v>
      </c>
      <c r="L254" s="29" t="n">
        <f aca="false">IF($K254="","",IF(AND($K254-기준정보!$C$5&gt;=기준정보!$C$10,$K254-기준정보!$C$5&lt;=기준정보!$C$11),기준정보!$C$10-1,$K254-기준정보!$C$5))</f>
        <v>46454</v>
      </c>
      <c r="M254" s="30" t="n">
        <f aca="false">IF($L254="","",IF(OR(ISNUMBER(SEARCH("중국",$U254)),ISNUMBER(SEARCH("베트남",$U254))),MAX(0,MIN($L254,기준정보!$C$9)-MAX($L254-기준정보!$C$6,기준정보!$C$8)+1),IF(ISNUMBER(SEARCH("한국",$U254)),MAX(0,MIN($L254,기준정보!$C$11)-MAX($L254-기준정보!$C$6,기준정보!$C$10)+1),0)))</f>
        <v>15</v>
      </c>
      <c r="N254" s="29" t="n">
        <f aca="false">IF($L254="","",$L254-기준정보!$C$6-$M254)</f>
        <v>46349</v>
      </c>
      <c r="O254" s="31" t="n">
        <f aca="false">IF($N254="","",$N254-기준정보!$C$4)</f>
        <v>107</v>
      </c>
      <c r="P254" s="28" t="s">
        <v>82</v>
      </c>
      <c r="Q254" s="28" t="s">
        <v>83</v>
      </c>
      <c r="R254" s="32"/>
      <c r="S254" s="27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T254" s="26" t="s">
        <v>311</v>
      </c>
      <c r="U254" s="26" t="s">
        <v>85</v>
      </c>
      <c r="V254" s="33" t="n">
        <v>1600</v>
      </c>
      <c r="W254" s="27" t="s">
        <v>805</v>
      </c>
      <c r="X254" s="27" t="str">
        <f aca="false">IF($K254="","출고일 미정",IF($P254="X","작지 미발행",IF($P254="부분","작지 일부 미발행",IF(AND($R254&lt;&gt;"",$R254&gt;$N254),"소재입고 마감("&amp;TEXT($N254,"MM/DD")&amp;") 초과",IF($P254="","발행여부 확인 필요",IF($R254="","소재 입고일정 확인 필요","정상"))))))</f>
        <v>소재 입고일정 확인 필요</v>
      </c>
      <c r="Y254" s="25" t="str">
        <f aca="false">IF($K254="","",IF(OR(LEFT($X254,2)="작지",LEFT($X254,4)="소재입고"),IF(LEFT($G254,1)="S","★ 납기위험(S코드)","◆ 지연주의"),IF($X254="정상","✓ 정상","? 확인필요")))</f>
        <v>? 확인필요</v>
      </c>
      <c r="Z254" s="28"/>
      <c r="AA254" s="34"/>
    </row>
    <row r="255" customFormat="false" ht="15" hidden="false" customHeight="false" outlineLevel="0" collapsed="false">
      <c r="A255" s="25" t="n">
        <v>251</v>
      </c>
      <c r="B255" s="26" t="s">
        <v>199</v>
      </c>
      <c r="C255" s="26" t="s">
        <v>435</v>
      </c>
      <c r="D255" s="27" t="s">
        <v>830</v>
      </c>
      <c r="E255" s="26" t="s">
        <v>831</v>
      </c>
      <c r="F255" s="27" t="s">
        <v>832</v>
      </c>
      <c r="G255" s="25" t="str">
        <f aca="false">IF($D255="","",IF(MID($D255,5,1)="S","S(봄)",IF(MID($D255,5,1)="M","M(여름)",IF(MID($D255,5,1)="X","X(사계절)",MID($D255,5,1)))))</f>
        <v>M(여름)</v>
      </c>
      <c r="H255" s="26" t="s">
        <v>79</v>
      </c>
      <c r="I255" s="25" t="s">
        <v>416</v>
      </c>
      <c r="J255" s="28" t="s">
        <v>805</v>
      </c>
      <c r="K255" s="29" t="n">
        <f aca="false">IF($J255="","",IFERROR(DATE(IF(VALUE(LEFT($J255,FIND("월",$J255)-1))&gt;=9,기준정보!$C$7-1,기준정보!$C$7),VALUE(LEFT($J255,FIND("월",$J255)-1)),1+7*(VALUE(SUBSTITUTE(MID($J255,FIND("월",$J255)+1,5),"주",""))-1)),""))</f>
        <v>46468</v>
      </c>
      <c r="L255" s="29" t="n">
        <f aca="false">IF($K255="","",IF(AND($K255-기준정보!$C$5&gt;=기준정보!$C$10,$K255-기준정보!$C$5&lt;=기준정보!$C$11),기준정보!$C$10-1,$K255-기준정보!$C$5))</f>
        <v>46454</v>
      </c>
      <c r="M255" s="30" t="n">
        <f aca="false">IF($L255="","",IF(OR(ISNUMBER(SEARCH("중국",$U255)),ISNUMBER(SEARCH("베트남",$U255))),MAX(0,MIN($L255,기준정보!$C$9)-MAX($L255-기준정보!$C$6,기준정보!$C$8)+1),IF(ISNUMBER(SEARCH("한국",$U255)),MAX(0,MIN($L255,기준정보!$C$11)-MAX($L255-기준정보!$C$6,기준정보!$C$10)+1),0)))</f>
        <v>0</v>
      </c>
      <c r="N255" s="29" t="n">
        <f aca="false">IF($L255="","",$L255-기준정보!$C$6-$M255)</f>
        <v>46364</v>
      </c>
      <c r="O255" s="31" t="n">
        <f aca="false">IF($N255="","",$N255-기준정보!$C$4)</f>
        <v>122</v>
      </c>
      <c r="P255" s="28" t="s">
        <v>82</v>
      </c>
      <c r="Q255" s="28" t="s">
        <v>83</v>
      </c>
      <c r="R255" s="32"/>
      <c r="S255" s="27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T255" s="27" t="s">
        <v>243</v>
      </c>
      <c r="U255" s="26" t="s">
        <v>90</v>
      </c>
      <c r="V255" s="33" t="n">
        <v>1200</v>
      </c>
      <c r="W255" s="27" t="s">
        <v>805</v>
      </c>
      <c r="X255" s="27" t="str">
        <f aca="false">IF($K255="","출고일 미정",IF($P255="X","작지 미발행",IF($P255="부분","작지 일부 미발행",IF(AND($R255&lt;&gt;"",$R255&gt;$N255),"소재입고 마감("&amp;TEXT($N255,"MM/DD")&amp;") 초과",IF($P255="","발행여부 확인 필요",IF($R255="","소재 입고일정 확인 필요","정상"))))))</f>
        <v>소재 입고일정 확인 필요</v>
      </c>
      <c r="Y255" s="25" t="str">
        <f aca="false">IF($K255="","",IF(OR(LEFT($X255,2)="작지",LEFT($X255,4)="소재입고"),IF(LEFT($G255,1)="S","★ 납기위험(S코드)","◆ 지연주의"),IF($X255="정상","✓ 정상","? 확인필요")))</f>
        <v>? 확인필요</v>
      </c>
      <c r="Z255" s="28"/>
      <c r="AA255" s="34"/>
    </row>
    <row r="256" customFormat="false" ht="15" hidden="false" customHeight="false" outlineLevel="0" collapsed="false">
      <c r="A256" s="25" t="n">
        <v>252</v>
      </c>
      <c r="B256" s="26" t="s">
        <v>204</v>
      </c>
      <c r="C256" s="26" t="s">
        <v>205</v>
      </c>
      <c r="D256" s="27" t="s">
        <v>833</v>
      </c>
      <c r="E256" s="26" t="s">
        <v>834</v>
      </c>
      <c r="F256" s="27" t="s">
        <v>835</v>
      </c>
      <c r="G256" s="25" t="str">
        <f aca="false">IF($D256="","",IF(MID($D256,5,1)="S","S(봄)",IF(MID($D256,5,1)="M","M(여름)",IF(MID($D256,5,1)="X","X(사계절)",MID($D256,5,1)))))</f>
        <v>M(여름)</v>
      </c>
      <c r="H256" s="26" t="s">
        <v>79</v>
      </c>
      <c r="I256" s="25"/>
      <c r="J256" s="28" t="s">
        <v>805</v>
      </c>
      <c r="K256" s="29" t="n">
        <f aca="false">IF($J256="","",IFERROR(DATE(IF(VALUE(LEFT($J256,FIND("월",$J256)-1))&gt;=9,기준정보!$C$7-1,기준정보!$C$7),VALUE(LEFT($J256,FIND("월",$J256)-1)),1+7*(VALUE(SUBSTITUTE(MID($J256,FIND("월",$J256)+1,5),"주",""))-1)),""))</f>
        <v>46468</v>
      </c>
      <c r="L256" s="29" t="n">
        <f aca="false">IF($K256="","",IF(AND($K256-기준정보!$C$5&gt;=기준정보!$C$10,$K256-기준정보!$C$5&lt;=기준정보!$C$11),기준정보!$C$10-1,$K256-기준정보!$C$5))</f>
        <v>46454</v>
      </c>
      <c r="M256" s="30" t="n">
        <f aca="false">IF($L256="","",IF(OR(ISNUMBER(SEARCH("중국",$U256)),ISNUMBER(SEARCH("베트남",$U256))),MAX(0,MIN($L256,기준정보!$C$9)-MAX($L256-기준정보!$C$6,기준정보!$C$8)+1),IF(ISNUMBER(SEARCH("한국",$U256)),MAX(0,MIN($L256,기준정보!$C$11)-MAX($L256-기준정보!$C$6,기준정보!$C$10)+1),0)))</f>
        <v>0</v>
      </c>
      <c r="N256" s="29" t="n">
        <f aca="false">IF($L256="","",$L256-기준정보!$C$6-$M256)</f>
        <v>46364</v>
      </c>
      <c r="O256" s="31" t="n">
        <f aca="false">IF($N256="","",$N256-기준정보!$C$4)</f>
        <v>122</v>
      </c>
      <c r="P256" s="28" t="s">
        <v>82</v>
      </c>
      <c r="Q256" s="28" t="s">
        <v>83</v>
      </c>
      <c r="R256" s="32"/>
      <c r="S256" s="27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T256" s="27" t="s">
        <v>243</v>
      </c>
      <c r="U256" s="26" t="s">
        <v>90</v>
      </c>
      <c r="V256" s="33" t="n">
        <v>2500</v>
      </c>
      <c r="W256" s="27" t="s">
        <v>805</v>
      </c>
      <c r="X256" s="27" t="str">
        <f aca="false">IF($K256="","출고일 미정",IF($P256="X","작지 미발행",IF($P256="부분","작지 일부 미발행",IF(AND($R256&lt;&gt;"",$R256&gt;$N256),"소재입고 마감("&amp;TEXT($N256,"MM/DD")&amp;") 초과",IF($P256="","발행여부 확인 필요",IF($R256="","소재 입고일정 확인 필요","정상"))))))</f>
        <v>소재 입고일정 확인 필요</v>
      </c>
      <c r="Y256" s="25" t="str">
        <f aca="false">IF($K256="","",IF(OR(LEFT($X256,2)="작지",LEFT($X256,4)="소재입고"),IF(LEFT($G256,1)="S","★ 납기위험(S코드)","◆ 지연주의"),IF($X256="정상","✓ 정상","? 확인필요")))</f>
        <v>? 확인필요</v>
      </c>
      <c r="Z256" s="28"/>
      <c r="AA256" s="34"/>
    </row>
    <row r="257" customFormat="false" ht="15" hidden="false" customHeight="false" outlineLevel="0" collapsed="false">
      <c r="A257" s="25" t="n">
        <v>253</v>
      </c>
      <c r="B257" s="26" t="s">
        <v>199</v>
      </c>
      <c r="C257" s="26" t="s">
        <v>435</v>
      </c>
      <c r="D257" s="27" t="s">
        <v>836</v>
      </c>
      <c r="E257" s="26" t="s">
        <v>837</v>
      </c>
      <c r="F257" s="27" t="s">
        <v>838</v>
      </c>
      <c r="G257" s="25" t="str">
        <f aca="false">IF($D257="","",IF(MID($D257,5,1)="S","S(봄)",IF(MID($D257,5,1)="M","M(여름)",IF(MID($D257,5,1)="X","X(사계절)",MID($D257,5,1)))))</f>
        <v>M(여름)</v>
      </c>
      <c r="H257" s="26" t="s">
        <v>79</v>
      </c>
      <c r="I257" s="25" t="s">
        <v>416</v>
      </c>
      <c r="J257" s="28" t="s">
        <v>805</v>
      </c>
      <c r="K257" s="29" t="n">
        <f aca="false">IF($J257="","",IFERROR(DATE(IF(VALUE(LEFT($J257,FIND("월",$J257)-1))&gt;=9,기준정보!$C$7-1,기준정보!$C$7),VALUE(LEFT($J257,FIND("월",$J257)-1)),1+7*(VALUE(SUBSTITUTE(MID($J257,FIND("월",$J257)+1,5),"주",""))-1)),""))</f>
        <v>46468</v>
      </c>
      <c r="L257" s="29" t="n">
        <f aca="false">IF($K257="","",IF(AND($K257-기준정보!$C$5&gt;=기준정보!$C$10,$K257-기준정보!$C$5&lt;=기준정보!$C$11),기준정보!$C$10-1,$K257-기준정보!$C$5))</f>
        <v>46454</v>
      </c>
      <c r="M257" s="30" t="n">
        <f aca="false">IF($L257="","",IF(OR(ISNUMBER(SEARCH("중국",$U257)),ISNUMBER(SEARCH("베트남",$U257))),MAX(0,MIN($L257,기준정보!$C$9)-MAX($L257-기준정보!$C$6,기준정보!$C$8)+1),IF(ISNUMBER(SEARCH("한국",$U257)),MAX(0,MIN($L257,기준정보!$C$11)-MAX($L257-기준정보!$C$6,기준정보!$C$10)+1),0)))</f>
        <v>15</v>
      </c>
      <c r="N257" s="29" t="n">
        <f aca="false">IF($L257="","",$L257-기준정보!$C$6-$M257)</f>
        <v>46349</v>
      </c>
      <c r="O257" s="31" t="n">
        <f aca="false">IF($N257="","",$N257-기준정보!$C$4)</f>
        <v>107</v>
      </c>
      <c r="P257" s="28" t="s">
        <v>82</v>
      </c>
      <c r="Q257" s="28" t="s">
        <v>83</v>
      </c>
      <c r="R257" s="32"/>
      <c r="S257" s="27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T257" s="26" t="s">
        <v>311</v>
      </c>
      <c r="U257" s="26" t="s">
        <v>85</v>
      </c>
      <c r="V257" s="33" t="n">
        <v>1200</v>
      </c>
      <c r="W257" s="27" t="s">
        <v>805</v>
      </c>
      <c r="X257" s="27" t="str">
        <f aca="false">IF($K257="","출고일 미정",IF($P257="X","작지 미발행",IF($P257="부분","작지 일부 미발행",IF(AND($R257&lt;&gt;"",$R257&gt;$N257),"소재입고 마감("&amp;TEXT($N257,"MM/DD")&amp;") 초과",IF($P257="","발행여부 확인 필요",IF($R257="","소재 입고일정 확인 필요","정상"))))))</f>
        <v>소재 입고일정 확인 필요</v>
      </c>
      <c r="Y257" s="25" t="str">
        <f aca="false">IF($K257="","",IF(OR(LEFT($X257,2)="작지",LEFT($X257,4)="소재입고"),IF(LEFT($G257,1)="S","★ 납기위험(S코드)","◆ 지연주의"),IF($X257="정상","✓ 정상","? 확인필요")))</f>
        <v>? 확인필요</v>
      </c>
      <c r="Z257" s="28"/>
      <c r="AA257" s="34"/>
    </row>
    <row r="258" customFormat="false" ht="15" hidden="false" customHeight="false" outlineLevel="0" collapsed="false">
      <c r="A258" s="25" t="n">
        <v>254</v>
      </c>
      <c r="B258" s="26" t="s">
        <v>199</v>
      </c>
      <c r="C258" s="26" t="s">
        <v>435</v>
      </c>
      <c r="D258" s="27" t="s">
        <v>839</v>
      </c>
      <c r="E258" s="26" t="s">
        <v>840</v>
      </c>
      <c r="F258" s="27" t="s">
        <v>841</v>
      </c>
      <c r="G258" s="25" t="str">
        <f aca="false">IF($D258="","",IF(MID($D258,5,1)="S","S(봄)",IF(MID($D258,5,1)="M","M(여름)",IF(MID($D258,5,1)="X","X(사계절)",MID($D258,5,1)))))</f>
        <v>M(여름)</v>
      </c>
      <c r="H258" s="27" t="s">
        <v>209</v>
      </c>
      <c r="I258" s="25" t="s">
        <v>416</v>
      </c>
      <c r="J258" s="28" t="s">
        <v>805</v>
      </c>
      <c r="K258" s="29" t="n">
        <f aca="false">IF($J258="","",IFERROR(DATE(IF(VALUE(LEFT($J258,FIND("월",$J258)-1))&gt;=9,기준정보!$C$7-1,기준정보!$C$7),VALUE(LEFT($J258,FIND("월",$J258)-1)),1+7*(VALUE(SUBSTITUTE(MID($J258,FIND("월",$J258)+1,5),"주",""))-1)),""))</f>
        <v>46468</v>
      </c>
      <c r="L258" s="29" t="n">
        <f aca="false">IF($K258="","",IF(AND($K258-기준정보!$C$5&gt;=기준정보!$C$10,$K258-기준정보!$C$5&lt;=기준정보!$C$11),기준정보!$C$10-1,$K258-기준정보!$C$5))</f>
        <v>46454</v>
      </c>
      <c r="M258" s="30" t="n">
        <f aca="false">IF($L258="","",IF(OR(ISNUMBER(SEARCH("중국",$U258)),ISNUMBER(SEARCH("베트남",$U258))),MAX(0,MIN($L258,기준정보!$C$9)-MAX($L258-기준정보!$C$6,기준정보!$C$8)+1),IF(ISNUMBER(SEARCH("한국",$U258)),MAX(0,MIN($L258,기준정보!$C$11)-MAX($L258-기준정보!$C$6,기준정보!$C$10)+1),0)))</f>
        <v>15</v>
      </c>
      <c r="N258" s="29" t="n">
        <f aca="false">IF($L258="","",$L258-기준정보!$C$6-$M258)</f>
        <v>46349</v>
      </c>
      <c r="O258" s="31" t="n">
        <f aca="false">IF($N258="","",$N258-기준정보!$C$4)</f>
        <v>107</v>
      </c>
      <c r="P258" s="28" t="s">
        <v>82</v>
      </c>
      <c r="Q258" s="28" t="s">
        <v>83</v>
      </c>
      <c r="R258" s="32"/>
      <c r="S258" s="27" t="str">
        <f aca="false">IF($H258="","",IF(AND(ISNUMBER(SEARCH("CMT",$H258)),OR(ISNUMBER(SEARCH("완사입",$H258)),ISNUMBER(SEARCH("ODM",$H258)))),"본사/생산처 혼재",IF(ISNUMBER(SEARCH("CMT",$H258)),"본사(소재팀)","생산처")))</f>
        <v>본사(소재팀)</v>
      </c>
      <c r="T258" s="26" t="s">
        <v>84</v>
      </c>
      <c r="U258" s="26" t="s">
        <v>85</v>
      </c>
      <c r="V258" s="33" t="n">
        <v>2000</v>
      </c>
      <c r="W258" s="27" t="s">
        <v>805</v>
      </c>
      <c r="X258" s="27" t="str">
        <f aca="false">IF($K258="","출고일 미정",IF($P258="X","작지 미발행",IF($P258="부분","작지 일부 미발행",IF(AND($R258&lt;&gt;"",$R258&gt;$N258),"소재입고 마감("&amp;TEXT($N258,"MM/DD")&amp;") 초과",IF($P258="","발행여부 확인 필요",IF($R258="","소재 입고일정 확인 필요","정상"))))))</f>
        <v>소재 입고일정 확인 필요</v>
      </c>
      <c r="Y258" s="25" t="str">
        <f aca="false">IF($K258="","",IF(OR(LEFT($X258,2)="작지",LEFT($X258,4)="소재입고"),IF(LEFT($G258,1)="S","★ 납기위험(S코드)","◆ 지연주의"),IF($X258="정상","✓ 정상","? 확인필요")))</f>
        <v>? 확인필요</v>
      </c>
      <c r="Z258" s="28"/>
      <c r="AA258" s="34"/>
    </row>
    <row r="259" customFormat="false" ht="15" hidden="false" customHeight="false" outlineLevel="0" collapsed="false">
      <c r="A259" s="25" t="n">
        <v>255</v>
      </c>
      <c r="B259" s="26" t="s">
        <v>220</v>
      </c>
      <c r="C259" s="26" t="s">
        <v>200</v>
      </c>
      <c r="D259" s="27" t="s">
        <v>842</v>
      </c>
      <c r="E259" s="26" t="s">
        <v>843</v>
      </c>
      <c r="F259" s="27" t="s">
        <v>616</v>
      </c>
      <c r="G259" s="25" t="str">
        <f aca="false">IF($D259="","",IF(MID($D259,5,1)="S","S(봄)",IF(MID($D259,5,1)="M","M(여름)",IF(MID($D259,5,1)="X","X(사계절)",MID($D259,5,1)))))</f>
        <v>M(여름)</v>
      </c>
      <c r="H259" s="26" t="s">
        <v>79</v>
      </c>
      <c r="I259" s="25"/>
      <c r="J259" s="28" t="s">
        <v>805</v>
      </c>
      <c r="K259" s="29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46468</v>
      </c>
      <c r="L259" s="29" t="n">
        <f aca="false">IF($K259="","",IF(AND($K259-기준정보!$C$5&gt;=기준정보!$C$10,$K259-기준정보!$C$5&lt;=기준정보!$C$11),기준정보!$C$10-1,$K259-기준정보!$C$5))</f>
        <v>46454</v>
      </c>
      <c r="M259" s="30" t="n">
        <f aca="false">IF($L259="","",IF(OR(ISNUMBER(SEARCH("중국",$U259)),ISNUMBER(SEARCH("베트남",$U259))),MAX(0,MIN($L259,기준정보!$C$9)-MAX($L259-기준정보!$C$6,기준정보!$C$8)+1),IF(ISNUMBER(SEARCH("한국",$U259)),MAX(0,MIN($L259,기준정보!$C$11)-MAX($L259-기준정보!$C$6,기준정보!$C$10)+1),0)))</f>
        <v>15</v>
      </c>
      <c r="N259" s="29" t="n">
        <f aca="false">IF($L259="","",$L259-기준정보!$C$6-$M259)</f>
        <v>46349</v>
      </c>
      <c r="O259" s="31" t="n">
        <f aca="false">IF($N259="","",$N259-기준정보!$C$4)</f>
        <v>107</v>
      </c>
      <c r="P259" s="28" t="s">
        <v>82</v>
      </c>
      <c r="Q259" s="28" t="s">
        <v>83</v>
      </c>
      <c r="R259" s="32"/>
      <c r="S259" s="27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T259" s="26" t="s">
        <v>258</v>
      </c>
      <c r="U259" s="26" t="s">
        <v>85</v>
      </c>
      <c r="V259" s="33" t="n">
        <v>16000</v>
      </c>
      <c r="W259" s="27"/>
      <c r="X259" s="27" t="str">
        <f aca="false">IF($K259="","출고일 미정",IF($P259="X","작지 미발행",IF($P259="부분","작지 일부 미발행",IF(AND($R259&lt;&gt;"",$R259&gt;$N259),"소재입고 마감("&amp;TEXT($N259,"MM/DD")&amp;") 초과",IF($P259="","발행여부 확인 필요",IF($R259="","소재 입고일정 확인 필요","정상"))))))</f>
        <v>소재 입고일정 확인 필요</v>
      </c>
      <c r="Y259" s="25" t="str">
        <f aca="false">IF($K259="","",IF(OR(LEFT($X259,2)="작지",LEFT($X259,4)="소재입고"),IF(LEFT($G259,1)="S","★ 납기위험(S코드)","◆ 지연주의"),IF($X259="정상","✓ 정상","? 확인필요")))</f>
        <v>? 확인필요</v>
      </c>
      <c r="Z259" s="28"/>
      <c r="AA259" s="34"/>
    </row>
    <row r="260" customFormat="false" ht="15" hidden="false" customHeight="false" outlineLevel="0" collapsed="false">
      <c r="A260" s="25" t="n">
        <v>256</v>
      </c>
      <c r="B260" s="26" t="s">
        <v>199</v>
      </c>
      <c r="C260" s="26" t="s">
        <v>435</v>
      </c>
      <c r="D260" s="27" t="s">
        <v>844</v>
      </c>
      <c r="E260" s="26" t="s">
        <v>845</v>
      </c>
      <c r="F260" s="27" t="s">
        <v>846</v>
      </c>
      <c r="G260" s="25" t="str">
        <f aca="false">IF($D260="","",IF(MID($D260,5,1)="S","S(봄)",IF(MID($D260,5,1)="M","M(여름)",IF(MID($D260,5,1)="X","X(사계절)",MID($D260,5,1)))))</f>
        <v>M(여름)</v>
      </c>
      <c r="H260" s="26" t="s">
        <v>79</v>
      </c>
      <c r="I260" s="25" t="s">
        <v>416</v>
      </c>
      <c r="J260" s="28" t="s">
        <v>805</v>
      </c>
      <c r="K260" s="29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9" t="n">
        <f aca="false">IF($K260="","",IF(AND($K260-기준정보!$C$5&gt;=기준정보!$C$10,$K260-기준정보!$C$5&lt;=기준정보!$C$11),기준정보!$C$10-1,$K260-기준정보!$C$5))</f>
        <v>46454</v>
      </c>
      <c r="M260" s="30" t="n">
        <f aca="false">IF($L260="","",IF(OR(ISNUMBER(SEARCH("중국",$U260)),ISNUMBER(SEARCH("베트남",$U260))),MAX(0,MIN($L260,기준정보!$C$9)-MAX($L260-기준정보!$C$6,기준정보!$C$8)+1),IF(ISNUMBER(SEARCH("한국",$U260)),MAX(0,MIN($L260,기준정보!$C$11)-MAX($L260-기준정보!$C$6,기준정보!$C$10)+1),0)))</f>
        <v>15</v>
      </c>
      <c r="N260" s="29" t="n">
        <f aca="false">IF($L260="","",$L260-기준정보!$C$6-$M260)</f>
        <v>46349</v>
      </c>
      <c r="O260" s="31" t="n">
        <f aca="false">IF($N260="","",$N260-기준정보!$C$4)</f>
        <v>107</v>
      </c>
      <c r="P260" s="28" t="s">
        <v>82</v>
      </c>
      <c r="Q260" s="28" t="s">
        <v>83</v>
      </c>
      <c r="R260" s="32"/>
      <c r="S260" s="27" t="str">
        <f aca="false">IF($H260="","",IF(AND(ISNUMBER(SEARCH("CMT",$H260)),OR(ISNUMBER(SEARCH("완사입",$H260)),ISNUMBER(SEARCH("ODM",$H260)))),"본사/생산처 혼재",IF(ISNUMBER(SEARCH("CMT",$H260)),"본사(소재팀)","생산처")))</f>
        <v>생산처</v>
      </c>
      <c r="T260" s="26" t="s">
        <v>84</v>
      </c>
      <c r="U260" s="26" t="s">
        <v>85</v>
      </c>
      <c r="V260" s="33" t="n">
        <v>400</v>
      </c>
      <c r="W260" s="27" t="s">
        <v>805</v>
      </c>
      <c r="X260" s="27" t="str">
        <f aca="false">IF($K260="","출고일 미정",IF($P260="X","작지 미발행",IF($P260="부분","작지 일부 미발행",IF(AND($R260&lt;&gt;"",$R260&gt;$N260),"소재입고 마감("&amp;TEXT($N260,"MM/DD")&amp;") 초과",IF($P260="","발행여부 확인 필요",IF($R260="","소재 입고일정 확인 필요","정상"))))))</f>
        <v>소재 입고일정 확인 필요</v>
      </c>
      <c r="Y260" s="25" t="str">
        <f aca="false">IF($K260="","",IF(OR(LEFT($X260,2)="작지",LEFT($X260,4)="소재입고"),IF(LEFT($G260,1)="S","★ 납기위험(S코드)","◆ 지연주의"),IF($X260="정상","✓ 정상","? 확인필요")))</f>
        <v>? 확인필요</v>
      </c>
      <c r="Z260" s="28"/>
      <c r="AA260" s="34"/>
    </row>
    <row r="261" customFormat="false" ht="15" hidden="false" customHeight="false" outlineLevel="0" collapsed="false">
      <c r="A261" s="25" t="n">
        <v>257</v>
      </c>
      <c r="B261" s="26" t="s">
        <v>199</v>
      </c>
      <c r="C261" s="26" t="s">
        <v>435</v>
      </c>
      <c r="D261" s="27" t="s">
        <v>847</v>
      </c>
      <c r="E261" s="26" t="s">
        <v>848</v>
      </c>
      <c r="F261" s="27" t="s">
        <v>849</v>
      </c>
      <c r="G261" s="25" t="str">
        <f aca="false">IF($D261="","",IF(MID($D261,5,1)="S","S(봄)",IF(MID($D261,5,1)="M","M(여름)",IF(MID($D261,5,1)="X","X(사계절)",MID($D261,5,1)))))</f>
        <v>M(여름)</v>
      </c>
      <c r="H261" s="27" t="s">
        <v>209</v>
      </c>
      <c r="I261" s="25" t="s">
        <v>416</v>
      </c>
      <c r="J261" s="28" t="s">
        <v>805</v>
      </c>
      <c r="K261" s="29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9" t="n">
        <f aca="false">IF($K261="","",IF(AND($K261-기준정보!$C$5&gt;=기준정보!$C$10,$K261-기준정보!$C$5&lt;=기준정보!$C$11),기준정보!$C$10-1,$K261-기준정보!$C$5))</f>
        <v>46454</v>
      </c>
      <c r="M261" s="30" t="n">
        <f aca="false">IF($L261="","",IF(OR(ISNUMBER(SEARCH("중국",$U261)),ISNUMBER(SEARCH("베트남",$U261))),MAX(0,MIN($L261,기준정보!$C$9)-MAX($L261-기준정보!$C$6,기준정보!$C$8)+1),IF(ISNUMBER(SEARCH("한국",$U261)),MAX(0,MIN($L261,기준정보!$C$11)-MAX($L261-기준정보!$C$6,기준정보!$C$10)+1),0)))</f>
        <v>15</v>
      </c>
      <c r="N261" s="29" t="n">
        <f aca="false">IF($L261="","",$L261-기준정보!$C$6-$M261)</f>
        <v>46349</v>
      </c>
      <c r="O261" s="31" t="n">
        <f aca="false">IF($N261="","",$N261-기준정보!$C$4)</f>
        <v>107</v>
      </c>
      <c r="P261" s="28" t="s">
        <v>82</v>
      </c>
      <c r="Q261" s="28" t="s">
        <v>83</v>
      </c>
      <c r="R261" s="32"/>
      <c r="S261" s="27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T261" s="26" t="s">
        <v>84</v>
      </c>
      <c r="U261" s="26" t="s">
        <v>85</v>
      </c>
      <c r="V261" s="33" t="n">
        <v>3500</v>
      </c>
      <c r="W261" s="27" t="s">
        <v>805</v>
      </c>
      <c r="X261" s="27" t="str">
        <f aca="false">IF($K261="","출고일 미정",IF($P261="X","작지 미발행",IF($P261="부분","작지 일부 미발행",IF(AND($R261&lt;&gt;"",$R261&gt;$N261),"소재입고 마감("&amp;TEXT($N261,"MM/DD")&amp;") 초과",IF($P261="","발행여부 확인 필요",IF($R261="","소재 입고일정 확인 필요","정상"))))))</f>
        <v>소재 입고일정 확인 필요</v>
      </c>
      <c r="Y261" s="25" t="str">
        <f aca="false">IF($K261="","",IF(OR(LEFT($X261,2)="작지",LEFT($X261,4)="소재입고"),IF(LEFT($G261,1)="S","★ 납기위험(S코드)","◆ 지연주의"),IF($X261="정상","✓ 정상","? 확인필요")))</f>
        <v>? 확인필요</v>
      </c>
      <c r="Z261" s="28"/>
      <c r="AA261" s="34"/>
    </row>
    <row r="262" customFormat="false" ht="15" hidden="false" customHeight="false" outlineLevel="0" collapsed="false">
      <c r="A262" s="25" t="n">
        <v>258</v>
      </c>
      <c r="B262" s="26" t="s">
        <v>199</v>
      </c>
      <c r="C262" s="26" t="s">
        <v>435</v>
      </c>
      <c r="D262" s="27" t="s">
        <v>850</v>
      </c>
      <c r="E262" s="26" t="s">
        <v>851</v>
      </c>
      <c r="F262" s="27" t="s">
        <v>852</v>
      </c>
      <c r="G262" s="25" t="str">
        <f aca="false">IF($D262="","",IF(MID($D262,5,1)="S","S(봄)",IF(MID($D262,5,1)="M","M(여름)",IF(MID($D262,5,1)="X","X(사계절)",MID($D262,5,1)))))</f>
        <v>M(여름)</v>
      </c>
      <c r="H262" s="27" t="s">
        <v>209</v>
      </c>
      <c r="I262" s="25" t="s">
        <v>416</v>
      </c>
      <c r="J262" s="28" t="s">
        <v>805</v>
      </c>
      <c r="K262" s="29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9" t="n">
        <f aca="false">IF($K262="","",IF(AND($K262-기준정보!$C$5&gt;=기준정보!$C$10,$K262-기준정보!$C$5&lt;=기준정보!$C$11),기준정보!$C$10-1,$K262-기준정보!$C$5))</f>
        <v>46454</v>
      </c>
      <c r="M262" s="30" t="n">
        <f aca="false">IF($L262="","",IF(OR(ISNUMBER(SEARCH("중국",$U262)),ISNUMBER(SEARCH("베트남",$U262))),MAX(0,MIN($L262,기준정보!$C$9)-MAX($L262-기준정보!$C$6,기준정보!$C$8)+1),IF(ISNUMBER(SEARCH("한국",$U262)),MAX(0,MIN($L262,기준정보!$C$11)-MAX($L262-기준정보!$C$6,기준정보!$C$10)+1),0)))</f>
        <v>15</v>
      </c>
      <c r="N262" s="29" t="n">
        <f aca="false">IF($L262="","",$L262-기준정보!$C$6-$M262)</f>
        <v>46349</v>
      </c>
      <c r="O262" s="31" t="n">
        <f aca="false">IF($N262="","",$N262-기준정보!$C$4)</f>
        <v>107</v>
      </c>
      <c r="P262" s="28" t="s">
        <v>82</v>
      </c>
      <c r="Q262" s="28" t="s">
        <v>83</v>
      </c>
      <c r="R262" s="32"/>
      <c r="S262" s="27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T262" s="26" t="s">
        <v>84</v>
      </c>
      <c r="U262" s="26" t="s">
        <v>85</v>
      </c>
      <c r="V262" s="33" t="n">
        <v>2400</v>
      </c>
      <c r="W262" s="27" t="s">
        <v>805</v>
      </c>
      <c r="X262" s="27" t="str">
        <f aca="false">IF($K262="","출고일 미정",IF($P262="X","작지 미발행",IF($P262="부분","작지 일부 미발행",IF(AND($R262&lt;&gt;"",$R262&gt;$N262),"소재입고 마감("&amp;TEXT($N262,"MM/DD")&amp;") 초과",IF($P262="","발행여부 확인 필요",IF($R262="","소재 입고일정 확인 필요","정상"))))))</f>
        <v>소재 입고일정 확인 필요</v>
      </c>
      <c r="Y262" s="25" t="str">
        <f aca="false">IF($K262="","",IF(OR(LEFT($X262,2)="작지",LEFT($X262,4)="소재입고"),IF(LEFT($G262,1)="S","★ 납기위험(S코드)","◆ 지연주의"),IF($X262="정상","✓ 정상","? 확인필요")))</f>
        <v>? 확인필요</v>
      </c>
      <c r="Z262" s="28"/>
      <c r="AA262" s="34"/>
    </row>
    <row r="263" customFormat="false" ht="15" hidden="false" customHeight="false" outlineLevel="0" collapsed="false">
      <c r="A263" s="25" t="n">
        <v>259</v>
      </c>
      <c r="B263" s="26" t="s">
        <v>199</v>
      </c>
      <c r="C263" s="26" t="s">
        <v>435</v>
      </c>
      <c r="D263" s="27" t="s">
        <v>853</v>
      </c>
      <c r="E263" s="26" t="s">
        <v>854</v>
      </c>
      <c r="F263" s="27" t="s">
        <v>855</v>
      </c>
      <c r="G263" s="25" t="str">
        <f aca="false">IF($D263="","",IF(MID($D263,5,1)="S","S(봄)",IF(MID($D263,5,1)="M","M(여름)",IF(MID($D263,5,1)="X","X(사계절)",MID($D263,5,1)))))</f>
        <v>M(여름)</v>
      </c>
      <c r="H263" s="27" t="s">
        <v>209</v>
      </c>
      <c r="I263" s="25" t="s">
        <v>416</v>
      </c>
      <c r="J263" s="28" t="s">
        <v>805</v>
      </c>
      <c r="K263" s="29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9" t="n">
        <f aca="false">IF($K263="","",IF(AND($K263-기준정보!$C$5&gt;=기준정보!$C$10,$K263-기준정보!$C$5&lt;=기준정보!$C$11),기준정보!$C$10-1,$K263-기준정보!$C$5))</f>
        <v>46454</v>
      </c>
      <c r="M263" s="30" t="n">
        <f aca="false">IF($L263="","",IF(OR(ISNUMBER(SEARCH("중국",$U263)),ISNUMBER(SEARCH("베트남",$U263))),MAX(0,MIN($L263,기준정보!$C$9)-MAX($L263-기준정보!$C$6,기준정보!$C$8)+1),IF(ISNUMBER(SEARCH("한국",$U263)),MAX(0,MIN($L263,기준정보!$C$11)-MAX($L263-기준정보!$C$6,기준정보!$C$10)+1),0)))</f>
        <v>15</v>
      </c>
      <c r="N263" s="29" t="n">
        <f aca="false">IF($L263="","",$L263-기준정보!$C$6-$M263)</f>
        <v>46349</v>
      </c>
      <c r="O263" s="31" t="n">
        <f aca="false">IF($N263="","",$N263-기준정보!$C$4)</f>
        <v>107</v>
      </c>
      <c r="P263" s="28" t="s">
        <v>82</v>
      </c>
      <c r="Q263" s="28" t="s">
        <v>83</v>
      </c>
      <c r="R263" s="32"/>
      <c r="S263" s="27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T263" s="26" t="s">
        <v>84</v>
      </c>
      <c r="U263" s="26" t="s">
        <v>85</v>
      </c>
      <c r="V263" s="33" t="n">
        <v>3500</v>
      </c>
      <c r="W263" s="27" t="s">
        <v>805</v>
      </c>
      <c r="X263" s="27" t="str">
        <f aca="false">IF($K263="","출고일 미정",IF($P263="X","작지 미발행",IF($P263="부분","작지 일부 미발행",IF(AND($R263&lt;&gt;"",$R263&gt;$N263),"소재입고 마감("&amp;TEXT($N263,"MM/DD")&amp;") 초과",IF($P263="","발행여부 확인 필요",IF($R263="","소재 입고일정 확인 필요","정상"))))))</f>
        <v>소재 입고일정 확인 필요</v>
      </c>
      <c r="Y263" s="25" t="str">
        <f aca="false">IF($K263="","",IF(OR(LEFT($X263,2)="작지",LEFT($X263,4)="소재입고"),IF(LEFT($G263,1)="S","★ 납기위험(S코드)","◆ 지연주의"),IF($X263="정상","✓ 정상","? 확인필요")))</f>
        <v>? 확인필요</v>
      </c>
      <c r="Z263" s="28"/>
      <c r="AA263" s="34"/>
    </row>
    <row r="264" customFormat="false" ht="15" hidden="false" customHeight="false" outlineLevel="0" collapsed="false">
      <c r="A264" s="25" t="n">
        <v>260</v>
      </c>
      <c r="B264" s="26" t="s">
        <v>224</v>
      </c>
      <c r="C264" s="26" t="s">
        <v>225</v>
      </c>
      <c r="D264" s="27" t="s">
        <v>856</v>
      </c>
      <c r="E264" s="26" t="s">
        <v>857</v>
      </c>
      <c r="F264" s="27" t="s">
        <v>858</v>
      </c>
      <c r="G264" s="25" t="str">
        <f aca="false">IF($D264="","",IF(MID($D264,5,1)="S","S(봄)",IF(MID($D264,5,1)="M","M(여름)",IF(MID($D264,5,1)="X","X(사계절)",MID($D264,5,1)))))</f>
        <v>M(여름)</v>
      </c>
      <c r="H264" s="27" t="s">
        <v>209</v>
      </c>
      <c r="I264" s="25" t="s">
        <v>416</v>
      </c>
      <c r="J264" s="28" t="s">
        <v>805</v>
      </c>
      <c r="K264" s="29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9" t="n">
        <f aca="false">IF($K264="","",IF(AND($K264-기준정보!$C$5&gt;=기준정보!$C$10,$K264-기준정보!$C$5&lt;=기준정보!$C$11),기준정보!$C$10-1,$K264-기준정보!$C$5))</f>
        <v>46454</v>
      </c>
      <c r="M264" s="30" t="n">
        <f aca="false">IF($L264="","",IF(OR(ISNUMBER(SEARCH("중국",$U264)),ISNUMBER(SEARCH("베트남",$U264))),MAX(0,MIN($L264,기준정보!$C$9)-MAX($L264-기준정보!$C$6,기준정보!$C$8)+1),IF(ISNUMBER(SEARCH("한국",$U264)),MAX(0,MIN($L264,기준정보!$C$11)-MAX($L264-기준정보!$C$6,기준정보!$C$10)+1),0)))</f>
        <v>15</v>
      </c>
      <c r="N264" s="29" t="n">
        <f aca="false">IF($L264="","",$L264-기준정보!$C$6-$M264)</f>
        <v>46349</v>
      </c>
      <c r="O264" s="31" t="n">
        <f aca="false">IF($N264="","",$N264-기준정보!$C$4)</f>
        <v>107</v>
      </c>
      <c r="P264" s="28" t="s">
        <v>82</v>
      </c>
      <c r="Q264" s="28" t="s">
        <v>83</v>
      </c>
      <c r="R264" s="32"/>
      <c r="S264" s="27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T264" s="26" t="s">
        <v>210</v>
      </c>
      <c r="U264" s="26" t="s">
        <v>85</v>
      </c>
      <c r="V264" s="33" t="n">
        <v>3500</v>
      </c>
      <c r="W264" s="27" t="s">
        <v>805</v>
      </c>
      <c r="X264" s="27" t="str">
        <f aca="false">IF($K264="","출고일 미정",IF($P264="X","작지 미발행",IF($P264="부분","작지 일부 미발행",IF(AND($R264&lt;&gt;"",$R264&gt;$N264),"소재입고 마감("&amp;TEXT($N264,"MM/DD")&amp;") 초과",IF($P264="","발행여부 확인 필요",IF($R264="","소재 입고일정 확인 필요","정상"))))))</f>
        <v>소재 입고일정 확인 필요</v>
      </c>
      <c r="Y264" s="25" t="str">
        <f aca="false">IF($K264="","",IF(OR(LEFT($X264,2)="작지",LEFT($X264,4)="소재입고"),IF(LEFT($G264,1)="S","★ 납기위험(S코드)","◆ 지연주의"),IF($X264="정상","✓ 정상","? 확인필요")))</f>
        <v>? 확인필요</v>
      </c>
      <c r="Z264" s="28"/>
      <c r="AA264" s="34"/>
    </row>
    <row r="265" customFormat="false" ht="15" hidden="false" customHeight="false" outlineLevel="0" collapsed="false">
      <c r="A265" s="25" t="n">
        <v>261</v>
      </c>
      <c r="B265" s="26" t="s">
        <v>224</v>
      </c>
      <c r="C265" s="26" t="s">
        <v>225</v>
      </c>
      <c r="D265" s="27" t="s">
        <v>859</v>
      </c>
      <c r="E265" s="26" t="s">
        <v>860</v>
      </c>
      <c r="F265" s="27" t="s">
        <v>861</v>
      </c>
      <c r="G265" s="25" t="str">
        <f aca="false">IF($D265="","",IF(MID($D265,5,1)="S","S(봄)",IF(MID($D265,5,1)="M","M(여름)",IF(MID($D265,5,1)="X","X(사계절)",MID($D265,5,1)))))</f>
        <v>M(여름)</v>
      </c>
      <c r="H265" s="26" t="s">
        <v>79</v>
      </c>
      <c r="I265" s="25" t="s">
        <v>416</v>
      </c>
      <c r="J265" s="28" t="s">
        <v>805</v>
      </c>
      <c r="K265" s="29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9" t="n">
        <f aca="false">IF($K265="","",IF(AND($K265-기준정보!$C$5&gt;=기준정보!$C$10,$K265-기준정보!$C$5&lt;=기준정보!$C$11),기준정보!$C$10-1,$K265-기준정보!$C$5))</f>
        <v>46454</v>
      </c>
      <c r="M265" s="30" t="n">
        <f aca="false">IF($L265="","",IF(OR(ISNUMBER(SEARCH("중국",$U265)),ISNUMBER(SEARCH("베트남",$U265))),MAX(0,MIN($L265,기준정보!$C$9)-MAX($L265-기준정보!$C$6,기준정보!$C$8)+1),IF(ISNUMBER(SEARCH("한국",$U265)),MAX(0,MIN($L265,기준정보!$C$11)-MAX($L265-기준정보!$C$6,기준정보!$C$10)+1),0)))</f>
        <v>15</v>
      </c>
      <c r="N265" s="29" t="n">
        <f aca="false">IF($L265="","",$L265-기준정보!$C$6-$M265)</f>
        <v>46349</v>
      </c>
      <c r="O265" s="31" t="n">
        <f aca="false">IF($N265="","",$N265-기준정보!$C$4)</f>
        <v>107</v>
      </c>
      <c r="P265" s="28" t="s">
        <v>82</v>
      </c>
      <c r="Q265" s="28" t="s">
        <v>83</v>
      </c>
      <c r="R265" s="32"/>
      <c r="S265" s="27" t="str">
        <f aca="false">IF($H265="","",IF(AND(ISNUMBER(SEARCH("CMT",$H265)),OR(ISNUMBER(SEARCH("완사입",$H265)),ISNUMBER(SEARCH("ODM",$H265)))),"본사/생산처 혼재",IF(ISNUMBER(SEARCH("CMT",$H265)),"본사(소재팀)","생산처")))</f>
        <v>생산처</v>
      </c>
      <c r="T265" s="27" t="s">
        <v>149</v>
      </c>
      <c r="U265" s="26" t="s">
        <v>85</v>
      </c>
      <c r="V265" s="33" t="n">
        <v>7000</v>
      </c>
      <c r="W265" s="27" t="s">
        <v>805</v>
      </c>
      <c r="X265" s="27" t="str">
        <f aca="false">IF($K265="","출고일 미정",IF($P265="X","작지 미발행",IF($P265="부분","작지 일부 미발행",IF(AND($R265&lt;&gt;"",$R265&gt;$N265),"소재입고 마감("&amp;TEXT($N265,"MM/DD")&amp;") 초과",IF($P265="","발행여부 확인 필요",IF($R265="","소재 입고일정 확인 필요","정상"))))))</f>
        <v>소재 입고일정 확인 필요</v>
      </c>
      <c r="Y265" s="25" t="str">
        <f aca="false">IF($K265="","",IF(OR(LEFT($X265,2)="작지",LEFT($X265,4)="소재입고"),IF(LEFT($G265,1)="S","★ 납기위험(S코드)","◆ 지연주의"),IF($X265="정상","✓ 정상","? 확인필요")))</f>
        <v>? 확인필요</v>
      </c>
      <c r="Z265" s="28"/>
      <c r="AA265" s="34"/>
    </row>
    <row r="266" customFormat="false" ht="15" hidden="false" customHeight="false" outlineLevel="0" collapsed="false">
      <c r="A266" s="25" t="n">
        <v>262</v>
      </c>
      <c r="B266" s="26" t="s">
        <v>224</v>
      </c>
      <c r="C266" s="26" t="s">
        <v>225</v>
      </c>
      <c r="D266" s="27" t="s">
        <v>862</v>
      </c>
      <c r="E266" s="26" t="s">
        <v>863</v>
      </c>
      <c r="F266" s="27" t="s">
        <v>238</v>
      </c>
      <c r="G266" s="25" t="str">
        <f aca="false">IF($D266="","",IF(MID($D266,5,1)="S","S(봄)",IF(MID($D266,5,1)="M","M(여름)",IF(MID($D266,5,1)="X","X(사계절)",MID($D266,5,1)))))</f>
        <v>M(여름)</v>
      </c>
      <c r="H266" s="26" t="s">
        <v>79</v>
      </c>
      <c r="I266" s="25" t="s">
        <v>416</v>
      </c>
      <c r="J266" s="28" t="s">
        <v>805</v>
      </c>
      <c r="K266" s="29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9" t="n">
        <f aca="false">IF($K266="","",IF(AND($K266-기준정보!$C$5&gt;=기준정보!$C$10,$K266-기준정보!$C$5&lt;=기준정보!$C$11),기준정보!$C$10-1,$K266-기준정보!$C$5))</f>
        <v>46454</v>
      </c>
      <c r="M266" s="30" t="n">
        <f aca="false">IF($L266="","",IF(OR(ISNUMBER(SEARCH("중국",$U266)),ISNUMBER(SEARCH("베트남",$U266))),MAX(0,MIN($L266,기준정보!$C$9)-MAX($L266-기준정보!$C$6,기준정보!$C$8)+1),IF(ISNUMBER(SEARCH("한국",$U266)),MAX(0,MIN($L266,기준정보!$C$11)-MAX($L266-기준정보!$C$6,기준정보!$C$10)+1),0)))</f>
        <v>15</v>
      </c>
      <c r="N266" s="29" t="n">
        <f aca="false">IF($L266="","",$L266-기준정보!$C$6-$M266)</f>
        <v>46349</v>
      </c>
      <c r="O266" s="31" t="n">
        <f aca="false">IF($N266="","",$N266-기준정보!$C$4)</f>
        <v>107</v>
      </c>
      <c r="P266" s="28" t="s">
        <v>82</v>
      </c>
      <c r="Q266" s="28" t="s">
        <v>83</v>
      </c>
      <c r="R266" s="32"/>
      <c r="S266" s="27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T266" s="26" t="s">
        <v>239</v>
      </c>
      <c r="U266" s="26" t="s">
        <v>85</v>
      </c>
      <c r="V266" s="33" t="n">
        <v>3000</v>
      </c>
      <c r="W266" s="27"/>
      <c r="X266" s="27" t="str">
        <f aca="false">IF($K266="","출고일 미정",IF($P266="X","작지 미발행",IF($P266="부분","작지 일부 미발행",IF(AND($R266&lt;&gt;"",$R266&gt;$N266),"소재입고 마감("&amp;TEXT($N266,"MM/DD")&amp;") 초과",IF($P266="","발행여부 확인 필요",IF($R266="","소재 입고일정 확인 필요","정상"))))))</f>
        <v>소재 입고일정 확인 필요</v>
      </c>
      <c r="Y266" s="25" t="str">
        <f aca="false">IF($K266="","",IF(OR(LEFT($X266,2)="작지",LEFT($X266,4)="소재입고"),IF(LEFT($G266,1)="S","★ 납기위험(S코드)","◆ 지연주의"),IF($X266="정상","✓ 정상","? 확인필요")))</f>
        <v>? 확인필요</v>
      </c>
      <c r="Z266" s="28"/>
      <c r="AA266" s="34"/>
    </row>
    <row r="267" customFormat="false" ht="15" hidden="false" customHeight="false" outlineLevel="0" collapsed="false">
      <c r="A267" s="25" t="n">
        <v>263</v>
      </c>
      <c r="B267" s="26" t="s">
        <v>199</v>
      </c>
      <c r="C267" s="26" t="s">
        <v>435</v>
      </c>
      <c r="D267" s="27" t="s">
        <v>864</v>
      </c>
      <c r="E267" s="26" t="s">
        <v>865</v>
      </c>
      <c r="F267" s="27" t="s">
        <v>829</v>
      </c>
      <c r="G267" s="25" t="str">
        <f aca="false">IF($D267="","",IF(MID($D267,5,1)="S","S(봄)",IF(MID($D267,5,1)="M","M(여름)",IF(MID($D267,5,1)="X","X(사계절)",MID($D267,5,1)))))</f>
        <v>M(여름)</v>
      </c>
      <c r="H267" s="26" t="s">
        <v>79</v>
      </c>
      <c r="I267" s="25" t="s">
        <v>416</v>
      </c>
      <c r="J267" s="28" t="s">
        <v>805</v>
      </c>
      <c r="K267" s="29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9" t="n">
        <f aca="false">IF($K267="","",IF(AND($K267-기준정보!$C$5&gt;=기준정보!$C$10,$K267-기준정보!$C$5&lt;=기준정보!$C$11),기준정보!$C$10-1,$K267-기준정보!$C$5))</f>
        <v>46454</v>
      </c>
      <c r="M267" s="30" t="n">
        <f aca="false">IF($L267="","",IF(OR(ISNUMBER(SEARCH("중국",$U267)),ISNUMBER(SEARCH("베트남",$U267))),MAX(0,MIN($L267,기준정보!$C$9)-MAX($L267-기준정보!$C$6,기준정보!$C$8)+1),IF(ISNUMBER(SEARCH("한국",$U267)),MAX(0,MIN($L267,기준정보!$C$11)-MAX($L267-기준정보!$C$6,기준정보!$C$10)+1),0)))</f>
        <v>15</v>
      </c>
      <c r="N267" s="29" t="n">
        <f aca="false">IF($L267="","",$L267-기준정보!$C$6-$M267)</f>
        <v>46349</v>
      </c>
      <c r="O267" s="31" t="n">
        <f aca="false">IF($N267="","",$N267-기준정보!$C$4)</f>
        <v>107</v>
      </c>
      <c r="P267" s="28" t="s">
        <v>82</v>
      </c>
      <c r="Q267" s="28" t="s">
        <v>83</v>
      </c>
      <c r="R267" s="32"/>
      <c r="S267" s="27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T267" s="26" t="s">
        <v>311</v>
      </c>
      <c r="U267" s="26" t="s">
        <v>85</v>
      </c>
      <c r="V267" s="33" t="n">
        <v>1600</v>
      </c>
      <c r="W267" s="27" t="s">
        <v>805</v>
      </c>
      <c r="X267" s="27" t="str">
        <f aca="false">IF($K267="","출고일 미정",IF($P267="X","작지 미발행",IF($P267="부분","작지 일부 미발행",IF(AND($R267&lt;&gt;"",$R267&gt;$N267),"소재입고 마감("&amp;TEXT($N267,"MM/DD")&amp;") 초과",IF($P267="","발행여부 확인 필요",IF($R267="","소재 입고일정 확인 필요","정상"))))))</f>
        <v>소재 입고일정 확인 필요</v>
      </c>
      <c r="Y267" s="25" t="str">
        <f aca="false">IF($K267="","",IF(OR(LEFT($X267,2)="작지",LEFT($X267,4)="소재입고"),IF(LEFT($G267,1)="S","★ 납기위험(S코드)","◆ 지연주의"),IF($X267="정상","✓ 정상","? 확인필요")))</f>
        <v>? 확인필요</v>
      </c>
      <c r="Z267" s="28"/>
      <c r="AA267" s="34"/>
    </row>
    <row r="268" customFormat="false" ht="15" hidden="false" customHeight="false" outlineLevel="0" collapsed="false">
      <c r="A268" s="25" t="n">
        <v>264</v>
      </c>
      <c r="B268" s="26" t="s">
        <v>199</v>
      </c>
      <c r="C268" s="26" t="s">
        <v>435</v>
      </c>
      <c r="D268" s="27" t="s">
        <v>866</v>
      </c>
      <c r="E268" s="26" t="s">
        <v>867</v>
      </c>
      <c r="F268" s="27" t="s">
        <v>868</v>
      </c>
      <c r="G268" s="25" t="str">
        <f aca="false">IF($D268="","",IF(MID($D268,5,1)="S","S(봄)",IF(MID($D268,5,1)="M","M(여름)",IF(MID($D268,5,1)="X","X(사계절)",MID($D268,5,1)))))</f>
        <v>M(여름)</v>
      </c>
      <c r="H268" s="26" t="s">
        <v>79</v>
      </c>
      <c r="I268" s="25" t="s">
        <v>416</v>
      </c>
      <c r="J268" s="28" t="s">
        <v>805</v>
      </c>
      <c r="K268" s="29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9" t="n">
        <f aca="false">IF($K268="","",IF(AND($K268-기준정보!$C$5&gt;=기준정보!$C$10,$K268-기준정보!$C$5&lt;=기준정보!$C$11),기준정보!$C$10-1,$K268-기준정보!$C$5))</f>
        <v>46454</v>
      </c>
      <c r="M268" s="30" t="n">
        <f aca="false">IF($L268="","",IF(OR(ISNUMBER(SEARCH("중국",$U268)),ISNUMBER(SEARCH("베트남",$U268))),MAX(0,MIN($L268,기준정보!$C$9)-MAX($L268-기준정보!$C$6,기준정보!$C$8)+1),IF(ISNUMBER(SEARCH("한국",$U268)),MAX(0,MIN($L268,기준정보!$C$11)-MAX($L268-기준정보!$C$6,기준정보!$C$10)+1),0)))</f>
        <v>0</v>
      </c>
      <c r="N268" s="29" t="n">
        <f aca="false">IF($L268="","",$L268-기준정보!$C$6-$M268)</f>
        <v>46364</v>
      </c>
      <c r="O268" s="31" t="n">
        <f aca="false">IF($N268="","",$N268-기준정보!$C$4)</f>
        <v>122</v>
      </c>
      <c r="P268" s="28" t="s">
        <v>82</v>
      </c>
      <c r="Q268" s="28" t="s">
        <v>83</v>
      </c>
      <c r="R268" s="32"/>
      <c r="S268" s="27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T268" s="27" t="s">
        <v>243</v>
      </c>
      <c r="U268" s="26" t="s">
        <v>90</v>
      </c>
      <c r="V268" s="33" t="n">
        <v>1200</v>
      </c>
      <c r="W268" s="27" t="s">
        <v>805</v>
      </c>
      <c r="X268" s="27" t="str">
        <f aca="false">IF($K268="","출고일 미정",IF($P268="X","작지 미발행",IF($P268="부분","작지 일부 미발행",IF(AND($R268&lt;&gt;"",$R268&gt;$N268),"소재입고 마감("&amp;TEXT($N268,"MM/DD")&amp;") 초과",IF($P268="","발행여부 확인 필요",IF($R268="","소재 입고일정 확인 필요","정상"))))))</f>
        <v>소재 입고일정 확인 필요</v>
      </c>
      <c r="Y268" s="25" t="str">
        <f aca="false">IF($K268="","",IF(OR(LEFT($X268,2)="작지",LEFT($X268,4)="소재입고"),IF(LEFT($G268,1)="S","★ 납기위험(S코드)","◆ 지연주의"),IF($X268="정상","✓ 정상","? 확인필요")))</f>
        <v>? 확인필요</v>
      </c>
      <c r="Z268" s="28"/>
      <c r="AA268" s="34"/>
    </row>
    <row r="269" customFormat="false" ht="15" hidden="false" customHeight="false" outlineLevel="0" collapsed="false">
      <c r="A269" s="25" t="n">
        <v>265</v>
      </c>
      <c r="B269" s="26" t="s">
        <v>220</v>
      </c>
      <c r="C269" s="26" t="s">
        <v>225</v>
      </c>
      <c r="D269" s="27" t="s">
        <v>869</v>
      </c>
      <c r="E269" s="26" t="s">
        <v>554</v>
      </c>
      <c r="F269" s="27" t="s">
        <v>870</v>
      </c>
      <c r="G269" s="25" t="str">
        <f aca="false">IF($D269="","",IF(MID($D269,5,1)="S","S(봄)",IF(MID($D269,5,1)="M","M(여름)",IF(MID($D269,5,1)="X","X(사계절)",MID($D269,5,1)))))</f>
        <v>M(여름)</v>
      </c>
      <c r="H269" s="26" t="s">
        <v>79</v>
      </c>
      <c r="I269" s="25"/>
      <c r="J269" s="28" t="s">
        <v>805</v>
      </c>
      <c r="K269" s="29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9" t="n">
        <f aca="false">IF($K269="","",IF(AND($K269-기준정보!$C$5&gt;=기준정보!$C$10,$K269-기준정보!$C$5&lt;=기준정보!$C$11),기준정보!$C$10-1,$K269-기준정보!$C$5))</f>
        <v>46454</v>
      </c>
      <c r="M269" s="30" t="n">
        <f aca="false">IF($L269="","",IF(OR(ISNUMBER(SEARCH("중국",$U269)),ISNUMBER(SEARCH("베트남",$U269))),MAX(0,MIN($L269,기준정보!$C$9)-MAX($L269-기준정보!$C$6,기준정보!$C$8)+1),IF(ISNUMBER(SEARCH("한국",$U269)),MAX(0,MIN($L269,기준정보!$C$11)-MAX($L269-기준정보!$C$6,기준정보!$C$10)+1),0)))</f>
        <v>0</v>
      </c>
      <c r="N269" s="29" t="n">
        <f aca="false">IF($L269="","",$L269-기준정보!$C$6-$M269)</f>
        <v>46364</v>
      </c>
      <c r="O269" s="31" t="n">
        <f aca="false">IF($N269="","",$N269-기준정보!$C$4)</f>
        <v>122</v>
      </c>
      <c r="P269" s="28" t="s">
        <v>82</v>
      </c>
      <c r="Q269" s="28" t="s">
        <v>83</v>
      </c>
      <c r="R269" s="32"/>
      <c r="S269" s="27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T269" s="27" t="s">
        <v>243</v>
      </c>
      <c r="U269" s="26" t="s">
        <v>90</v>
      </c>
      <c r="V269" s="33" t="n">
        <v>35000</v>
      </c>
      <c r="W269" s="27" t="s">
        <v>805</v>
      </c>
      <c r="X269" s="27" t="str">
        <f aca="false">IF($K269="","출고일 미정",IF($P269="X","작지 미발행",IF($P269="부분","작지 일부 미발행",IF(AND($R269&lt;&gt;"",$R269&gt;$N269),"소재입고 마감("&amp;TEXT($N269,"MM/DD")&amp;") 초과",IF($P269="","발행여부 확인 필요",IF($R269="","소재 입고일정 확인 필요","정상"))))))</f>
        <v>소재 입고일정 확인 필요</v>
      </c>
      <c r="Y269" s="25" t="str">
        <f aca="false">IF($K269="","",IF(OR(LEFT($X269,2)="작지",LEFT($X269,4)="소재입고"),IF(LEFT($G269,1)="S","★ 납기위험(S코드)","◆ 지연주의"),IF($X269="정상","✓ 정상","? 확인필요")))</f>
        <v>? 확인필요</v>
      </c>
      <c r="Z269" s="28"/>
      <c r="AA269" s="34"/>
    </row>
    <row r="270" customFormat="false" ht="15" hidden="false" customHeight="false" outlineLevel="0" collapsed="false">
      <c r="A270" s="25" t="n">
        <v>266</v>
      </c>
      <c r="B270" s="26" t="s">
        <v>220</v>
      </c>
      <c r="C270" s="26" t="s">
        <v>205</v>
      </c>
      <c r="D270" s="27" t="s">
        <v>871</v>
      </c>
      <c r="E270" s="26" t="s">
        <v>872</v>
      </c>
      <c r="F270" s="27" t="s">
        <v>873</v>
      </c>
      <c r="G270" s="25" t="str">
        <f aca="false">IF($D270="","",IF(MID($D270,5,1)="S","S(봄)",IF(MID($D270,5,1)="M","M(여름)",IF(MID($D270,5,1)="X","X(사계절)",MID($D270,5,1)))))</f>
        <v>M(여름)</v>
      </c>
      <c r="H270" s="26" t="s">
        <v>79</v>
      </c>
      <c r="I270" s="25"/>
      <c r="J270" s="28" t="s">
        <v>805</v>
      </c>
      <c r="K270" s="29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9" t="n">
        <f aca="false">IF($K270="","",IF(AND($K270-기준정보!$C$5&gt;=기준정보!$C$10,$K270-기준정보!$C$5&lt;=기준정보!$C$11),기준정보!$C$10-1,$K270-기준정보!$C$5))</f>
        <v>46454</v>
      </c>
      <c r="M270" s="30" t="n">
        <f aca="false">IF($L270="","",IF(OR(ISNUMBER(SEARCH("중국",$U270)),ISNUMBER(SEARCH("베트남",$U270))),MAX(0,MIN($L270,기준정보!$C$9)-MAX($L270-기준정보!$C$6,기준정보!$C$8)+1),IF(ISNUMBER(SEARCH("한국",$U270)),MAX(0,MIN($L270,기준정보!$C$11)-MAX($L270-기준정보!$C$6,기준정보!$C$10)+1),0)))</f>
        <v>0</v>
      </c>
      <c r="N270" s="29" t="n">
        <f aca="false">IF($L270="","",$L270-기준정보!$C$6-$M270)</f>
        <v>46364</v>
      </c>
      <c r="O270" s="31" t="n">
        <f aca="false">IF($N270="","",$N270-기준정보!$C$4)</f>
        <v>122</v>
      </c>
      <c r="P270" s="28" t="s">
        <v>82</v>
      </c>
      <c r="Q270" s="28" t="s">
        <v>83</v>
      </c>
      <c r="R270" s="32"/>
      <c r="S270" s="27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T270" s="27" t="s">
        <v>243</v>
      </c>
      <c r="U270" s="26" t="s">
        <v>90</v>
      </c>
      <c r="V270" s="33" t="n">
        <v>3500</v>
      </c>
      <c r="W270" s="27" t="s">
        <v>805</v>
      </c>
      <c r="X270" s="27" t="str">
        <f aca="false">IF($K270="","출고일 미정",IF($P270="X","작지 미발행",IF($P270="부분","작지 일부 미발행",IF(AND($R270&lt;&gt;"",$R270&gt;$N270),"소재입고 마감("&amp;TEXT($N270,"MM/DD")&amp;") 초과",IF($P270="","발행여부 확인 필요",IF($R270="","소재 입고일정 확인 필요","정상"))))))</f>
        <v>소재 입고일정 확인 필요</v>
      </c>
      <c r="Y270" s="25" t="str">
        <f aca="false">IF($K270="","",IF(OR(LEFT($X270,2)="작지",LEFT($X270,4)="소재입고"),IF(LEFT($G270,1)="S","★ 납기위험(S코드)","◆ 지연주의"),IF($X270="정상","✓ 정상","? 확인필요")))</f>
        <v>? 확인필요</v>
      </c>
      <c r="Z270" s="28"/>
      <c r="AA270" s="34"/>
    </row>
    <row r="271" customFormat="false" ht="15" hidden="false" customHeight="false" outlineLevel="0" collapsed="false">
      <c r="A271" s="25" t="n">
        <v>267</v>
      </c>
      <c r="B271" s="26" t="s">
        <v>220</v>
      </c>
      <c r="C271" s="26" t="s">
        <v>225</v>
      </c>
      <c r="D271" s="27" t="s">
        <v>874</v>
      </c>
      <c r="E271" s="26" t="s">
        <v>875</v>
      </c>
      <c r="F271" s="27" t="s">
        <v>669</v>
      </c>
      <c r="G271" s="25" t="str">
        <f aca="false">IF($D271="","",IF(MID($D271,5,1)="S","S(봄)",IF(MID($D271,5,1)="M","M(여름)",IF(MID($D271,5,1)="X","X(사계절)",MID($D271,5,1)))))</f>
        <v>M(여름)</v>
      </c>
      <c r="H271" s="26" t="s">
        <v>79</v>
      </c>
      <c r="I271" s="25"/>
      <c r="J271" s="28" t="s">
        <v>805</v>
      </c>
      <c r="K271" s="29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9" t="n">
        <f aca="false">IF($K271="","",IF(AND($K271-기준정보!$C$5&gt;=기준정보!$C$10,$K271-기준정보!$C$5&lt;=기준정보!$C$11),기준정보!$C$10-1,$K271-기준정보!$C$5))</f>
        <v>46454</v>
      </c>
      <c r="M271" s="30" t="n">
        <f aca="false">IF($L271="","",IF(OR(ISNUMBER(SEARCH("중국",$U271)),ISNUMBER(SEARCH("베트남",$U271))),MAX(0,MIN($L271,기준정보!$C$9)-MAX($L271-기준정보!$C$6,기준정보!$C$8)+1),IF(ISNUMBER(SEARCH("한국",$U271)),MAX(0,MIN($L271,기준정보!$C$11)-MAX($L271-기준정보!$C$6,기준정보!$C$10)+1),0)))</f>
        <v>0</v>
      </c>
      <c r="N271" s="29" t="n">
        <f aca="false">IF($L271="","",$L271-기준정보!$C$6-$M271)</f>
        <v>46364</v>
      </c>
      <c r="O271" s="31" t="n">
        <f aca="false">IF($N271="","",$N271-기준정보!$C$4)</f>
        <v>122</v>
      </c>
      <c r="P271" s="28" t="s">
        <v>82</v>
      </c>
      <c r="Q271" s="28" t="s">
        <v>83</v>
      </c>
      <c r="R271" s="32"/>
      <c r="S271" s="27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T271" s="27" t="s">
        <v>243</v>
      </c>
      <c r="U271" s="26" t="s">
        <v>90</v>
      </c>
      <c r="V271" s="33" t="n">
        <v>3000</v>
      </c>
      <c r="W271" s="27" t="s">
        <v>805</v>
      </c>
      <c r="X271" s="27" t="str">
        <f aca="false">IF($K271="","출고일 미정",IF($P271="X","작지 미발행",IF($P271="부분","작지 일부 미발행",IF(AND($R271&lt;&gt;"",$R271&gt;$N271),"소재입고 마감("&amp;TEXT($N271,"MM/DD")&amp;") 초과",IF($P271="","발행여부 확인 필요",IF($R271="","소재 입고일정 확인 필요","정상"))))))</f>
        <v>소재 입고일정 확인 필요</v>
      </c>
      <c r="Y271" s="25" t="str">
        <f aca="false">IF($K271="","",IF(OR(LEFT($X271,2)="작지",LEFT($X271,4)="소재입고"),IF(LEFT($G271,1)="S","★ 납기위험(S코드)","◆ 지연주의"),IF($X271="정상","✓ 정상","? 확인필요")))</f>
        <v>? 확인필요</v>
      </c>
      <c r="Z271" s="28"/>
      <c r="AA271" s="34"/>
    </row>
    <row r="272" customFormat="false" ht="15" hidden="false" customHeight="false" outlineLevel="0" collapsed="false">
      <c r="A272" s="25" t="n">
        <v>268</v>
      </c>
      <c r="B272" s="26" t="s">
        <v>220</v>
      </c>
      <c r="C272" s="26" t="s">
        <v>205</v>
      </c>
      <c r="D272" s="27" t="s">
        <v>876</v>
      </c>
      <c r="E272" s="26" t="s">
        <v>558</v>
      </c>
      <c r="F272" s="27" t="s">
        <v>556</v>
      </c>
      <c r="G272" s="25" t="str">
        <f aca="false">IF($D272="","",IF(MID($D272,5,1)="S","S(봄)",IF(MID($D272,5,1)="M","M(여름)",IF(MID($D272,5,1)="X","X(사계절)",MID($D272,5,1)))))</f>
        <v>M(여름)</v>
      </c>
      <c r="H272" s="26" t="s">
        <v>79</v>
      </c>
      <c r="I272" s="25"/>
      <c r="J272" s="28" t="s">
        <v>805</v>
      </c>
      <c r="K272" s="29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9" t="n">
        <f aca="false">IF($K272="","",IF(AND($K272-기준정보!$C$5&gt;=기준정보!$C$10,$K272-기준정보!$C$5&lt;=기준정보!$C$11),기준정보!$C$10-1,$K272-기준정보!$C$5))</f>
        <v>46454</v>
      </c>
      <c r="M272" s="30" t="n">
        <f aca="false">IF($L272="","",IF(OR(ISNUMBER(SEARCH("중국",$U272)),ISNUMBER(SEARCH("베트남",$U272))),MAX(0,MIN($L272,기준정보!$C$9)-MAX($L272-기준정보!$C$6,기준정보!$C$8)+1),IF(ISNUMBER(SEARCH("한국",$U272)),MAX(0,MIN($L272,기준정보!$C$11)-MAX($L272-기준정보!$C$6,기준정보!$C$10)+1),0)))</f>
        <v>0</v>
      </c>
      <c r="N272" s="29" t="n">
        <f aca="false">IF($L272="","",$L272-기준정보!$C$6-$M272)</f>
        <v>46364</v>
      </c>
      <c r="O272" s="31" t="n">
        <f aca="false">IF($N272="","",$N272-기준정보!$C$4)</f>
        <v>122</v>
      </c>
      <c r="P272" s="28" t="s">
        <v>82</v>
      </c>
      <c r="Q272" s="28" t="s">
        <v>83</v>
      </c>
      <c r="R272" s="32"/>
      <c r="S272" s="27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T272" s="27" t="s">
        <v>243</v>
      </c>
      <c r="U272" s="26" t="s">
        <v>90</v>
      </c>
      <c r="V272" s="33" t="n">
        <v>2000</v>
      </c>
      <c r="W272" s="27" t="s">
        <v>805</v>
      </c>
      <c r="X272" s="27" t="str">
        <f aca="false">IF($K272="","출고일 미정",IF($P272="X","작지 미발행",IF($P272="부분","작지 일부 미발행",IF(AND($R272&lt;&gt;"",$R272&gt;$N272),"소재입고 마감("&amp;TEXT($N272,"MM/DD")&amp;") 초과",IF($P272="","발행여부 확인 필요",IF($R272="","소재 입고일정 확인 필요","정상"))))))</f>
        <v>소재 입고일정 확인 필요</v>
      </c>
      <c r="Y272" s="25" t="str">
        <f aca="false">IF($K272="","",IF(OR(LEFT($X272,2)="작지",LEFT($X272,4)="소재입고"),IF(LEFT($G272,1)="S","★ 납기위험(S코드)","◆ 지연주의"),IF($X272="정상","✓ 정상","? 확인필요")))</f>
        <v>? 확인필요</v>
      </c>
      <c r="Z272" s="28"/>
      <c r="AA272" s="34"/>
    </row>
    <row r="273" customFormat="false" ht="15" hidden="false" customHeight="false" outlineLevel="0" collapsed="false">
      <c r="A273" s="25" t="n">
        <v>269</v>
      </c>
      <c r="B273" s="26" t="s">
        <v>220</v>
      </c>
      <c r="C273" s="26" t="s">
        <v>225</v>
      </c>
      <c r="D273" s="27" t="s">
        <v>877</v>
      </c>
      <c r="E273" s="26" t="s">
        <v>878</v>
      </c>
      <c r="F273" s="27" t="s">
        <v>879</v>
      </c>
      <c r="G273" s="25" t="str">
        <f aca="false">IF($D273="","",IF(MID($D273,5,1)="S","S(봄)",IF(MID($D273,5,1)="M","M(여름)",IF(MID($D273,5,1)="X","X(사계절)",MID($D273,5,1)))))</f>
        <v>M(여름)</v>
      </c>
      <c r="H273" s="26" t="s">
        <v>79</v>
      </c>
      <c r="I273" s="25"/>
      <c r="J273" s="28" t="s">
        <v>805</v>
      </c>
      <c r="K273" s="29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9" t="n">
        <f aca="false">IF($K273="","",IF(AND($K273-기준정보!$C$5&gt;=기준정보!$C$10,$K273-기준정보!$C$5&lt;=기준정보!$C$11),기준정보!$C$10-1,$K273-기준정보!$C$5))</f>
        <v>46454</v>
      </c>
      <c r="M273" s="30" t="n">
        <f aca="false">IF($L273="","",IF(OR(ISNUMBER(SEARCH("중국",$U273)),ISNUMBER(SEARCH("베트남",$U273))),MAX(0,MIN($L273,기준정보!$C$9)-MAX($L273-기준정보!$C$6,기준정보!$C$8)+1),IF(ISNUMBER(SEARCH("한국",$U273)),MAX(0,MIN($L273,기준정보!$C$11)-MAX($L273-기준정보!$C$6,기준정보!$C$10)+1),0)))</f>
        <v>15</v>
      </c>
      <c r="N273" s="29" t="n">
        <f aca="false">IF($L273="","",$L273-기준정보!$C$6-$M273)</f>
        <v>46349</v>
      </c>
      <c r="O273" s="31" t="n">
        <f aca="false">IF($N273="","",$N273-기준정보!$C$4)</f>
        <v>107</v>
      </c>
      <c r="P273" s="28" t="s">
        <v>82</v>
      </c>
      <c r="Q273" s="28" t="s">
        <v>83</v>
      </c>
      <c r="R273" s="32"/>
      <c r="S273" s="27" t="str">
        <f aca="false">IF($H273="","",IF(AND(ISNUMBER(SEARCH("CMT",$H273)),OR(ISNUMBER(SEARCH("완사입",$H273)),ISNUMBER(SEARCH("ODM",$H273)))),"본사/생산처 혼재",IF(ISNUMBER(SEARCH("CMT",$H273)),"본사(소재팀)","생산처")))</f>
        <v>생산처</v>
      </c>
      <c r="T273" s="26" t="s">
        <v>311</v>
      </c>
      <c r="U273" s="26" t="s">
        <v>85</v>
      </c>
      <c r="V273" s="33" t="n">
        <v>2800</v>
      </c>
      <c r="W273" s="27" t="s">
        <v>491</v>
      </c>
      <c r="X273" s="27" t="str">
        <f aca="false">IF($K273="","출고일 미정",IF($P273="X","작지 미발행",IF($P273="부분","작지 일부 미발행",IF(AND($R273&lt;&gt;"",$R273&gt;$N273),"소재입고 마감("&amp;TEXT($N273,"MM/DD")&amp;") 초과",IF($P273="","발행여부 확인 필요",IF($R273="","소재 입고일정 확인 필요","정상"))))))</f>
        <v>소재 입고일정 확인 필요</v>
      </c>
      <c r="Y273" s="25" t="str">
        <f aca="false">IF($K273="","",IF(OR(LEFT($X273,2)="작지",LEFT($X273,4)="소재입고"),IF(LEFT($G273,1)="S","★ 납기위험(S코드)","◆ 지연주의"),IF($X273="정상","✓ 정상","? 확인필요")))</f>
        <v>? 확인필요</v>
      </c>
      <c r="Z273" s="28"/>
      <c r="AA273" s="34"/>
    </row>
    <row r="274" customFormat="false" ht="15" hidden="false" customHeight="false" outlineLevel="0" collapsed="false">
      <c r="A274" s="25" t="n">
        <v>270</v>
      </c>
      <c r="B274" s="26" t="s">
        <v>220</v>
      </c>
      <c r="C274" s="26" t="s">
        <v>225</v>
      </c>
      <c r="D274" s="27" t="s">
        <v>880</v>
      </c>
      <c r="E274" s="26" t="s">
        <v>881</v>
      </c>
      <c r="F274" s="27" t="s">
        <v>669</v>
      </c>
      <c r="G274" s="25" t="str">
        <f aca="false">IF($D274="","",IF(MID($D274,5,1)="S","S(봄)",IF(MID($D274,5,1)="M","M(여름)",IF(MID($D274,5,1)="X","X(사계절)",MID($D274,5,1)))))</f>
        <v>M(여름)</v>
      </c>
      <c r="H274" s="26" t="s">
        <v>79</v>
      </c>
      <c r="I274" s="25"/>
      <c r="J274" s="28" t="s">
        <v>805</v>
      </c>
      <c r="K274" s="29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9" t="n">
        <f aca="false">IF($K274="","",IF(AND($K274-기준정보!$C$5&gt;=기준정보!$C$10,$K274-기준정보!$C$5&lt;=기준정보!$C$11),기준정보!$C$10-1,$K274-기준정보!$C$5))</f>
        <v>46454</v>
      </c>
      <c r="M274" s="30" t="n">
        <f aca="false">IF($L274="","",IF(OR(ISNUMBER(SEARCH("중국",$U274)),ISNUMBER(SEARCH("베트남",$U274))),MAX(0,MIN($L274,기준정보!$C$9)-MAX($L274-기준정보!$C$6,기준정보!$C$8)+1),IF(ISNUMBER(SEARCH("한국",$U274)),MAX(0,MIN($L274,기준정보!$C$11)-MAX($L274-기준정보!$C$6,기준정보!$C$10)+1),0)))</f>
        <v>15</v>
      </c>
      <c r="N274" s="29" t="n">
        <f aca="false">IF($L274="","",$L274-기준정보!$C$6-$M274)</f>
        <v>46349</v>
      </c>
      <c r="O274" s="31" t="n">
        <f aca="false">IF($N274="","",$N274-기준정보!$C$4)</f>
        <v>107</v>
      </c>
      <c r="P274" s="28" t="s">
        <v>82</v>
      </c>
      <c r="Q274" s="28" t="s">
        <v>83</v>
      </c>
      <c r="R274" s="32"/>
      <c r="S274" s="27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T274" s="26" t="s">
        <v>311</v>
      </c>
      <c r="U274" s="26" t="s">
        <v>85</v>
      </c>
      <c r="V274" s="33" t="n">
        <v>14000</v>
      </c>
      <c r="W274" s="27"/>
      <c r="X274" s="27" t="str">
        <f aca="false">IF($K274="","출고일 미정",IF($P274="X","작지 미발행",IF($P274="부분","작지 일부 미발행",IF(AND($R274&lt;&gt;"",$R274&gt;$N274),"소재입고 마감("&amp;TEXT($N274,"MM/DD")&amp;") 초과",IF($P274="","발행여부 확인 필요",IF($R274="","소재 입고일정 확인 필요","정상"))))))</f>
        <v>소재 입고일정 확인 필요</v>
      </c>
      <c r="Y274" s="25" t="str">
        <f aca="false">IF($K274="","",IF(OR(LEFT($X274,2)="작지",LEFT($X274,4)="소재입고"),IF(LEFT($G274,1)="S","★ 납기위험(S코드)","◆ 지연주의"),IF($X274="정상","✓ 정상","? 확인필요")))</f>
        <v>? 확인필요</v>
      </c>
      <c r="Z274" s="28"/>
      <c r="AA274" s="34"/>
    </row>
    <row r="275" customFormat="false" ht="15" hidden="false" customHeight="false" outlineLevel="0" collapsed="false">
      <c r="A275" s="25" t="n">
        <v>271</v>
      </c>
      <c r="B275" s="26" t="s">
        <v>220</v>
      </c>
      <c r="C275" s="26" t="s">
        <v>225</v>
      </c>
      <c r="D275" s="27" t="s">
        <v>882</v>
      </c>
      <c r="E275" s="26" t="s">
        <v>883</v>
      </c>
      <c r="F275" s="27" t="s">
        <v>669</v>
      </c>
      <c r="G275" s="25" t="str">
        <f aca="false">IF($D275="","",IF(MID($D275,5,1)="S","S(봄)",IF(MID($D275,5,1)="M","M(여름)",IF(MID($D275,5,1)="X","X(사계절)",MID($D275,5,1)))))</f>
        <v>M(여름)</v>
      </c>
      <c r="H275" s="26" t="s">
        <v>79</v>
      </c>
      <c r="I275" s="25"/>
      <c r="J275" s="28" t="s">
        <v>805</v>
      </c>
      <c r="K275" s="29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9" t="n">
        <f aca="false">IF($K275="","",IF(AND($K275-기준정보!$C$5&gt;=기준정보!$C$10,$K275-기준정보!$C$5&lt;=기준정보!$C$11),기준정보!$C$10-1,$K275-기준정보!$C$5))</f>
        <v>46454</v>
      </c>
      <c r="M275" s="30" t="n">
        <f aca="false">IF($L275="","",IF(OR(ISNUMBER(SEARCH("중국",$U275)),ISNUMBER(SEARCH("베트남",$U275))),MAX(0,MIN($L275,기준정보!$C$9)-MAX($L275-기준정보!$C$6,기준정보!$C$8)+1),IF(ISNUMBER(SEARCH("한국",$U275)),MAX(0,MIN($L275,기준정보!$C$11)-MAX($L275-기준정보!$C$6,기준정보!$C$10)+1),0)))</f>
        <v>15</v>
      </c>
      <c r="N275" s="29" t="n">
        <f aca="false">IF($L275="","",$L275-기준정보!$C$6-$M275)</f>
        <v>46349</v>
      </c>
      <c r="O275" s="31" t="n">
        <f aca="false">IF($N275="","",$N275-기준정보!$C$4)</f>
        <v>107</v>
      </c>
      <c r="P275" s="28" t="s">
        <v>82</v>
      </c>
      <c r="Q275" s="28" t="s">
        <v>83</v>
      </c>
      <c r="R275" s="32"/>
      <c r="S275" s="27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T275" s="26" t="s">
        <v>106</v>
      </c>
      <c r="U275" s="26" t="s">
        <v>85</v>
      </c>
      <c r="V275" s="33" t="n">
        <v>4000</v>
      </c>
      <c r="W275" s="27"/>
      <c r="X275" s="27" t="str">
        <f aca="false">IF($K275="","출고일 미정",IF($P275="X","작지 미발행",IF($P275="부분","작지 일부 미발행",IF(AND($R275&lt;&gt;"",$R275&gt;$N275),"소재입고 마감("&amp;TEXT($N275,"MM/DD")&amp;") 초과",IF($P275="","발행여부 확인 필요",IF($R275="","소재 입고일정 확인 필요","정상"))))))</f>
        <v>소재 입고일정 확인 필요</v>
      </c>
      <c r="Y275" s="25" t="str">
        <f aca="false">IF($K275="","",IF(OR(LEFT($X275,2)="작지",LEFT($X275,4)="소재입고"),IF(LEFT($G275,1)="S","★ 납기위험(S코드)","◆ 지연주의"),IF($X275="정상","✓ 정상","? 확인필요")))</f>
        <v>? 확인필요</v>
      </c>
      <c r="Z275" s="28"/>
      <c r="AA275" s="34"/>
    </row>
    <row r="276" customFormat="false" ht="15" hidden="false" customHeight="false" outlineLevel="0" collapsed="false">
      <c r="A276" s="25" t="n">
        <v>272</v>
      </c>
      <c r="B276" s="26" t="s">
        <v>220</v>
      </c>
      <c r="C276" s="26" t="s">
        <v>225</v>
      </c>
      <c r="D276" s="27" t="s">
        <v>884</v>
      </c>
      <c r="E276" s="26" t="s">
        <v>885</v>
      </c>
      <c r="F276" s="27" t="s">
        <v>238</v>
      </c>
      <c r="G276" s="25" t="str">
        <f aca="false">IF($D276="","",IF(MID($D276,5,1)="S","S(봄)",IF(MID($D276,5,1)="M","M(여름)",IF(MID($D276,5,1)="X","X(사계절)",MID($D276,5,1)))))</f>
        <v>M(여름)</v>
      </c>
      <c r="H276" s="26" t="s">
        <v>79</v>
      </c>
      <c r="I276" s="25"/>
      <c r="J276" s="28" t="s">
        <v>805</v>
      </c>
      <c r="K276" s="29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9" t="n">
        <f aca="false">IF($K276="","",IF(AND($K276-기준정보!$C$5&gt;=기준정보!$C$10,$K276-기준정보!$C$5&lt;=기준정보!$C$11),기준정보!$C$10-1,$K276-기준정보!$C$5))</f>
        <v>46454</v>
      </c>
      <c r="M276" s="30" t="n">
        <f aca="false">IF($L276="","",IF(OR(ISNUMBER(SEARCH("중국",$U276)),ISNUMBER(SEARCH("베트남",$U276))),MAX(0,MIN($L276,기준정보!$C$9)-MAX($L276-기준정보!$C$6,기준정보!$C$8)+1),IF(ISNUMBER(SEARCH("한국",$U276)),MAX(0,MIN($L276,기준정보!$C$11)-MAX($L276-기준정보!$C$6,기준정보!$C$10)+1),0)))</f>
        <v>15</v>
      </c>
      <c r="N276" s="29" t="n">
        <f aca="false">IF($L276="","",$L276-기준정보!$C$6-$M276)</f>
        <v>46349</v>
      </c>
      <c r="O276" s="31" t="n">
        <f aca="false">IF($N276="","",$N276-기준정보!$C$4)</f>
        <v>107</v>
      </c>
      <c r="P276" s="28" t="s">
        <v>82</v>
      </c>
      <c r="Q276" s="28" t="s">
        <v>83</v>
      </c>
      <c r="R276" s="32"/>
      <c r="S276" s="27" t="str">
        <f aca="false">IF($H276="","",IF(AND(ISNUMBER(SEARCH("CMT",$H276)),OR(ISNUMBER(SEARCH("완사입",$H276)),ISNUMBER(SEARCH("ODM",$H276)))),"본사/생산처 혼재",IF(ISNUMBER(SEARCH("CMT",$H276)),"본사(소재팀)","생산처")))</f>
        <v>생산처</v>
      </c>
      <c r="T276" s="26" t="s">
        <v>106</v>
      </c>
      <c r="U276" s="26" t="s">
        <v>85</v>
      </c>
      <c r="V276" s="33" t="n">
        <v>5000</v>
      </c>
      <c r="W276" s="27"/>
      <c r="X276" s="27" t="str">
        <f aca="false">IF($K276="","출고일 미정",IF($P276="X","작지 미발행",IF($P276="부분","작지 일부 미발행",IF(AND($R276&lt;&gt;"",$R276&gt;$N276),"소재입고 마감("&amp;TEXT($N276,"MM/DD")&amp;") 초과",IF($P276="","발행여부 확인 필요",IF($R276="","소재 입고일정 확인 필요","정상"))))))</f>
        <v>소재 입고일정 확인 필요</v>
      </c>
      <c r="Y276" s="25" t="str">
        <f aca="false">IF($K276="","",IF(OR(LEFT($X276,2)="작지",LEFT($X276,4)="소재입고"),IF(LEFT($G276,1)="S","★ 납기위험(S코드)","◆ 지연주의"),IF($X276="정상","✓ 정상","? 확인필요")))</f>
        <v>? 확인필요</v>
      </c>
      <c r="Z276" s="28"/>
      <c r="AA276" s="34"/>
    </row>
    <row r="277" customFormat="false" ht="15" hidden="false" customHeight="false" outlineLevel="0" collapsed="false">
      <c r="A277" s="25" t="n">
        <v>273</v>
      </c>
      <c r="B277" s="26" t="s">
        <v>199</v>
      </c>
      <c r="C277" s="26" t="s">
        <v>435</v>
      </c>
      <c r="D277" s="27" t="s">
        <v>886</v>
      </c>
      <c r="E277" s="26" t="s">
        <v>887</v>
      </c>
      <c r="F277" s="27" t="s">
        <v>888</v>
      </c>
      <c r="G277" s="25" t="str">
        <f aca="false">IF($D277="","",IF(MID($D277,5,1)="S","S(봄)",IF(MID($D277,5,1)="M","M(여름)",IF(MID($D277,5,1)="X","X(사계절)",MID($D277,5,1)))))</f>
        <v>M(여름)</v>
      </c>
      <c r="H277" s="26" t="s">
        <v>79</v>
      </c>
      <c r="I277" s="25" t="s">
        <v>416</v>
      </c>
      <c r="J277" s="28" t="s">
        <v>805</v>
      </c>
      <c r="K277" s="29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9" t="n">
        <f aca="false">IF($K277="","",IF(AND($K277-기준정보!$C$5&gt;=기준정보!$C$10,$K277-기준정보!$C$5&lt;=기준정보!$C$11),기준정보!$C$10-1,$K277-기준정보!$C$5))</f>
        <v>46454</v>
      </c>
      <c r="M277" s="30" t="n">
        <f aca="false">IF($L277="","",IF(OR(ISNUMBER(SEARCH("중국",$U277)),ISNUMBER(SEARCH("베트남",$U277))),MAX(0,MIN($L277,기준정보!$C$9)-MAX($L277-기준정보!$C$6,기준정보!$C$8)+1),IF(ISNUMBER(SEARCH("한국",$U277)),MAX(0,MIN($L277,기준정보!$C$11)-MAX($L277-기준정보!$C$6,기준정보!$C$10)+1),0)))</f>
        <v>0</v>
      </c>
      <c r="N277" s="29" t="n">
        <f aca="false">IF($L277="","",$L277-기준정보!$C$6-$M277)</f>
        <v>46364</v>
      </c>
      <c r="O277" s="31" t="n">
        <f aca="false">IF($N277="","",$N277-기준정보!$C$4)</f>
        <v>122</v>
      </c>
      <c r="P277" s="28" t="s">
        <v>82</v>
      </c>
      <c r="Q277" s="28" t="s">
        <v>83</v>
      </c>
      <c r="R277" s="32"/>
      <c r="S277" s="27" t="str">
        <f aca="false">IF($H277="","",IF(AND(ISNUMBER(SEARCH("CMT",$H277)),OR(ISNUMBER(SEARCH("완사입",$H277)),ISNUMBER(SEARCH("ODM",$H277)))),"본사/생산처 혼재",IF(ISNUMBER(SEARCH("CMT",$H277)),"본사(소재팀)","생산처")))</f>
        <v>생산처</v>
      </c>
      <c r="T277" s="27" t="s">
        <v>243</v>
      </c>
      <c r="U277" s="26" t="s">
        <v>90</v>
      </c>
      <c r="V277" s="33" t="n">
        <v>1800</v>
      </c>
      <c r="W277" s="27" t="s">
        <v>805</v>
      </c>
      <c r="X277" s="27" t="str">
        <f aca="false">IF($K277="","출고일 미정",IF($P277="X","작지 미발행",IF($P277="부분","작지 일부 미발행",IF(AND($R277&lt;&gt;"",$R277&gt;$N277),"소재입고 마감("&amp;TEXT($N277,"MM/DD")&amp;") 초과",IF($P277="","발행여부 확인 필요",IF($R277="","소재 입고일정 확인 필요","정상"))))))</f>
        <v>소재 입고일정 확인 필요</v>
      </c>
      <c r="Y277" s="25" t="str">
        <f aca="false">IF($K277="","",IF(OR(LEFT($X277,2)="작지",LEFT($X277,4)="소재입고"),IF(LEFT($G277,1)="S","★ 납기위험(S코드)","◆ 지연주의"),IF($X277="정상","✓ 정상","? 확인필요")))</f>
        <v>? 확인필요</v>
      </c>
      <c r="Z277" s="28"/>
      <c r="AA277" s="34"/>
    </row>
    <row r="278" customFormat="false" ht="15" hidden="false" customHeight="false" outlineLevel="0" collapsed="false">
      <c r="A278" s="25" t="n">
        <v>274</v>
      </c>
      <c r="B278" s="26" t="s">
        <v>199</v>
      </c>
      <c r="C278" s="26" t="s">
        <v>435</v>
      </c>
      <c r="D278" s="27" t="s">
        <v>889</v>
      </c>
      <c r="E278" s="26" t="s">
        <v>890</v>
      </c>
      <c r="F278" s="27" t="s">
        <v>855</v>
      </c>
      <c r="G278" s="25" t="str">
        <f aca="false">IF($D278="","",IF(MID($D278,5,1)="S","S(봄)",IF(MID($D278,5,1)="M","M(여름)",IF(MID($D278,5,1)="X","X(사계절)",MID($D278,5,1)))))</f>
        <v>M(여름)</v>
      </c>
      <c r="H278" s="27" t="s">
        <v>209</v>
      </c>
      <c r="I278" s="25" t="s">
        <v>416</v>
      </c>
      <c r="J278" s="28" t="s">
        <v>805</v>
      </c>
      <c r="K278" s="29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9" t="n">
        <f aca="false">IF($K278="","",IF(AND($K278-기준정보!$C$5&gt;=기준정보!$C$10,$K278-기준정보!$C$5&lt;=기준정보!$C$11),기준정보!$C$10-1,$K278-기준정보!$C$5))</f>
        <v>46454</v>
      </c>
      <c r="M278" s="30" t="n">
        <f aca="false">IF($L278="","",IF(OR(ISNUMBER(SEARCH("중국",$U278)),ISNUMBER(SEARCH("베트남",$U278))),MAX(0,MIN($L278,기준정보!$C$9)-MAX($L278-기준정보!$C$6,기준정보!$C$8)+1),IF(ISNUMBER(SEARCH("한국",$U278)),MAX(0,MIN($L278,기준정보!$C$11)-MAX($L278-기준정보!$C$6,기준정보!$C$10)+1),0)))</f>
        <v>15</v>
      </c>
      <c r="N278" s="29" t="n">
        <f aca="false">IF($L278="","",$L278-기준정보!$C$6-$M278)</f>
        <v>46349</v>
      </c>
      <c r="O278" s="31" t="n">
        <f aca="false">IF($N278="","",$N278-기준정보!$C$4)</f>
        <v>107</v>
      </c>
      <c r="P278" s="28" t="s">
        <v>82</v>
      </c>
      <c r="Q278" s="28" t="s">
        <v>83</v>
      </c>
      <c r="R278" s="32"/>
      <c r="S278" s="27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T278" s="26" t="s">
        <v>84</v>
      </c>
      <c r="U278" s="26" t="s">
        <v>85</v>
      </c>
      <c r="V278" s="33" t="n">
        <v>1400</v>
      </c>
      <c r="W278" s="27" t="s">
        <v>805</v>
      </c>
      <c r="X278" s="27" t="str">
        <f aca="false">IF($K278="","출고일 미정",IF($P278="X","작지 미발행",IF($P278="부분","작지 일부 미발행",IF(AND($R278&lt;&gt;"",$R278&gt;$N278),"소재입고 마감("&amp;TEXT($N278,"MM/DD")&amp;") 초과",IF($P278="","발행여부 확인 필요",IF($R278="","소재 입고일정 확인 필요","정상"))))))</f>
        <v>소재 입고일정 확인 필요</v>
      </c>
      <c r="Y278" s="25" t="str">
        <f aca="false">IF($K278="","",IF(OR(LEFT($X278,2)="작지",LEFT($X278,4)="소재입고"),IF(LEFT($G278,1)="S","★ 납기위험(S코드)","◆ 지연주의"),IF($X278="정상","✓ 정상","? 확인필요")))</f>
        <v>? 확인필요</v>
      </c>
      <c r="Z278" s="28"/>
      <c r="AA278" s="34"/>
    </row>
    <row r="279" customFormat="false" ht="15" hidden="false" customHeight="false" outlineLevel="0" collapsed="false">
      <c r="A279" s="25" t="n">
        <v>275</v>
      </c>
      <c r="B279" s="26" t="s">
        <v>700</v>
      </c>
      <c r="C279" s="26" t="s">
        <v>495</v>
      </c>
      <c r="D279" s="27" t="s">
        <v>891</v>
      </c>
      <c r="E279" s="26" t="s">
        <v>892</v>
      </c>
      <c r="F279" s="27" t="s">
        <v>160</v>
      </c>
      <c r="G279" s="25" t="str">
        <f aca="false">IF($D279="","",IF(MID($D279,5,1)="S","S(봄)",IF(MID($D279,5,1)="M","M(여름)",IF(MID($D279,5,1)="X","X(사계절)",MID($D279,5,1)))))</f>
        <v>M(여름)</v>
      </c>
      <c r="H279" s="26" t="s">
        <v>79</v>
      </c>
      <c r="I279" s="25"/>
      <c r="J279" s="28" t="s">
        <v>805</v>
      </c>
      <c r="K279" s="29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9" t="n">
        <f aca="false">IF($K279="","",IF(AND($K279-기준정보!$C$5&gt;=기준정보!$C$10,$K279-기준정보!$C$5&lt;=기준정보!$C$11),기준정보!$C$10-1,$K279-기준정보!$C$5))</f>
        <v>46454</v>
      </c>
      <c r="M279" s="30" t="n">
        <f aca="false">IF($L279="","",IF(OR(ISNUMBER(SEARCH("중국",$U279)),ISNUMBER(SEARCH("베트남",$U279))),MAX(0,MIN($L279,기준정보!$C$9)-MAX($L279-기준정보!$C$6,기준정보!$C$8)+1),IF(ISNUMBER(SEARCH("한국",$U279)),MAX(0,MIN($L279,기준정보!$C$11)-MAX($L279-기준정보!$C$6,기준정보!$C$10)+1),0)))</f>
        <v>15</v>
      </c>
      <c r="N279" s="29" t="n">
        <f aca="false">IF($L279="","",$L279-기준정보!$C$6-$M279)</f>
        <v>46349</v>
      </c>
      <c r="O279" s="31" t="n">
        <f aca="false">IF($N279="","",$N279-기준정보!$C$4)</f>
        <v>107</v>
      </c>
      <c r="P279" s="28" t="s">
        <v>83</v>
      </c>
      <c r="Q279" s="28" t="s">
        <v>83</v>
      </c>
      <c r="R279" s="32"/>
      <c r="S279" s="27" t="str">
        <f aca="false">IF($H279="","",IF(AND(ISNUMBER(SEARCH("CMT",$H279)),OR(ISNUMBER(SEARCH("완사입",$H279)),ISNUMBER(SEARCH("ODM",$H279)))),"본사/생산처 혼재",IF(ISNUMBER(SEARCH("CMT",$H279)),"본사(소재팀)","생산처")))</f>
        <v>생산처</v>
      </c>
      <c r="T279" s="27" t="s">
        <v>893</v>
      </c>
      <c r="U279" s="26" t="s">
        <v>85</v>
      </c>
      <c r="V279" s="33" t="n">
        <v>500</v>
      </c>
      <c r="W279" s="27"/>
      <c r="X279" s="27" t="str">
        <f aca="false">IF($K279="","출고일 미정",IF($P279="X","작지 미발행",IF($P279="부분","작지 일부 미발행",IF(AND($R279&lt;&gt;"",$R279&gt;$N279),"소재입고 마감("&amp;TEXT($N279,"MM/DD")&amp;") 초과",IF($P279="","발행여부 확인 필요",IF($R279="","소재 입고일정 확인 필요","정상"))))))</f>
        <v>작지 미발행</v>
      </c>
      <c r="Y279" s="25" t="str">
        <f aca="false">IF($K279="","",IF(OR(LEFT($X279,2)="작지",LEFT($X279,4)="소재입고"),IF(LEFT($G279,1)="S","★ 납기위험(S코드)","◆ 지연주의"),IF($X279="정상","✓ 정상","? 확인필요")))</f>
        <v>◆ 지연주의</v>
      </c>
      <c r="Z279" s="28"/>
      <c r="AA279" s="34"/>
    </row>
    <row r="280" customFormat="false" ht="15" hidden="false" customHeight="false" outlineLevel="0" collapsed="false">
      <c r="A280" s="25" t="n">
        <v>276</v>
      </c>
      <c r="B280" s="26" t="s">
        <v>700</v>
      </c>
      <c r="C280" s="26" t="s">
        <v>495</v>
      </c>
      <c r="D280" s="27" t="s">
        <v>894</v>
      </c>
      <c r="E280" s="26" t="s">
        <v>895</v>
      </c>
      <c r="F280" s="27" t="s">
        <v>896</v>
      </c>
      <c r="G280" s="25" t="str">
        <f aca="false">IF($D280="","",IF(MID($D280,5,1)="S","S(봄)",IF(MID($D280,5,1)="M","M(여름)",IF(MID($D280,5,1)="X","X(사계절)",MID($D280,5,1)))))</f>
        <v>M(여름)</v>
      </c>
      <c r="H280" s="26" t="s">
        <v>79</v>
      </c>
      <c r="I280" s="25"/>
      <c r="J280" s="28" t="s">
        <v>805</v>
      </c>
      <c r="K280" s="29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9" t="n">
        <f aca="false">IF($K280="","",IF(AND($K280-기준정보!$C$5&gt;=기준정보!$C$10,$K280-기준정보!$C$5&lt;=기준정보!$C$11),기준정보!$C$10-1,$K280-기준정보!$C$5))</f>
        <v>46454</v>
      </c>
      <c r="M280" s="30" t="n">
        <f aca="false">IF($L280="","",IF(OR(ISNUMBER(SEARCH("중국",$U280)),ISNUMBER(SEARCH("베트남",$U280))),MAX(0,MIN($L280,기준정보!$C$9)-MAX($L280-기준정보!$C$6,기준정보!$C$8)+1),IF(ISNUMBER(SEARCH("한국",$U280)),MAX(0,MIN($L280,기준정보!$C$11)-MAX($L280-기준정보!$C$6,기준정보!$C$10)+1),0)))</f>
        <v>15</v>
      </c>
      <c r="N280" s="29" t="n">
        <f aca="false">IF($L280="","",$L280-기준정보!$C$6-$M280)</f>
        <v>46349</v>
      </c>
      <c r="O280" s="31" t="n">
        <f aca="false">IF($N280="","",$N280-기준정보!$C$4)</f>
        <v>107</v>
      </c>
      <c r="P280" s="28" t="s">
        <v>83</v>
      </c>
      <c r="Q280" s="28" t="s">
        <v>83</v>
      </c>
      <c r="R280" s="32"/>
      <c r="S280" s="27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T280" s="27" t="s">
        <v>893</v>
      </c>
      <c r="U280" s="26" t="s">
        <v>85</v>
      </c>
      <c r="V280" s="33" t="n">
        <v>300</v>
      </c>
      <c r="W280" s="27"/>
      <c r="X280" s="27" t="str">
        <f aca="false">IF($K280="","출고일 미정",IF($P280="X","작지 미발행",IF($P280="부분","작지 일부 미발행",IF(AND($R280&lt;&gt;"",$R280&gt;$N280),"소재입고 마감("&amp;TEXT($N280,"MM/DD")&amp;") 초과",IF($P280="","발행여부 확인 필요",IF($R280="","소재 입고일정 확인 필요","정상"))))))</f>
        <v>작지 미발행</v>
      </c>
      <c r="Y280" s="25" t="str">
        <f aca="false">IF($K280="","",IF(OR(LEFT($X280,2)="작지",LEFT($X280,4)="소재입고"),IF(LEFT($G280,1)="S","★ 납기위험(S코드)","◆ 지연주의"),IF($X280="정상","✓ 정상","? 확인필요")))</f>
        <v>◆ 지연주의</v>
      </c>
      <c r="Z280" s="28"/>
      <c r="AA280" s="34"/>
    </row>
    <row r="281" customFormat="false" ht="15" hidden="false" customHeight="false" outlineLevel="0" collapsed="false">
      <c r="A281" s="25" t="n">
        <v>277</v>
      </c>
      <c r="B281" s="26" t="s">
        <v>700</v>
      </c>
      <c r="C281" s="26" t="s">
        <v>495</v>
      </c>
      <c r="D281" s="27" t="s">
        <v>897</v>
      </c>
      <c r="E281" s="26" t="s">
        <v>898</v>
      </c>
      <c r="F281" s="27" t="s">
        <v>899</v>
      </c>
      <c r="G281" s="25" t="str">
        <f aca="false">IF($D281="","",IF(MID($D281,5,1)="S","S(봄)",IF(MID($D281,5,1)="M","M(여름)",IF(MID($D281,5,1)="X","X(사계절)",MID($D281,5,1)))))</f>
        <v>M(여름)</v>
      </c>
      <c r="H281" s="26" t="s">
        <v>79</v>
      </c>
      <c r="I281" s="25"/>
      <c r="J281" s="28" t="s">
        <v>805</v>
      </c>
      <c r="K281" s="29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9" t="n">
        <f aca="false">IF($K281="","",IF(AND($K281-기준정보!$C$5&gt;=기준정보!$C$10,$K281-기준정보!$C$5&lt;=기준정보!$C$11),기준정보!$C$10-1,$K281-기준정보!$C$5))</f>
        <v>46454</v>
      </c>
      <c r="M281" s="30" t="n">
        <f aca="false">IF($L281="","",IF(OR(ISNUMBER(SEARCH("중국",$U281)),ISNUMBER(SEARCH("베트남",$U281))),MAX(0,MIN($L281,기준정보!$C$9)-MAX($L281-기준정보!$C$6,기준정보!$C$8)+1),IF(ISNUMBER(SEARCH("한국",$U281)),MAX(0,MIN($L281,기준정보!$C$11)-MAX($L281-기준정보!$C$6,기준정보!$C$10)+1),0)))</f>
        <v>4</v>
      </c>
      <c r="N281" s="29" t="n">
        <f aca="false">IF($L281="","",$L281-기준정보!$C$6-$M281)</f>
        <v>46360</v>
      </c>
      <c r="O281" s="31" t="n">
        <f aca="false">IF($N281="","",$N281-기준정보!$C$4)</f>
        <v>118</v>
      </c>
      <c r="P281" s="28" t="s">
        <v>83</v>
      </c>
      <c r="Q281" s="28" t="s">
        <v>83</v>
      </c>
      <c r="R281" s="32"/>
      <c r="S281" s="27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T281" s="26" t="s">
        <v>900</v>
      </c>
      <c r="U281" s="26" t="s">
        <v>901</v>
      </c>
      <c r="V281" s="33" t="n">
        <v>9900</v>
      </c>
      <c r="W281" s="27"/>
      <c r="X281" s="27" t="str">
        <f aca="false">IF($K281="","출고일 미정",IF($P281="X","작지 미발행",IF($P281="부분","작지 일부 미발행",IF(AND($R281&lt;&gt;"",$R281&gt;$N281),"소재입고 마감("&amp;TEXT($N281,"MM/DD")&amp;") 초과",IF($P281="","발행여부 확인 필요",IF($R281="","소재 입고일정 확인 필요","정상"))))))</f>
        <v>작지 미발행</v>
      </c>
      <c r="Y281" s="25" t="str">
        <f aca="false">IF($K281="","",IF(OR(LEFT($X281,2)="작지",LEFT($X281,4)="소재입고"),IF(LEFT($G281,1)="S","★ 납기위험(S코드)","◆ 지연주의"),IF($X281="정상","✓ 정상","? 확인필요")))</f>
        <v>◆ 지연주의</v>
      </c>
      <c r="Z281" s="28"/>
      <c r="AA281" s="34"/>
    </row>
    <row r="282" customFormat="false" ht="15" hidden="false" customHeight="false" outlineLevel="0" collapsed="false">
      <c r="A282" s="25" t="n">
        <v>278</v>
      </c>
      <c r="B282" s="26" t="s">
        <v>700</v>
      </c>
      <c r="C282" s="26" t="s">
        <v>495</v>
      </c>
      <c r="D282" s="27" t="s">
        <v>902</v>
      </c>
      <c r="E282" s="26" t="s">
        <v>903</v>
      </c>
      <c r="F282" s="27" t="s">
        <v>904</v>
      </c>
      <c r="G282" s="25" t="str">
        <f aca="false">IF($D282="","",IF(MID($D282,5,1)="S","S(봄)",IF(MID($D282,5,1)="M","M(여름)",IF(MID($D282,5,1)="X","X(사계절)",MID($D282,5,1)))))</f>
        <v>M(여름)</v>
      </c>
      <c r="H282" s="26" t="s">
        <v>79</v>
      </c>
      <c r="I282" s="25"/>
      <c r="J282" s="28" t="s">
        <v>805</v>
      </c>
      <c r="K282" s="29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9" t="n">
        <f aca="false">IF($K282="","",IF(AND($K282-기준정보!$C$5&gt;=기준정보!$C$10,$K282-기준정보!$C$5&lt;=기준정보!$C$11),기준정보!$C$10-1,$K282-기준정보!$C$5))</f>
        <v>46454</v>
      </c>
      <c r="M282" s="30" t="n">
        <f aca="false">IF($L282="","",IF(OR(ISNUMBER(SEARCH("중국",$U282)),ISNUMBER(SEARCH("베트남",$U282))),MAX(0,MIN($L282,기준정보!$C$9)-MAX($L282-기준정보!$C$6,기준정보!$C$8)+1),IF(ISNUMBER(SEARCH("한국",$U282)),MAX(0,MIN($L282,기준정보!$C$11)-MAX($L282-기준정보!$C$6,기준정보!$C$10)+1),0)))</f>
        <v>15</v>
      </c>
      <c r="N282" s="29" t="n">
        <f aca="false">IF($L282="","",$L282-기준정보!$C$6-$M282)</f>
        <v>46349</v>
      </c>
      <c r="O282" s="31" t="n">
        <f aca="false">IF($N282="","",$N282-기준정보!$C$4)</f>
        <v>107</v>
      </c>
      <c r="P282" s="28" t="s">
        <v>83</v>
      </c>
      <c r="Q282" s="28" t="s">
        <v>83</v>
      </c>
      <c r="R282" s="32"/>
      <c r="S282" s="27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T282" s="26" t="s">
        <v>900</v>
      </c>
      <c r="U282" s="26" t="s">
        <v>131</v>
      </c>
      <c r="V282" s="33" t="n">
        <v>10500</v>
      </c>
      <c r="W282" s="27"/>
      <c r="X282" s="27" t="str">
        <f aca="false">IF($K282="","출고일 미정",IF($P282="X","작지 미발행",IF($P282="부분","작지 일부 미발행",IF(AND($R282&lt;&gt;"",$R282&gt;$N282),"소재입고 마감("&amp;TEXT($N282,"MM/DD")&amp;") 초과",IF($P282="","발행여부 확인 필요",IF($R282="","소재 입고일정 확인 필요","정상"))))))</f>
        <v>작지 미발행</v>
      </c>
      <c r="Y282" s="25" t="str">
        <f aca="false">IF($K282="","",IF(OR(LEFT($X282,2)="작지",LEFT($X282,4)="소재입고"),IF(LEFT($G282,1)="S","★ 납기위험(S코드)","◆ 지연주의"),IF($X282="정상","✓ 정상","? 확인필요")))</f>
        <v>◆ 지연주의</v>
      </c>
      <c r="Z282" s="28"/>
      <c r="AA282" s="34"/>
    </row>
    <row r="283" customFormat="false" ht="15" hidden="false" customHeight="false" outlineLevel="0" collapsed="false">
      <c r="A283" s="25" t="n">
        <v>279</v>
      </c>
      <c r="B283" s="26" t="s">
        <v>700</v>
      </c>
      <c r="C283" s="26" t="s">
        <v>495</v>
      </c>
      <c r="D283" s="27" t="s">
        <v>905</v>
      </c>
      <c r="E283" s="26" t="s">
        <v>906</v>
      </c>
      <c r="F283" s="27" t="s">
        <v>907</v>
      </c>
      <c r="G283" s="25" t="str">
        <f aca="false">IF($D283="","",IF(MID($D283,5,1)="S","S(봄)",IF(MID($D283,5,1)="M","M(여름)",IF(MID($D283,5,1)="X","X(사계절)",MID($D283,5,1)))))</f>
        <v>M(여름)</v>
      </c>
      <c r="H283" s="26" t="s">
        <v>79</v>
      </c>
      <c r="I283" s="25"/>
      <c r="J283" s="28" t="s">
        <v>805</v>
      </c>
      <c r="K283" s="29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9" t="n">
        <f aca="false">IF($K283="","",IF(AND($K283-기준정보!$C$5&gt;=기준정보!$C$10,$K283-기준정보!$C$5&lt;=기준정보!$C$11),기준정보!$C$10-1,$K283-기준정보!$C$5))</f>
        <v>46454</v>
      </c>
      <c r="M283" s="30" t="n">
        <f aca="false">IF($L283="","",IF(OR(ISNUMBER(SEARCH("중국",$U283)),ISNUMBER(SEARCH("베트남",$U283))),MAX(0,MIN($L283,기준정보!$C$9)-MAX($L283-기준정보!$C$6,기준정보!$C$8)+1),IF(ISNUMBER(SEARCH("한국",$U283)),MAX(0,MIN($L283,기준정보!$C$11)-MAX($L283-기준정보!$C$6,기준정보!$C$10)+1),0)))</f>
        <v>15</v>
      </c>
      <c r="N283" s="29" t="n">
        <f aca="false">IF($L283="","",$L283-기준정보!$C$6-$M283)</f>
        <v>46349</v>
      </c>
      <c r="O283" s="31" t="n">
        <f aca="false">IF($N283="","",$N283-기준정보!$C$4)</f>
        <v>107</v>
      </c>
      <c r="P283" s="28" t="s">
        <v>83</v>
      </c>
      <c r="Q283" s="28" t="s">
        <v>83</v>
      </c>
      <c r="R283" s="32"/>
      <c r="S283" s="27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T283" s="26" t="s">
        <v>900</v>
      </c>
      <c r="U283" s="26" t="s">
        <v>85</v>
      </c>
      <c r="V283" s="33" t="n">
        <v>5000</v>
      </c>
      <c r="W283" s="27"/>
      <c r="X283" s="27" t="str">
        <f aca="false">IF($K283="","출고일 미정",IF($P283="X","작지 미발행",IF($P283="부분","작지 일부 미발행",IF(AND($R283&lt;&gt;"",$R283&gt;$N283),"소재입고 마감("&amp;TEXT($N283,"MM/DD")&amp;") 초과",IF($P283="","발행여부 확인 필요",IF($R283="","소재 입고일정 확인 필요","정상"))))))</f>
        <v>작지 미발행</v>
      </c>
      <c r="Y283" s="25" t="str">
        <f aca="false">IF($K283="","",IF(OR(LEFT($X283,2)="작지",LEFT($X283,4)="소재입고"),IF(LEFT($G283,1)="S","★ 납기위험(S코드)","◆ 지연주의"),IF($X283="정상","✓ 정상","? 확인필요")))</f>
        <v>◆ 지연주의</v>
      </c>
      <c r="Z283" s="28"/>
      <c r="AA283" s="34"/>
    </row>
    <row r="284" customFormat="false" ht="15" hidden="false" customHeight="false" outlineLevel="0" collapsed="false">
      <c r="A284" s="25" t="n">
        <v>280</v>
      </c>
      <c r="B284" s="26" t="s">
        <v>700</v>
      </c>
      <c r="C284" s="26" t="s">
        <v>701</v>
      </c>
      <c r="D284" s="27" t="s">
        <v>908</v>
      </c>
      <c r="E284" s="26" t="s">
        <v>909</v>
      </c>
      <c r="F284" s="27" t="s">
        <v>910</v>
      </c>
      <c r="G284" s="25" t="str">
        <f aca="false">IF($D284="","",IF(MID($D284,5,1)="S","S(봄)",IF(MID($D284,5,1)="M","M(여름)",IF(MID($D284,5,1)="X","X(사계절)",MID($D284,5,1)))))</f>
        <v>M(여름)</v>
      </c>
      <c r="H284" s="26" t="s">
        <v>79</v>
      </c>
      <c r="I284" s="25"/>
      <c r="J284" s="28" t="s">
        <v>805</v>
      </c>
      <c r="K284" s="29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9" t="n">
        <f aca="false">IF($K284="","",IF(AND($K284-기준정보!$C$5&gt;=기준정보!$C$10,$K284-기준정보!$C$5&lt;=기준정보!$C$11),기준정보!$C$10-1,$K284-기준정보!$C$5))</f>
        <v>46454</v>
      </c>
      <c r="M284" s="30" t="n">
        <f aca="false">IF($L284="","",IF(OR(ISNUMBER(SEARCH("중국",$U284)),ISNUMBER(SEARCH("베트남",$U284))),MAX(0,MIN($L284,기준정보!$C$9)-MAX($L284-기준정보!$C$6,기준정보!$C$8)+1),IF(ISNUMBER(SEARCH("한국",$U284)),MAX(0,MIN($L284,기준정보!$C$11)-MAX($L284-기준정보!$C$6,기준정보!$C$10)+1),0)))</f>
        <v>15</v>
      </c>
      <c r="N284" s="29" t="n">
        <f aca="false">IF($L284="","",$L284-기준정보!$C$6-$M284)</f>
        <v>46349</v>
      </c>
      <c r="O284" s="31" t="n">
        <f aca="false">IF($N284="","",$N284-기준정보!$C$4)</f>
        <v>107</v>
      </c>
      <c r="P284" s="28" t="s">
        <v>83</v>
      </c>
      <c r="Q284" s="28" t="s">
        <v>83</v>
      </c>
      <c r="R284" s="32"/>
      <c r="S284" s="27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T284" s="27" t="s">
        <v>893</v>
      </c>
      <c r="U284" s="26" t="s">
        <v>85</v>
      </c>
      <c r="V284" s="33" t="n">
        <v>3500</v>
      </c>
      <c r="W284" s="27"/>
      <c r="X284" s="27" t="str">
        <f aca="false">IF($K284="","출고일 미정",IF($P284="X","작지 미발행",IF($P284="부분","작지 일부 미발행",IF(AND($R284&lt;&gt;"",$R284&gt;$N284),"소재입고 마감("&amp;TEXT($N284,"MM/DD")&amp;") 초과",IF($P284="","발행여부 확인 필요",IF($R284="","소재 입고일정 확인 필요","정상"))))))</f>
        <v>작지 미발행</v>
      </c>
      <c r="Y284" s="25" t="str">
        <f aca="false">IF($K284="","",IF(OR(LEFT($X284,2)="작지",LEFT($X284,4)="소재입고"),IF(LEFT($G284,1)="S","★ 납기위험(S코드)","◆ 지연주의"),IF($X284="정상","✓ 정상","? 확인필요")))</f>
        <v>◆ 지연주의</v>
      </c>
      <c r="Z284" s="28"/>
      <c r="AA284" s="34"/>
    </row>
    <row r="285" customFormat="false" ht="15" hidden="false" customHeight="false" outlineLevel="0" collapsed="false">
      <c r="A285" s="25" t="n">
        <v>281</v>
      </c>
      <c r="B285" s="26" t="s">
        <v>700</v>
      </c>
      <c r="C285" s="26" t="s">
        <v>701</v>
      </c>
      <c r="D285" s="27" t="s">
        <v>911</v>
      </c>
      <c r="E285" s="26" t="s">
        <v>912</v>
      </c>
      <c r="F285" s="27" t="s">
        <v>896</v>
      </c>
      <c r="G285" s="25" t="str">
        <f aca="false">IF($D285="","",IF(MID($D285,5,1)="S","S(봄)",IF(MID($D285,5,1)="M","M(여름)",IF(MID($D285,5,1)="X","X(사계절)",MID($D285,5,1)))))</f>
        <v>M(여름)</v>
      </c>
      <c r="H285" s="26" t="s">
        <v>79</v>
      </c>
      <c r="I285" s="25" t="s">
        <v>416</v>
      </c>
      <c r="J285" s="28" t="s">
        <v>805</v>
      </c>
      <c r="K285" s="29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9" t="n">
        <f aca="false">IF($K285="","",IF(AND($K285-기준정보!$C$5&gt;=기준정보!$C$10,$K285-기준정보!$C$5&lt;=기준정보!$C$11),기준정보!$C$10-1,$K285-기준정보!$C$5))</f>
        <v>46454</v>
      </c>
      <c r="M285" s="30" t="n">
        <f aca="false">IF($L285="","",IF(OR(ISNUMBER(SEARCH("중국",$U285)),ISNUMBER(SEARCH("베트남",$U285))),MAX(0,MIN($L285,기준정보!$C$9)-MAX($L285-기준정보!$C$6,기준정보!$C$8)+1),IF(ISNUMBER(SEARCH("한국",$U285)),MAX(0,MIN($L285,기준정보!$C$11)-MAX($L285-기준정보!$C$6,기준정보!$C$10)+1),0)))</f>
        <v>15</v>
      </c>
      <c r="N285" s="29" t="n">
        <f aca="false">IF($L285="","",$L285-기준정보!$C$6-$M285)</f>
        <v>46349</v>
      </c>
      <c r="O285" s="31" t="n">
        <f aca="false">IF($N285="","",$N285-기준정보!$C$4)</f>
        <v>107</v>
      </c>
      <c r="P285" s="28" t="s">
        <v>83</v>
      </c>
      <c r="Q285" s="28" t="s">
        <v>83</v>
      </c>
      <c r="R285" s="32"/>
      <c r="S285" s="27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T285" s="27" t="s">
        <v>893</v>
      </c>
      <c r="U285" s="26" t="s">
        <v>85</v>
      </c>
      <c r="V285" s="33" t="n">
        <v>500</v>
      </c>
      <c r="W285" s="27"/>
      <c r="X285" s="27" t="str">
        <f aca="false">IF($K285="","출고일 미정",IF($P285="X","작지 미발행",IF($P285="부분","작지 일부 미발행",IF(AND($R285&lt;&gt;"",$R285&gt;$N285),"소재입고 마감("&amp;TEXT($N285,"MM/DD")&amp;") 초과",IF($P285="","발행여부 확인 필요",IF($R285="","소재 입고일정 확인 필요","정상"))))))</f>
        <v>작지 미발행</v>
      </c>
      <c r="Y285" s="25" t="str">
        <f aca="false">IF($K285="","",IF(OR(LEFT($X285,2)="작지",LEFT($X285,4)="소재입고"),IF(LEFT($G285,1)="S","★ 납기위험(S코드)","◆ 지연주의"),IF($X285="정상","✓ 정상","? 확인필요")))</f>
        <v>◆ 지연주의</v>
      </c>
      <c r="Z285" s="28"/>
      <c r="AA285" s="34"/>
    </row>
    <row r="286" customFormat="false" ht="15" hidden="false" customHeight="false" outlineLevel="0" collapsed="false">
      <c r="A286" s="25" t="n">
        <v>282</v>
      </c>
      <c r="B286" s="26" t="s">
        <v>700</v>
      </c>
      <c r="C286" s="26" t="s">
        <v>701</v>
      </c>
      <c r="D286" s="27" t="s">
        <v>913</v>
      </c>
      <c r="E286" s="26" t="s">
        <v>914</v>
      </c>
      <c r="F286" s="27" t="s">
        <v>915</v>
      </c>
      <c r="G286" s="25" t="str">
        <f aca="false">IF($D286="","",IF(MID($D286,5,1)="S","S(봄)",IF(MID($D286,5,1)="M","M(여름)",IF(MID($D286,5,1)="X","X(사계절)",MID($D286,5,1)))))</f>
        <v>M(여름)</v>
      </c>
      <c r="H286" s="26" t="s">
        <v>79</v>
      </c>
      <c r="I286" s="25" t="s">
        <v>416</v>
      </c>
      <c r="J286" s="28" t="s">
        <v>805</v>
      </c>
      <c r="K286" s="29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9" t="n">
        <f aca="false">IF($K286="","",IF(AND($K286-기준정보!$C$5&gt;=기준정보!$C$10,$K286-기준정보!$C$5&lt;=기준정보!$C$11),기준정보!$C$10-1,$K286-기준정보!$C$5))</f>
        <v>46454</v>
      </c>
      <c r="M286" s="30" t="n">
        <f aca="false">IF($L286="","",IF(OR(ISNUMBER(SEARCH("중국",$U286)),ISNUMBER(SEARCH("베트남",$U286))),MAX(0,MIN($L286,기준정보!$C$9)-MAX($L286-기준정보!$C$6,기준정보!$C$8)+1),IF(ISNUMBER(SEARCH("한국",$U286)),MAX(0,MIN($L286,기준정보!$C$11)-MAX($L286-기준정보!$C$6,기준정보!$C$10)+1),0)))</f>
        <v>15</v>
      </c>
      <c r="N286" s="29" t="n">
        <f aca="false">IF($L286="","",$L286-기준정보!$C$6-$M286)</f>
        <v>46349</v>
      </c>
      <c r="O286" s="31" t="n">
        <f aca="false">IF($N286="","",$N286-기준정보!$C$4)</f>
        <v>107</v>
      </c>
      <c r="P286" s="28" t="s">
        <v>83</v>
      </c>
      <c r="Q286" s="28" t="s">
        <v>83</v>
      </c>
      <c r="R286" s="32"/>
      <c r="S286" s="27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T286" s="27" t="s">
        <v>893</v>
      </c>
      <c r="U286" s="26" t="s">
        <v>85</v>
      </c>
      <c r="V286" s="33" t="n">
        <v>900</v>
      </c>
      <c r="W286" s="27"/>
      <c r="X286" s="27" t="str">
        <f aca="false">IF($K286="","출고일 미정",IF($P286="X","작지 미발행",IF($P286="부분","작지 일부 미발행",IF(AND($R286&lt;&gt;"",$R286&gt;$N286),"소재입고 마감("&amp;TEXT($N286,"MM/DD")&amp;") 초과",IF($P286="","발행여부 확인 필요",IF($R286="","소재 입고일정 확인 필요","정상"))))))</f>
        <v>작지 미발행</v>
      </c>
      <c r="Y286" s="25" t="str">
        <f aca="false">IF($K286="","",IF(OR(LEFT($X286,2)="작지",LEFT($X286,4)="소재입고"),IF(LEFT($G286,1)="S","★ 납기위험(S코드)","◆ 지연주의"),IF($X286="정상","✓ 정상","? 확인필요")))</f>
        <v>◆ 지연주의</v>
      </c>
      <c r="Z286" s="28"/>
      <c r="AA286" s="34"/>
    </row>
    <row r="287" customFormat="false" ht="15" hidden="false" customHeight="false" outlineLevel="0" collapsed="false">
      <c r="A287" s="25" t="n">
        <v>283</v>
      </c>
      <c r="B287" s="26" t="s">
        <v>700</v>
      </c>
      <c r="C287" s="26" t="s">
        <v>701</v>
      </c>
      <c r="D287" s="27" t="s">
        <v>916</v>
      </c>
      <c r="E287" s="26" t="s">
        <v>917</v>
      </c>
      <c r="F287" s="27" t="s">
        <v>918</v>
      </c>
      <c r="G287" s="25" t="str">
        <f aca="false">IF($D287="","",IF(MID($D287,5,1)="S","S(봄)",IF(MID($D287,5,1)="M","M(여름)",IF(MID($D287,5,1)="X","X(사계절)",MID($D287,5,1)))))</f>
        <v>M(여름)</v>
      </c>
      <c r="H287" s="26" t="s">
        <v>79</v>
      </c>
      <c r="I287" s="25"/>
      <c r="J287" s="28" t="s">
        <v>805</v>
      </c>
      <c r="K287" s="29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9" t="n">
        <f aca="false">IF($K287="","",IF(AND($K287-기준정보!$C$5&gt;=기준정보!$C$10,$K287-기준정보!$C$5&lt;=기준정보!$C$11),기준정보!$C$10-1,$K287-기준정보!$C$5))</f>
        <v>46454</v>
      </c>
      <c r="M287" s="30" t="n">
        <f aca="false">IF($L287="","",IF(OR(ISNUMBER(SEARCH("중국",$U287)),ISNUMBER(SEARCH("베트남",$U287))),MAX(0,MIN($L287,기준정보!$C$9)-MAX($L287-기준정보!$C$6,기준정보!$C$8)+1),IF(ISNUMBER(SEARCH("한국",$U287)),MAX(0,MIN($L287,기준정보!$C$11)-MAX($L287-기준정보!$C$6,기준정보!$C$10)+1),0)))</f>
        <v>15</v>
      </c>
      <c r="N287" s="29" t="n">
        <f aca="false">IF($L287="","",$L287-기준정보!$C$6-$M287)</f>
        <v>46349</v>
      </c>
      <c r="O287" s="31" t="n">
        <f aca="false">IF($N287="","",$N287-기준정보!$C$4)</f>
        <v>107</v>
      </c>
      <c r="P287" s="28" t="s">
        <v>83</v>
      </c>
      <c r="Q287" s="28"/>
      <c r="R287" s="32"/>
      <c r="S287" s="27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T287" s="27" t="s">
        <v>893</v>
      </c>
      <c r="U287" s="26" t="s">
        <v>85</v>
      </c>
      <c r="V287" s="33" t="n">
        <v>1500</v>
      </c>
      <c r="W287" s="27"/>
      <c r="X287" s="27" t="str">
        <f aca="false">IF($K287="","출고일 미정",IF($P287="X","작지 미발행",IF($P287="부분","작지 일부 미발행",IF(AND($R287&lt;&gt;"",$R287&gt;$N287),"소재입고 마감("&amp;TEXT($N287,"MM/DD")&amp;") 초과",IF($P287="","발행여부 확인 필요",IF($R287="","소재 입고일정 확인 필요","정상"))))))</f>
        <v>작지 미발행</v>
      </c>
      <c r="Y287" s="25" t="str">
        <f aca="false">IF($K287="","",IF(OR(LEFT($X287,2)="작지",LEFT($X287,4)="소재입고"),IF(LEFT($G287,1)="S","★ 납기위험(S코드)","◆ 지연주의"),IF($X287="정상","✓ 정상","? 확인필요")))</f>
        <v>◆ 지연주의</v>
      </c>
      <c r="Z287" s="28"/>
      <c r="AA287" s="34"/>
    </row>
    <row r="288" customFormat="false" ht="15" hidden="false" customHeight="false" outlineLevel="0" collapsed="false">
      <c r="A288" s="25" t="n">
        <v>284</v>
      </c>
      <c r="B288" s="26" t="s">
        <v>700</v>
      </c>
      <c r="C288" s="26" t="s">
        <v>701</v>
      </c>
      <c r="D288" s="27" t="s">
        <v>919</v>
      </c>
      <c r="E288" s="26" t="s">
        <v>920</v>
      </c>
      <c r="F288" s="27" t="s">
        <v>921</v>
      </c>
      <c r="G288" s="25" t="str">
        <f aca="false">IF($D288="","",IF(MID($D288,5,1)="S","S(봄)",IF(MID($D288,5,1)="M","M(여름)",IF(MID($D288,5,1)="X","X(사계절)",MID($D288,5,1)))))</f>
        <v>M(여름)</v>
      </c>
      <c r="H288" s="26" t="s">
        <v>79</v>
      </c>
      <c r="I288" s="25"/>
      <c r="J288" s="28" t="s">
        <v>805</v>
      </c>
      <c r="K288" s="29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9" t="n">
        <f aca="false">IF($K288="","",IF(AND($K288-기준정보!$C$5&gt;=기준정보!$C$10,$K288-기준정보!$C$5&lt;=기준정보!$C$11),기준정보!$C$10-1,$K288-기준정보!$C$5))</f>
        <v>46454</v>
      </c>
      <c r="M288" s="30" t="n">
        <f aca="false">IF($L288="","",IF(OR(ISNUMBER(SEARCH("중국",$U288)),ISNUMBER(SEARCH("베트남",$U288))),MAX(0,MIN($L288,기준정보!$C$9)-MAX($L288-기준정보!$C$6,기준정보!$C$8)+1),IF(ISNUMBER(SEARCH("한국",$U288)),MAX(0,MIN($L288,기준정보!$C$11)-MAX($L288-기준정보!$C$6,기준정보!$C$10)+1),0)))</f>
        <v>0</v>
      </c>
      <c r="N288" s="29" t="n">
        <f aca="false">IF($L288="","",$L288-기준정보!$C$6-$M288)</f>
        <v>46364</v>
      </c>
      <c r="O288" s="31" t="n">
        <f aca="false">IF($N288="","",$N288-기준정보!$C$4)</f>
        <v>122</v>
      </c>
      <c r="P288" s="28" t="s">
        <v>83</v>
      </c>
      <c r="Q288" s="28" t="s">
        <v>82</v>
      </c>
      <c r="R288" s="32"/>
      <c r="S288" s="27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T288" s="26" t="s">
        <v>704</v>
      </c>
      <c r="U288" s="26" t="s">
        <v>166</v>
      </c>
      <c r="V288" s="33" t="n">
        <v>6000</v>
      </c>
      <c r="W288" s="27"/>
      <c r="X288" s="27" t="str">
        <f aca="false">IF($K288="","출고일 미정",IF($P288="X","작지 미발행",IF($P288="부분","작지 일부 미발행",IF(AND($R288&lt;&gt;"",$R288&gt;$N288),"소재입고 마감("&amp;TEXT($N288,"MM/DD")&amp;") 초과",IF($P288="","발행여부 확인 필요",IF($R288="","소재 입고일정 확인 필요","정상"))))))</f>
        <v>작지 미발행</v>
      </c>
      <c r="Y288" s="25" t="str">
        <f aca="false">IF($K288="","",IF(OR(LEFT($X288,2)="작지",LEFT($X288,4)="소재입고"),IF(LEFT($G288,1)="S","★ 납기위험(S코드)","◆ 지연주의"),IF($X288="정상","✓ 정상","? 확인필요")))</f>
        <v>◆ 지연주의</v>
      </c>
      <c r="Z288" s="28"/>
      <c r="AA288" s="34"/>
    </row>
    <row r="289" customFormat="false" ht="15" hidden="false" customHeight="false" outlineLevel="0" collapsed="false">
      <c r="A289" s="25" t="n">
        <v>285</v>
      </c>
      <c r="B289" s="26" t="s">
        <v>700</v>
      </c>
      <c r="C289" s="26" t="s">
        <v>701</v>
      </c>
      <c r="D289" s="27" t="s">
        <v>922</v>
      </c>
      <c r="E289" s="26" t="s">
        <v>923</v>
      </c>
      <c r="F289" s="27" t="s">
        <v>924</v>
      </c>
      <c r="G289" s="25" t="str">
        <f aca="false">IF($D289="","",IF(MID($D289,5,1)="S","S(봄)",IF(MID($D289,5,1)="M","M(여름)",IF(MID($D289,5,1)="X","X(사계절)",MID($D289,5,1)))))</f>
        <v>M(여름)</v>
      </c>
      <c r="H289" s="26" t="s">
        <v>79</v>
      </c>
      <c r="I289" s="25"/>
      <c r="J289" s="28" t="s">
        <v>805</v>
      </c>
      <c r="K289" s="29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9" t="n">
        <f aca="false">IF($K289="","",IF(AND($K289-기준정보!$C$5&gt;=기준정보!$C$10,$K289-기준정보!$C$5&lt;=기준정보!$C$11),기준정보!$C$10-1,$K289-기준정보!$C$5))</f>
        <v>46454</v>
      </c>
      <c r="M289" s="30" t="n">
        <f aca="false">IF($L289="","",IF(OR(ISNUMBER(SEARCH("중국",$U289)),ISNUMBER(SEARCH("베트남",$U289))),MAX(0,MIN($L289,기준정보!$C$9)-MAX($L289-기준정보!$C$6,기준정보!$C$8)+1),IF(ISNUMBER(SEARCH("한국",$U289)),MAX(0,MIN($L289,기준정보!$C$11)-MAX($L289-기준정보!$C$6,기준정보!$C$10)+1),0)))</f>
        <v>15</v>
      </c>
      <c r="N289" s="29" t="n">
        <f aca="false">IF($L289="","",$L289-기준정보!$C$6-$M289)</f>
        <v>46349</v>
      </c>
      <c r="O289" s="31" t="n">
        <f aca="false">IF($N289="","",$N289-기준정보!$C$4)</f>
        <v>107</v>
      </c>
      <c r="P289" s="28" t="s">
        <v>83</v>
      </c>
      <c r="Q289" s="28"/>
      <c r="R289" s="32"/>
      <c r="S289" s="27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T289" s="27" t="s">
        <v>893</v>
      </c>
      <c r="U289" s="26" t="s">
        <v>85</v>
      </c>
      <c r="V289" s="33" t="n">
        <v>7500</v>
      </c>
      <c r="W289" s="27"/>
      <c r="X289" s="27" t="str">
        <f aca="false">IF($K289="","출고일 미정",IF($P289="X","작지 미발행",IF($P289="부분","작지 일부 미발행",IF(AND($R289&lt;&gt;"",$R289&gt;$N289),"소재입고 마감("&amp;TEXT($N289,"MM/DD")&amp;") 초과",IF($P289="","발행여부 확인 필요",IF($R289="","소재 입고일정 확인 필요","정상"))))))</f>
        <v>작지 미발행</v>
      </c>
      <c r="Y289" s="25" t="str">
        <f aca="false">IF($K289="","",IF(OR(LEFT($X289,2)="작지",LEFT($X289,4)="소재입고"),IF(LEFT($G289,1)="S","★ 납기위험(S코드)","◆ 지연주의"),IF($X289="정상","✓ 정상","? 확인필요")))</f>
        <v>◆ 지연주의</v>
      </c>
      <c r="Z289" s="28"/>
      <c r="AA289" s="34"/>
    </row>
    <row r="290" customFormat="false" ht="15" hidden="false" customHeight="false" outlineLevel="0" collapsed="false">
      <c r="A290" s="25" t="n">
        <v>286</v>
      </c>
      <c r="B290" s="26" t="s">
        <v>267</v>
      </c>
      <c r="C290" s="26" t="s">
        <v>268</v>
      </c>
      <c r="D290" s="27" t="s">
        <v>925</v>
      </c>
      <c r="E290" s="26" t="s">
        <v>926</v>
      </c>
      <c r="F290" s="27" t="s">
        <v>538</v>
      </c>
      <c r="G290" s="25" t="str">
        <f aca="false">IF($D290="","",IF(MID($D290,5,1)="S","S(봄)",IF(MID($D290,5,1)="M","M(여름)",IF(MID($D290,5,1)="X","X(사계절)",MID($D290,5,1)))))</f>
        <v>M(여름)</v>
      </c>
      <c r="H290" s="27" t="s">
        <v>209</v>
      </c>
      <c r="I290" s="25" t="s">
        <v>506</v>
      </c>
      <c r="J290" s="28" t="s">
        <v>805</v>
      </c>
      <c r="K290" s="29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9" t="n">
        <f aca="false">IF($K290="","",IF(AND($K290-기준정보!$C$5&gt;=기준정보!$C$10,$K290-기준정보!$C$5&lt;=기준정보!$C$11),기준정보!$C$10-1,$K290-기준정보!$C$5))</f>
        <v>46454</v>
      </c>
      <c r="M290" s="30" t="n">
        <f aca="false">IF($L290="","",IF(OR(ISNUMBER(SEARCH("중국",$U290)),ISNUMBER(SEARCH("베트남",$U290))),MAX(0,MIN($L290,기준정보!$C$9)-MAX($L290-기준정보!$C$6,기준정보!$C$8)+1),IF(ISNUMBER(SEARCH("한국",$U290)),MAX(0,MIN($L290,기준정보!$C$11)-MAX($L290-기준정보!$C$6,기준정보!$C$10)+1),0)))</f>
        <v>15</v>
      </c>
      <c r="N290" s="29" t="n">
        <f aca="false">IF($L290="","",$L290-기준정보!$C$6-$M290)</f>
        <v>46349</v>
      </c>
      <c r="O290" s="31" t="n">
        <f aca="false">IF($N290="","",$N290-기준정보!$C$4)</f>
        <v>107</v>
      </c>
      <c r="P290" s="28" t="s">
        <v>82</v>
      </c>
      <c r="Q290" s="28" t="s">
        <v>83</v>
      </c>
      <c r="R290" s="32"/>
      <c r="S290" s="27" t="str">
        <f aca="false">IF($H290="","",IF(AND(ISNUMBER(SEARCH("CMT",$H290)),OR(ISNUMBER(SEARCH("완사입",$H290)),ISNUMBER(SEARCH("ODM",$H290)))),"본사/생산처 혼재",IF(ISNUMBER(SEARCH("CMT",$H290)),"본사(소재팀)","생산처")))</f>
        <v>본사(소재팀)</v>
      </c>
      <c r="T290" s="26" t="s">
        <v>99</v>
      </c>
      <c r="U290" s="26" t="s">
        <v>85</v>
      </c>
      <c r="V290" s="33" t="n">
        <v>6000</v>
      </c>
      <c r="W290" s="27"/>
      <c r="X290" s="27" t="str">
        <f aca="false">IF($K290="","출고일 미정",IF($P290="X","작지 미발행",IF($P290="부분","작지 일부 미발행",IF(AND($R290&lt;&gt;"",$R290&gt;$N290),"소재입고 마감("&amp;TEXT($N290,"MM/DD")&amp;") 초과",IF($P290="","발행여부 확인 필요",IF($R290="","소재 입고일정 확인 필요","정상"))))))</f>
        <v>소재 입고일정 확인 필요</v>
      </c>
      <c r="Y290" s="25" t="str">
        <f aca="false">IF($K290="","",IF(OR(LEFT($X290,2)="작지",LEFT($X290,4)="소재입고"),IF(LEFT($G290,1)="S","★ 납기위험(S코드)","◆ 지연주의"),IF($X290="정상","✓ 정상","? 확인필요")))</f>
        <v>? 확인필요</v>
      </c>
      <c r="Z290" s="28"/>
      <c r="AA290" s="34"/>
    </row>
    <row r="291" customFormat="false" ht="15" hidden="false" customHeight="false" outlineLevel="0" collapsed="false">
      <c r="A291" s="25" t="n">
        <v>287</v>
      </c>
      <c r="B291" s="26" t="s">
        <v>267</v>
      </c>
      <c r="C291" s="26" t="s">
        <v>268</v>
      </c>
      <c r="D291" s="27" t="s">
        <v>927</v>
      </c>
      <c r="E291" s="26" t="s">
        <v>928</v>
      </c>
      <c r="F291" s="27" t="s">
        <v>929</v>
      </c>
      <c r="G291" s="25" t="str">
        <f aca="false">IF($D291="","",IF(MID($D291,5,1)="S","S(봄)",IF(MID($D291,5,1)="M","M(여름)",IF(MID($D291,5,1)="X","X(사계절)",MID($D291,5,1)))))</f>
        <v>M(여름)</v>
      </c>
      <c r="H291" s="27" t="s">
        <v>209</v>
      </c>
      <c r="I291" s="25" t="s">
        <v>506</v>
      </c>
      <c r="J291" s="28" t="s">
        <v>805</v>
      </c>
      <c r="K291" s="29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9" t="n">
        <f aca="false">IF($K291="","",IF(AND($K291-기준정보!$C$5&gt;=기준정보!$C$10,$K291-기준정보!$C$5&lt;=기준정보!$C$11),기준정보!$C$10-1,$K291-기준정보!$C$5))</f>
        <v>46454</v>
      </c>
      <c r="M291" s="30" t="n">
        <f aca="false">IF($L291="","",IF(OR(ISNUMBER(SEARCH("중국",$U291)),ISNUMBER(SEARCH("베트남",$U291))),MAX(0,MIN($L291,기준정보!$C$9)-MAX($L291-기준정보!$C$6,기준정보!$C$8)+1),IF(ISNUMBER(SEARCH("한국",$U291)),MAX(0,MIN($L291,기준정보!$C$11)-MAX($L291-기준정보!$C$6,기준정보!$C$10)+1),0)))</f>
        <v>15</v>
      </c>
      <c r="N291" s="29" t="n">
        <f aca="false">IF($L291="","",$L291-기준정보!$C$6-$M291)</f>
        <v>46349</v>
      </c>
      <c r="O291" s="31" t="n">
        <f aca="false">IF($N291="","",$N291-기준정보!$C$4)</f>
        <v>107</v>
      </c>
      <c r="P291" s="28" t="s">
        <v>82</v>
      </c>
      <c r="Q291" s="28" t="s">
        <v>83</v>
      </c>
      <c r="R291" s="32"/>
      <c r="S291" s="27" t="str">
        <f aca="false">IF($H291="","",IF(AND(ISNUMBER(SEARCH("CMT",$H291)),OR(ISNUMBER(SEARCH("완사입",$H291)),ISNUMBER(SEARCH("ODM",$H291)))),"본사/생산처 혼재",IF(ISNUMBER(SEARCH("CMT",$H291)),"본사(소재팀)","생산처")))</f>
        <v>본사(소재팀)</v>
      </c>
      <c r="T291" s="27" t="s">
        <v>235</v>
      </c>
      <c r="U291" s="26" t="s">
        <v>85</v>
      </c>
      <c r="V291" s="33" t="n">
        <v>2500</v>
      </c>
      <c r="W291" s="27"/>
      <c r="X291" s="27" t="str">
        <f aca="false">IF($K291="","출고일 미정",IF($P291="X","작지 미발행",IF($P291="부분","작지 일부 미발행",IF(AND($R291&lt;&gt;"",$R291&gt;$N291),"소재입고 마감("&amp;TEXT($N291,"MM/DD")&amp;") 초과",IF($P291="","발행여부 확인 필요",IF($R291="","소재 입고일정 확인 필요","정상"))))))</f>
        <v>소재 입고일정 확인 필요</v>
      </c>
      <c r="Y291" s="25" t="str">
        <f aca="false">IF($K291="","",IF(OR(LEFT($X291,2)="작지",LEFT($X291,4)="소재입고"),IF(LEFT($G291,1)="S","★ 납기위험(S코드)","◆ 지연주의"),IF($X291="정상","✓ 정상","? 확인필요")))</f>
        <v>? 확인필요</v>
      </c>
      <c r="Z291" s="28"/>
      <c r="AA291" s="34"/>
    </row>
    <row r="292" customFormat="false" ht="15" hidden="false" customHeight="false" outlineLevel="0" collapsed="false">
      <c r="A292" s="25" t="n">
        <v>288</v>
      </c>
      <c r="B292" s="26" t="s">
        <v>267</v>
      </c>
      <c r="C292" s="26" t="s">
        <v>268</v>
      </c>
      <c r="D292" s="27" t="s">
        <v>930</v>
      </c>
      <c r="E292" s="26" t="s">
        <v>931</v>
      </c>
      <c r="F292" s="27" t="s">
        <v>757</v>
      </c>
      <c r="G292" s="25" t="str">
        <f aca="false">IF($D292="","",IF(MID($D292,5,1)="S","S(봄)",IF(MID($D292,5,1)="M","M(여름)",IF(MID($D292,5,1)="X","X(사계절)",MID($D292,5,1)))))</f>
        <v>M(여름)</v>
      </c>
      <c r="H292" s="27" t="s">
        <v>209</v>
      </c>
      <c r="I292" s="25" t="s">
        <v>720</v>
      </c>
      <c r="J292" s="28" t="s">
        <v>805</v>
      </c>
      <c r="K292" s="29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9" t="n">
        <f aca="false">IF($K292="","",IF(AND($K292-기준정보!$C$5&gt;=기준정보!$C$10,$K292-기준정보!$C$5&lt;=기준정보!$C$11),기준정보!$C$10-1,$K292-기준정보!$C$5))</f>
        <v>46454</v>
      </c>
      <c r="M292" s="30" t="n">
        <f aca="false">IF($L292="","",IF(OR(ISNUMBER(SEARCH("중국",$U292)),ISNUMBER(SEARCH("베트남",$U292))),MAX(0,MIN($L292,기준정보!$C$9)-MAX($L292-기준정보!$C$6,기준정보!$C$8)+1),IF(ISNUMBER(SEARCH("한국",$U292)),MAX(0,MIN($L292,기준정보!$C$11)-MAX($L292-기준정보!$C$6,기준정보!$C$10)+1),0)))</f>
        <v>15</v>
      </c>
      <c r="N292" s="29" t="n">
        <f aca="false">IF($L292="","",$L292-기준정보!$C$6-$M292)</f>
        <v>46349</v>
      </c>
      <c r="O292" s="31" t="n">
        <f aca="false">IF($N292="","",$N292-기준정보!$C$4)</f>
        <v>107</v>
      </c>
      <c r="P292" s="28" t="s">
        <v>82</v>
      </c>
      <c r="Q292" s="28" t="s">
        <v>83</v>
      </c>
      <c r="R292" s="32"/>
      <c r="S292" s="27" t="str">
        <f aca="false">IF($H292="","",IF(AND(ISNUMBER(SEARCH("CMT",$H292)),OR(ISNUMBER(SEARCH("완사입",$H292)),ISNUMBER(SEARCH("ODM",$H292)))),"본사/생산처 혼재",IF(ISNUMBER(SEARCH("CMT",$H292)),"본사(소재팀)","생산처")))</f>
        <v>본사(소재팀)</v>
      </c>
      <c r="T292" s="26" t="s">
        <v>99</v>
      </c>
      <c r="U292" s="26" t="s">
        <v>85</v>
      </c>
      <c r="V292" s="33" t="n">
        <v>2000</v>
      </c>
      <c r="W292" s="27"/>
      <c r="X292" s="27" t="str">
        <f aca="false">IF($K292="","출고일 미정",IF($P292="X","작지 미발행",IF($P292="부분","작지 일부 미발행",IF(AND($R292&lt;&gt;"",$R292&gt;$N292),"소재입고 마감("&amp;TEXT($N292,"MM/DD")&amp;") 초과",IF($P292="","발행여부 확인 필요",IF($R292="","소재 입고일정 확인 필요","정상"))))))</f>
        <v>소재 입고일정 확인 필요</v>
      </c>
      <c r="Y292" s="25" t="str">
        <f aca="false">IF($K292="","",IF(OR(LEFT($X292,2)="작지",LEFT($X292,4)="소재입고"),IF(LEFT($G292,1)="S","★ 납기위험(S코드)","◆ 지연주의"),IF($X292="정상","✓ 정상","? 확인필요")))</f>
        <v>? 확인필요</v>
      </c>
      <c r="Z292" s="28"/>
      <c r="AA292" s="34"/>
    </row>
    <row r="293" customFormat="false" ht="15" hidden="false" customHeight="false" outlineLevel="0" collapsed="false">
      <c r="A293" s="25" t="n">
        <v>289</v>
      </c>
      <c r="B293" s="26" t="s">
        <v>267</v>
      </c>
      <c r="C293" s="26" t="s">
        <v>268</v>
      </c>
      <c r="D293" s="27" t="s">
        <v>932</v>
      </c>
      <c r="E293" s="26" t="s">
        <v>933</v>
      </c>
      <c r="F293" s="27" t="s">
        <v>119</v>
      </c>
      <c r="G293" s="25" t="str">
        <f aca="false">IF($D293="","",IF(MID($D293,5,1)="S","S(봄)",IF(MID($D293,5,1)="M","M(여름)",IF(MID($D293,5,1)="X","X(사계절)",MID($D293,5,1)))))</f>
        <v>M(여름)</v>
      </c>
      <c r="H293" s="27" t="s">
        <v>209</v>
      </c>
      <c r="I293" s="25" t="s">
        <v>509</v>
      </c>
      <c r="J293" s="28" t="s">
        <v>805</v>
      </c>
      <c r="K293" s="29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9" t="n">
        <f aca="false">IF($K293="","",IF(AND($K293-기준정보!$C$5&gt;=기준정보!$C$10,$K293-기준정보!$C$5&lt;=기준정보!$C$11),기준정보!$C$10-1,$K293-기준정보!$C$5))</f>
        <v>46454</v>
      </c>
      <c r="M293" s="30" t="n">
        <f aca="false">IF($L293="","",IF(OR(ISNUMBER(SEARCH("중국",$U293)),ISNUMBER(SEARCH("베트남",$U293))),MAX(0,MIN($L293,기준정보!$C$9)-MAX($L293-기준정보!$C$6,기준정보!$C$8)+1),IF(ISNUMBER(SEARCH("한국",$U293)),MAX(0,MIN($L293,기준정보!$C$11)-MAX($L293-기준정보!$C$6,기준정보!$C$10)+1),0)))</f>
        <v>15</v>
      </c>
      <c r="N293" s="29" t="n">
        <f aca="false">IF($L293="","",$L293-기준정보!$C$6-$M293)</f>
        <v>46349</v>
      </c>
      <c r="O293" s="31" t="n">
        <f aca="false">IF($N293="","",$N293-기준정보!$C$4)</f>
        <v>107</v>
      </c>
      <c r="P293" s="28" t="s">
        <v>82</v>
      </c>
      <c r="Q293" s="28" t="s">
        <v>83</v>
      </c>
      <c r="R293" s="32"/>
      <c r="S293" s="27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T293" s="26" t="s">
        <v>99</v>
      </c>
      <c r="U293" s="26" t="s">
        <v>85</v>
      </c>
      <c r="V293" s="33" t="n">
        <v>1600</v>
      </c>
      <c r="W293" s="27"/>
      <c r="X293" s="27" t="str">
        <f aca="false">IF($K293="","출고일 미정",IF($P293="X","작지 미발행",IF($P293="부분","작지 일부 미발행",IF(AND($R293&lt;&gt;"",$R293&gt;$N293),"소재입고 마감("&amp;TEXT($N293,"MM/DD")&amp;") 초과",IF($P293="","발행여부 확인 필요",IF($R293="","소재 입고일정 확인 필요","정상"))))))</f>
        <v>소재 입고일정 확인 필요</v>
      </c>
      <c r="Y293" s="25" t="str">
        <f aca="false">IF($K293="","",IF(OR(LEFT($X293,2)="작지",LEFT($X293,4)="소재입고"),IF(LEFT($G293,1)="S","★ 납기위험(S코드)","◆ 지연주의"),IF($X293="정상","✓ 정상","? 확인필요")))</f>
        <v>? 확인필요</v>
      </c>
      <c r="Z293" s="28"/>
      <c r="AA293" s="34"/>
    </row>
    <row r="294" customFormat="false" ht="15" hidden="false" customHeight="false" outlineLevel="0" collapsed="false">
      <c r="A294" s="25" t="n">
        <v>290</v>
      </c>
      <c r="B294" s="26" t="s">
        <v>267</v>
      </c>
      <c r="C294" s="26" t="s">
        <v>268</v>
      </c>
      <c r="D294" s="27" t="s">
        <v>934</v>
      </c>
      <c r="E294" s="26" t="s">
        <v>935</v>
      </c>
      <c r="F294" s="27" t="s">
        <v>936</v>
      </c>
      <c r="G294" s="25" t="str">
        <f aca="false">IF($D294="","",IF(MID($D294,5,1)="S","S(봄)",IF(MID($D294,5,1)="M","M(여름)",IF(MID($D294,5,1)="X","X(사계절)",MID($D294,5,1)))))</f>
        <v>M(여름)</v>
      </c>
      <c r="H294" s="27" t="s">
        <v>209</v>
      </c>
      <c r="I294" s="25" t="s">
        <v>506</v>
      </c>
      <c r="J294" s="28" t="s">
        <v>805</v>
      </c>
      <c r="K294" s="29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9" t="n">
        <f aca="false">IF($K294="","",IF(AND($K294-기준정보!$C$5&gt;=기준정보!$C$10,$K294-기준정보!$C$5&lt;=기준정보!$C$11),기준정보!$C$10-1,$K294-기준정보!$C$5))</f>
        <v>46454</v>
      </c>
      <c r="M294" s="30" t="n">
        <f aca="false">IF($L294="","",IF(OR(ISNUMBER(SEARCH("중국",$U294)),ISNUMBER(SEARCH("베트남",$U294))),MAX(0,MIN($L294,기준정보!$C$9)-MAX($L294-기준정보!$C$6,기준정보!$C$8)+1),IF(ISNUMBER(SEARCH("한국",$U294)),MAX(0,MIN($L294,기준정보!$C$11)-MAX($L294-기준정보!$C$6,기준정보!$C$10)+1),0)))</f>
        <v>15</v>
      </c>
      <c r="N294" s="29" t="n">
        <f aca="false">IF($L294="","",$L294-기준정보!$C$6-$M294)</f>
        <v>46349</v>
      </c>
      <c r="O294" s="31" t="n">
        <f aca="false">IF($N294="","",$N294-기준정보!$C$4)</f>
        <v>107</v>
      </c>
      <c r="P294" s="28" t="s">
        <v>82</v>
      </c>
      <c r="Q294" s="28" t="s">
        <v>83</v>
      </c>
      <c r="R294" s="32"/>
      <c r="S294" s="27" t="str">
        <f aca="false">IF($H294="","",IF(AND(ISNUMBER(SEARCH("CMT",$H294)),OR(ISNUMBER(SEARCH("완사입",$H294)),ISNUMBER(SEARCH("ODM",$H294)))),"본사/생산처 혼재",IF(ISNUMBER(SEARCH("CMT",$H294)),"본사(소재팀)","생산처")))</f>
        <v>본사(소재팀)</v>
      </c>
      <c r="T294" s="27" t="s">
        <v>235</v>
      </c>
      <c r="U294" s="26" t="s">
        <v>85</v>
      </c>
      <c r="V294" s="33" t="n">
        <v>14000</v>
      </c>
      <c r="W294" s="27"/>
      <c r="X294" s="27" t="str">
        <f aca="false">IF($K294="","출고일 미정",IF($P294="X","작지 미발행",IF($P294="부분","작지 일부 미발행",IF(AND($R294&lt;&gt;"",$R294&gt;$N294),"소재입고 마감("&amp;TEXT($N294,"MM/DD")&amp;") 초과",IF($P294="","발행여부 확인 필요",IF($R294="","소재 입고일정 확인 필요","정상"))))))</f>
        <v>소재 입고일정 확인 필요</v>
      </c>
      <c r="Y294" s="25" t="str">
        <f aca="false">IF($K294="","",IF(OR(LEFT($X294,2)="작지",LEFT($X294,4)="소재입고"),IF(LEFT($G294,1)="S","★ 납기위험(S코드)","◆ 지연주의"),IF($X294="정상","✓ 정상","? 확인필요")))</f>
        <v>? 확인필요</v>
      </c>
      <c r="Z294" s="28"/>
      <c r="AA294" s="34"/>
    </row>
    <row r="295" customFormat="false" ht="15" hidden="false" customHeight="false" outlineLevel="0" collapsed="false">
      <c r="A295" s="25" t="n">
        <v>291</v>
      </c>
      <c r="B295" s="26" t="s">
        <v>267</v>
      </c>
      <c r="C295" s="26" t="s">
        <v>268</v>
      </c>
      <c r="D295" s="27" t="s">
        <v>937</v>
      </c>
      <c r="E295" s="26" t="s">
        <v>938</v>
      </c>
      <c r="F295" s="27" t="s">
        <v>939</v>
      </c>
      <c r="G295" s="25" t="str">
        <f aca="false">IF($D295="","",IF(MID($D295,5,1)="S","S(봄)",IF(MID($D295,5,1)="M","M(여름)",IF(MID($D295,5,1)="X","X(사계절)",MID($D295,5,1)))))</f>
        <v>M(여름)</v>
      </c>
      <c r="H295" s="27" t="s">
        <v>209</v>
      </c>
      <c r="I295" s="25" t="s">
        <v>506</v>
      </c>
      <c r="J295" s="28" t="s">
        <v>805</v>
      </c>
      <c r="K295" s="29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9" t="n">
        <f aca="false">IF($K295="","",IF(AND($K295-기준정보!$C$5&gt;=기준정보!$C$10,$K295-기준정보!$C$5&lt;=기준정보!$C$11),기준정보!$C$10-1,$K295-기준정보!$C$5))</f>
        <v>46454</v>
      </c>
      <c r="M295" s="30" t="n">
        <f aca="false">IF($L295="","",IF(OR(ISNUMBER(SEARCH("중국",$U295)),ISNUMBER(SEARCH("베트남",$U295))),MAX(0,MIN($L295,기준정보!$C$9)-MAX($L295-기준정보!$C$6,기준정보!$C$8)+1),IF(ISNUMBER(SEARCH("한국",$U295)),MAX(0,MIN($L295,기준정보!$C$11)-MAX($L295-기준정보!$C$6,기준정보!$C$10)+1),0)))</f>
        <v>15</v>
      </c>
      <c r="N295" s="29" t="n">
        <f aca="false">IF($L295="","",$L295-기준정보!$C$6-$M295)</f>
        <v>46349</v>
      </c>
      <c r="O295" s="31" t="n">
        <f aca="false">IF($N295="","",$N295-기준정보!$C$4)</f>
        <v>107</v>
      </c>
      <c r="P295" s="28" t="s">
        <v>82</v>
      </c>
      <c r="Q295" s="28" t="s">
        <v>83</v>
      </c>
      <c r="R295" s="32"/>
      <c r="S295" s="27" t="str">
        <f aca="false">IF($H295="","",IF(AND(ISNUMBER(SEARCH("CMT",$H295)),OR(ISNUMBER(SEARCH("완사입",$H295)),ISNUMBER(SEARCH("ODM",$H295)))),"본사/생산처 혼재",IF(ISNUMBER(SEARCH("CMT",$H295)),"본사(소재팀)","생산처")))</f>
        <v>본사(소재팀)</v>
      </c>
      <c r="T295" s="27" t="s">
        <v>235</v>
      </c>
      <c r="U295" s="26" t="s">
        <v>85</v>
      </c>
      <c r="V295" s="33" t="n">
        <v>5500</v>
      </c>
      <c r="W295" s="27"/>
      <c r="X295" s="27" t="str">
        <f aca="false">IF($K295="","출고일 미정",IF($P295="X","작지 미발행",IF($P295="부분","작지 일부 미발행",IF(AND($R295&lt;&gt;"",$R295&gt;$N295),"소재입고 마감("&amp;TEXT($N295,"MM/DD")&amp;") 초과",IF($P295="","발행여부 확인 필요",IF($R295="","소재 입고일정 확인 필요","정상"))))))</f>
        <v>소재 입고일정 확인 필요</v>
      </c>
      <c r="Y295" s="25" t="str">
        <f aca="false">IF($K295="","",IF(OR(LEFT($X295,2)="작지",LEFT($X295,4)="소재입고"),IF(LEFT($G295,1)="S","★ 납기위험(S코드)","◆ 지연주의"),IF($X295="정상","✓ 정상","? 확인필요")))</f>
        <v>? 확인필요</v>
      </c>
      <c r="Z295" s="28"/>
      <c r="AA295" s="34"/>
    </row>
    <row r="296" customFormat="false" ht="15" hidden="false" customHeight="false" outlineLevel="0" collapsed="false">
      <c r="A296" s="25" t="n">
        <v>292</v>
      </c>
      <c r="B296" s="26" t="s">
        <v>267</v>
      </c>
      <c r="C296" s="26" t="s">
        <v>262</v>
      </c>
      <c r="D296" s="27" t="s">
        <v>940</v>
      </c>
      <c r="E296" s="26" t="s">
        <v>941</v>
      </c>
      <c r="F296" s="27" t="s">
        <v>942</v>
      </c>
      <c r="G296" s="25" t="str">
        <f aca="false">IF($D296="","",IF(MID($D296,5,1)="S","S(봄)",IF(MID($D296,5,1)="M","M(여름)",IF(MID($D296,5,1)="X","X(사계절)",MID($D296,5,1)))))</f>
        <v>M(여름)</v>
      </c>
      <c r="H296" s="26" t="s">
        <v>79</v>
      </c>
      <c r="I296" s="25" t="s">
        <v>506</v>
      </c>
      <c r="J296" s="28" t="s">
        <v>805</v>
      </c>
      <c r="K296" s="29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9" t="n">
        <f aca="false">IF($K296="","",IF(AND($K296-기준정보!$C$5&gt;=기준정보!$C$10,$K296-기준정보!$C$5&lt;=기준정보!$C$11),기준정보!$C$10-1,$K296-기준정보!$C$5))</f>
        <v>46454</v>
      </c>
      <c r="M296" s="30" t="n">
        <f aca="false">IF($L296="","",IF(OR(ISNUMBER(SEARCH("중국",$U296)),ISNUMBER(SEARCH("베트남",$U296))),MAX(0,MIN($L296,기준정보!$C$9)-MAX($L296-기준정보!$C$6,기준정보!$C$8)+1),IF(ISNUMBER(SEARCH("한국",$U296)),MAX(0,MIN($L296,기준정보!$C$11)-MAX($L296-기준정보!$C$6,기준정보!$C$10)+1),0)))</f>
        <v>15</v>
      </c>
      <c r="N296" s="29" t="n">
        <f aca="false">IF($L296="","",$L296-기준정보!$C$6-$M296)</f>
        <v>46349</v>
      </c>
      <c r="O296" s="31" t="n">
        <f aca="false">IF($N296="","",$N296-기준정보!$C$4)</f>
        <v>107</v>
      </c>
      <c r="P296" s="28" t="s">
        <v>82</v>
      </c>
      <c r="Q296" s="28" t="s">
        <v>83</v>
      </c>
      <c r="R296" s="32"/>
      <c r="S296" s="27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T296" s="26" t="s">
        <v>239</v>
      </c>
      <c r="U296" s="26" t="s">
        <v>85</v>
      </c>
      <c r="V296" s="33" t="n">
        <v>2800</v>
      </c>
      <c r="W296" s="27"/>
      <c r="X296" s="27" t="str">
        <f aca="false">IF($K296="","출고일 미정",IF($P296="X","작지 미발행",IF($P296="부분","작지 일부 미발행",IF(AND($R296&lt;&gt;"",$R296&gt;$N296),"소재입고 마감("&amp;TEXT($N296,"MM/DD")&amp;") 초과",IF($P296="","발행여부 확인 필요",IF($R296="","소재 입고일정 확인 필요","정상"))))))</f>
        <v>소재 입고일정 확인 필요</v>
      </c>
      <c r="Y296" s="25" t="str">
        <f aca="false">IF($K296="","",IF(OR(LEFT($X296,2)="작지",LEFT($X296,4)="소재입고"),IF(LEFT($G296,1)="S","★ 납기위험(S코드)","◆ 지연주의"),IF($X296="정상","✓ 정상","? 확인필요")))</f>
        <v>? 확인필요</v>
      </c>
      <c r="Z296" s="28"/>
      <c r="AA296" s="34"/>
    </row>
    <row r="297" customFormat="false" ht="15" hidden="false" customHeight="false" outlineLevel="0" collapsed="false">
      <c r="A297" s="25" t="n">
        <v>293</v>
      </c>
      <c r="B297" s="26" t="s">
        <v>267</v>
      </c>
      <c r="C297" s="26" t="s">
        <v>125</v>
      </c>
      <c r="D297" s="27" t="s">
        <v>943</v>
      </c>
      <c r="E297" s="26" t="s">
        <v>944</v>
      </c>
      <c r="F297" s="27" t="s">
        <v>945</v>
      </c>
      <c r="G297" s="25" t="str">
        <f aca="false">IF($D297="","",IF(MID($D297,5,1)="S","S(봄)",IF(MID($D297,5,1)="M","M(여름)",IF(MID($D297,5,1)="X","X(사계절)",MID($D297,5,1)))))</f>
        <v>M(여름)</v>
      </c>
      <c r="H297" s="26" t="s">
        <v>79</v>
      </c>
      <c r="I297" s="25" t="s">
        <v>506</v>
      </c>
      <c r="J297" s="28" t="s">
        <v>805</v>
      </c>
      <c r="K297" s="29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9" t="n">
        <f aca="false">IF($K297="","",IF(AND($K297-기준정보!$C$5&gt;=기준정보!$C$10,$K297-기준정보!$C$5&lt;=기준정보!$C$11),기준정보!$C$10-1,$K297-기준정보!$C$5))</f>
        <v>46454</v>
      </c>
      <c r="M297" s="30" t="n">
        <f aca="false">IF($L297="","",IF(OR(ISNUMBER(SEARCH("중국",$U297)),ISNUMBER(SEARCH("베트남",$U297))),MAX(0,MIN($L297,기준정보!$C$9)-MAX($L297-기준정보!$C$6,기준정보!$C$8)+1),IF(ISNUMBER(SEARCH("한국",$U297)),MAX(0,MIN($L297,기준정보!$C$11)-MAX($L297-기준정보!$C$6,기준정보!$C$10)+1),0)))</f>
        <v>15</v>
      </c>
      <c r="N297" s="29" t="n">
        <f aca="false">IF($L297="","",$L297-기준정보!$C$6-$M297)</f>
        <v>46349</v>
      </c>
      <c r="O297" s="31" t="n">
        <f aca="false">IF($N297="","",$N297-기준정보!$C$4)</f>
        <v>107</v>
      </c>
      <c r="P297" s="28" t="s">
        <v>82</v>
      </c>
      <c r="Q297" s="28"/>
      <c r="R297" s="32"/>
      <c r="S297" s="27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T297" s="27" t="s">
        <v>243</v>
      </c>
      <c r="U297" s="26" t="s">
        <v>85</v>
      </c>
      <c r="V297" s="33" t="n">
        <v>6000</v>
      </c>
      <c r="W297" s="27"/>
      <c r="X297" s="27" t="str">
        <f aca="false">IF($K297="","출고일 미정",IF($P297="X","작지 미발행",IF($P297="부분","작지 일부 미발행",IF(AND($R297&lt;&gt;"",$R297&gt;$N297),"소재입고 마감("&amp;TEXT($N297,"MM/DD")&amp;") 초과",IF($P297="","발행여부 확인 필요",IF($R297="","소재 입고일정 확인 필요","정상"))))))</f>
        <v>소재 입고일정 확인 필요</v>
      </c>
      <c r="Y297" s="25" t="str">
        <f aca="false">IF($K297="","",IF(OR(LEFT($X297,2)="작지",LEFT($X297,4)="소재입고"),IF(LEFT($G297,1)="S","★ 납기위험(S코드)","◆ 지연주의"),IF($X297="정상","✓ 정상","? 확인필요")))</f>
        <v>? 확인필요</v>
      </c>
      <c r="Z297" s="28"/>
      <c r="AA297" s="34"/>
    </row>
    <row r="298" customFormat="false" ht="15" hidden="false" customHeight="false" outlineLevel="0" collapsed="false">
      <c r="A298" s="25" t="n">
        <v>294</v>
      </c>
      <c r="B298" s="26" t="s">
        <v>124</v>
      </c>
      <c r="C298" s="26" t="s">
        <v>125</v>
      </c>
      <c r="D298" s="27" t="s">
        <v>946</v>
      </c>
      <c r="E298" s="26" t="s">
        <v>947</v>
      </c>
      <c r="F298" s="27" t="s">
        <v>838</v>
      </c>
      <c r="G298" s="25" t="str">
        <f aca="false">IF($D298="","",IF(MID($D298,5,1)="S","S(봄)",IF(MID($D298,5,1)="M","M(여름)",IF(MID($D298,5,1)="X","X(사계절)",MID($D298,5,1)))))</f>
        <v>M(여름)</v>
      </c>
      <c r="H298" s="26" t="s">
        <v>79</v>
      </c>
      <c r="I298" s="25"/>
      <c r="J298" s="28" t="s">
        <v>805</v>
      </c>
      <c r="K298" s="29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9" t="n">
        <f aca="false">IF($K298="","",IF(AND($K298-기준정보!$C$5&gt;=기준정보!$C$10,$K298-기준정보!$C$5&lt;=기준정보!$C$11),기준정보!$C$10-1,$K298-기준정보!$C$5))</f>
        <v>46454</v>
      </c>
      <c r="M298" s="30" t="n">
        <f aca="false">IF($L298="","",IF(OR(ISNUMBER(SEARCH("중국",$U298)),ISNUMBER(SEARCH("베트남",$U298))),MAX(0,MIN($L298,기준정보!$C$9)-MAX($L298-기준정보!$C$6,기준정보!$C$8)+1),IF(ISNUMBER(SEARCH("한국",$U298)),MAX(0,MIN($L298,기준정보!$C$11)-MAX($L298-기준정보!$C$6,기준정보!$C$10)+1),0)))</f>
        <v>0</v>
      </c>
      <c r="N298" s="29" t="n">
        <f aca="false">IF($L298="","",$L298-기준정보!$C$6-$M298)</f>
        <v>46364</v>
      </c>
      <c r="O298" s="31" t="n">
        <f aca="false">IF($N298="","",$N298-기준정보!$C$4)</f>
        <v>122</v>
      </c>
      <c r="P298" s="28" t="s">
        <v>82</v>
      </c>
      <c r="Q298" s="28" t="s">
        <v>83</v>
      </c>
      <c r="R298" s="32"/>
      <c r="S298" s="27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T298" s="27" t="s">
        <v>243</v>
      </c>
      <c r="U298" s="26" t="s">
        <v>90</v>
      </c>
      <c r="V298" s="33" t="n">
        <v>10000</v>
      </c>
      <c r="W298" s="27" t="s">
        <v>805</v>
      </c>
      <c r="X298" s="27" t="str">
        <f aca="false">IF($K298="","출고일 미정",IF($P298="X","작지 미발행",IF($P298="부분","작지 일부 미발행",IF(AND($R298&lt;&gt;"",$R298&gt;$N298),"소재입고 마감("&amp;TEXT($N298,"MM/DD")&amp;") 초과",IF($P298="","발행여부 확인 필요",IF($R298="","소재 입고일정 확인 필요","정상"))))))</f>
        <v>소재 입고일정 확인 필요</v>
      </c>
      <c r="Y298" s="25" t="str">
        <f aca="false">IF($K298="","",IF(OR(LEFT($X298,2)="작지",LEFT($X298,4)="소재입고"),IF(LEFT($G298,1)="S","★ 납기위험(S코드)","◆ 지연주의"),IF($X298="정상","✓ 정상","? 확인필요")))</f>
        <v>? 확인필요</v>
      </c>
      <c r="Z298" s="28"/>
      <c r="AA298" s="34"/>
    </row>
    <row r="299" customFormat="false" ht="15" hidden="false" customHeight="false" outlineLevel="0" collapsed="false">
      <c r="A299" s="25" t="n">
        <v>295</v>
      </c>
      <c r="B299" s="26" t="s">
        <v>267</v>
      </c>
      <c r="C299" s="26" t="s">
        <v>262</v>
      </c>
      <c r="D299" s="27" t="s">
        <v>948</v>
      </c>
      <c r="E299" s="26" t="s">
        <v>949</v>
      </c>
      <c r="F299" s="27" t="s">
        <v>921</v>
      </c>
      <c r="G299" s="25" t="str">
        <f aca="false">IF($D299="","",IF(MID($D299,5,1)="S","S(봄)",IF(MID($D299,5,1)="M","M(여름)",IF(MID($D299,5,1)="X","X(사계절)",MID($D299,5,1)))))</f>
        <v>M(여름)</v>
      </c>
      <c r="H299" s="26" t="s">
        <v>79</v>
      </c>
      <c r="I299" s="25" t="s">
        <v>506</v>
      </c>
      <c r="J299" s="28" t="s">
        <v>805</v>
      </c>
      <c r="K299" s="29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9" t="n">
        <f aca="false">IF($K299="","",IF(AND($K299-기준정보!$C$5&gt;=기준정보!$C$10,$K299-기준정보!$C$5&lt;=기준정보!$C$11),기준정보!$C$10-1,$K299-기준정보!$C$5))</f>
        <v>46454</v>
      </c>
      <c r="M299" s="30" t="n">
        <f aca="false">IF($L299="","",IF(OR(ISNUMBER(SEARCH("중국",$U299)),ISNUMBER(SEARCH("베트남",$U299))),MAX(0,MIN($L299,기준정보!$C$9)-MAX($L299-기준정보!$C$6,기준정보!$C$8)+1),IF(ISNUMBER(SEARCH("한국",$U299)),MAX(0,MIN($L299,기준정보!$C$11)-MAX($L299-기준정보!$C$6,기준정보!$C$10)+1),0)))</f>
        <v>15</v>
      </c>
      <c r="N299" s="29" t="n">
        <f aca="false">IF($L299="","",$L299-기준정보!$C$6-$M299)</f>
        <v>46349</v>
      </c>
      <c r="O299" s="31" t="n">
        <f aca="false">IF($N299="","",$N299-기준정보!$C$4)</f>
        <v>107</v>
      </c>
      <c r="P299" s="28" t="s">
        <v>82</v>
      </c>
      <c r="Q299" s="28" t="s">
        <v>83</v>
      </c>
      <c r="R299" s="32"/>
      <c r="S299" s="27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T299" s="27" t="s">
        <v>243</v>
      </c>
      <c r="U299" s="26" t="s">
        <v>85</v>
      </c>
      <c r="V299" s="33" t="n">
        <v>7700</v>
      </c>
      <c r="W299" s="27"/>
      <c r="X299" s="27" t="str">
        <f aca="false">IF($K299="","출고일 미정",IF($P299="X","작지 미발행",IF($P299="부분","작지 일부 미발행",IF(AND($R299&lt;&gt;"",$R299&gt;$N299),"소재입고 마감("&amp;TEXT($N299,"MM/DD")&amp;") 초과",IF($P299="","발행여부 확인 필요",IF($R299="","소재 입고일정 확인 필요","정상"))))))</f>
        <v>소재 입고일정 확인 필요</v>
      </c>
      <c r="Y299" s="25" t="str">
        <f aca="false">IF($K299="","",IF(OR(LEFT($X299,2)="작지",LEFT($X299,4)="소재입고"),IF(LEFT($G299,1)="S","★ 납기위험(S코드)","◆ 지연주의"),IF($X299="정상","✓ 정상","? 확인필요")))</f>
        <v>? 확인필요</v>
      </c>
      <c r="Z299" s="28"/>
      <c r="AA299" s="34"/>
    </row>
    <row r="300" customFormat="false" ht="15" hidden="false" customHeight="false" outlineLevel="0" collapsed="false">
      <c r="A300" s="25" t="n">
        <v>296</v>
      </c>
      <c r="B300" s="26" t="s">
        <v>267</v>
      </c>
      <c r="C300" s="26" t="s">
        <v>262</v>
      </c>
      <c r="D300" s="27" t="s">
        <v>950</v>
      </c>
      <c r="E300" s="26" t="s">
        <v>951</v>
      </c>
      <c r="F300" s="27" t="s">
        <v>952</v>
      </c>
      <c r="G300" s="25" t="str">
        <f aca="false">IF($D300="","",IF(MID($D300,5,1)="S","S(봄)",IF(MID($D300,5,1)="M","M(여름)",IF(MID($D300,5,1)="X","X(사계절)",MID($D300,5,1)))))</f>
        <v>M(여름)</v>
      </c>
      <c r="H300" s="27" t="s">
        <v>209</v>
      </c>
      <c r="I300" s="25" t="s">
        <v>506</v>
      </c>
      <c r="J300" s="28" t="s">
        <v>805</v>
      </c>
      <c r="K300" s="29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9" t="n">
        <f aca="false">IF($K300="","",IF(AND($K300-기준정보!$C$5&gt;=기준정보!$C$10,$K300-기준정보!$C$5&lt;=기준정보!$C$11),기준정보!$C$10-1,$K300-기준정보!$C$5))</f>
        <v>46454</v>
      </c>
      <c r="M300" s="30" t="n">
        <f aca="false">IF($L300="","",IF(OR(ISNUMBER(SEARCH("중국",$U300)),ISNUMBER(SEARCH("베트남",$U300))),MAX(0,MIN($L300,기준정보!$C$9)-MAX($L300-기준정보!$C$6,기준정보!$C$8)+1),IF(ISNUMBER(SEARCH("한국",$U300)),MAX(0,MIN($L300,기준정보!$C$11)-MAX($L300-기준정보!$C$6,기준정보!$C$10)+1),0)))</f>
        <v>0</v>
      </c>
      <c r="N300" s="29" t="n">
        <f aca="false">IF($L300="","",$L300-기준정보!$C$6-$M300)</f>
        <v>46364</v>
      </c>
      <c r="O300" s="31" t="n">
        <f aca="false">IF($N300="","",$N300-기준정보!$C$4)</f>
        <v>122</v>
      </c>
      <c r="P300" s="28" t="s">
        <v>82</v>
      </c>
      <c r="Q300" s="28" t="s">
        <v>83</v>
      </c>
      <c r="R300" s="32"/>
      <c r="S300" s="27" t="str">
        <f aca="false">IF($H300="","",IF(AND(ISNUMBER(SEARCH("CMT",$H300)),OR(ISNUMBER(SEARCH("완사입",$H300)),ISNUMBER(SEARCH("ODM",$H300)))),"본사/생산처 혼재",IF(ISNUMBER(SEARCH("CMT",$H300)),"본사(소재팀)","생산처")))</f>
        <v>본사(소재팀)</v>
      </c>
      <c r="T300" s="27" t="s">
        <v>243</v>
      </c>
      <c r="U300" s="26" t="s">
        <v>90</v>
      </c>
      <c r="V300" s="33" t="n">
        <v>2300</v>
      </c>
      <c r="W300" s="27"/>
      <c r="X300" s="27" t="str">
        <f aca="false">IF($K300="","출고일 미정",IF($P300="X","작지 미발행",IF($P300="부분","작지 일부 미발행",IF(AND($R300&lt;&gt;"",$R300&gt;$N300),"소재입고 마감("&amp;TEXT($N300,"MM/DD")&amp;") 초과",IF($P300="","발행여부 확인 필요",IF($R300="","소재 입고일정 확인 필요","정상"))))))</f>
        <v>소재 입고일정 확인 필요</v>
      </c>
      <c r="Y300" s="25" t="str">
        <f aca="false">IF($K300="","",IF(OR(LEFT($X300,2)="작지",LEFT($X300,4)="소재입고"),IF(LEFT($G300,1)="S","★ 납기위험(S코드)","◆ 지연주의"),IF($X300="정상","✓ 정상","? 확인필요")))</f>
        <v>? 확인필요</v>
      </c>
      <c r="Z300" s="28"/>
      <c r="AA300" s="34"/>
    </row>
    <row r="301" customFormat="false" ht="15" hidden="false" customHeight="false" outlineLevel="0" collapsed="false">
      <c r="A301" s="25" t="n">
        <v>297</v>
      </c>
      <c r="B301" s="26" t="s">
        <v>253</v>
      </c>
      <c r="C301" s="26" t="s">
        <v>262</v>
      </c>
      <c r="D301" s="27" t="s">
        <v>953</v>
      </c>
      <c r="E301" s="26" t="s">
        <v>954</v>
      </c>
      <c r="F301" s="27" t="s">
        <v>955</v>
      </c>
      <c r="G301" s="25" t="str">
        <f aca="false">IF($D301="","",IF(MID($D301,5,1)="S","S(봄)",IF(MID($D301,5,1)="M","M(여름)",IF(MID($D301,5,1)="X","X(사계절)",MID($D301,5,1)))))</f>
        <v>M(여름)</v>
      </c>
      <c r="H301" s="27" t="s">
        <v>209</v>
      </c>
      <c r="I301" s="25"/>
      <c r="J301" s="28" t="s">
        <v>805</v>
      </c>
      <c r="K301" s="29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9" t="n">
        <f aca="false">IF($K301="","",IF(AND($K301-기준정보!$C$5&gt;=기준정보!$C$10,$K301-기준정보!$C$5&lt;=기준정보!$C$11),기준정보!$C$10-1,$K301-기준정보!$C$5))</f>
        <v>46454</v>
      </c>
      <c r="M301" s="30" t="n">
        <f aca="false">IF($L301="","",IF(OR(ISNUMBER(SEARCH("중국",$U301)),ISNUMBER(SEARCH("베트남",$U301))),MAX(0,MIN($L301,기준정보!$C$9)-MAX($L301-기준정보!$C$6,기준정보!$C$8)+1),IF(ISNUMBER(SEARCH("한국",$U301)),MAX(0,MIN($L301,기준정보!$C$11)-MAX($L301-기준정보!$C$6,기준정보!$C$10)+1),0)))</f>
        <v>15</v>
      </c>
      <c r="N301" s="29" t="n">
        <f aca="false">IF($L301="","",$L301-기준정보!$C$6-$M301)</f>
        <v>46349</v>
      </c>
      <c r="O301" s="31" t="n">
        <f aca="false">IF($N301="","",$N301-기준정보!$C$4)</f>
        <v>107</v>
      </c>
      <c r="P301" s="28" t="s">
        <v>82</v>
      </c>
      <c r="Q301" s="28" t="s">
        <v>83</v>
      </c>
      <c r="R301" s="32"/>
      <c r="S301" s="27" t="str">
        <f aca="false">IF($H301="","",IF(AND(ISNUMBER(SEARCH("CMT",$H301)),OR(ISNUMBER(SEARCH("완사입",$H301)),ISNUMBER(SEARCH("ODM",$H301)))),"본사/생산처 혼재",IF(ISNUMBER(SEARCH("CMT",$H301)),"본사(소재팀)","생산처")))</f>
        <v>본사(소재팀)</v>
      </c>
      <c r="T301" s="27" t="s">
        <v>235</v>
      </c>
      <c r="U301" s="26" t="s">
        <v>85</v>
      </c>
      <c r="V301" s="33" t="n">
        <v>3500</v>
      </c>
      <c r="W301" s="27" t="s">
        <v>805</v>
      </c>
      <c r="X301" s="27" t="str">
        <f aca="false">IF($K301="","출고일 미정",IF($P301="X","작지 미발행",IF($P301="부분","작지 일부 미발행",IF(AND($R301&lt;&gt;"",$R301&gt;$N301),"소재입고 마감("&amp;TEXT($N301,"MM/DD")&amp;") 초과",IF($P301="","발행여부 확인 필요",IF($R301="","소재 입고일정 확인 필요","정상"))))))</f>
        <v>소재 입고일정 확인 필요</v>
      </c>
      <c r="Y301" s="25" t="str">
        <f aca="false">IF($K301="","",IF(OR(LEFT($X301,2)="작지",LEFT($X301,4)="소재입고"),IF(LEFT($G301,1)="S","★ 납기위험(S코드)","◆ 지연주의"),IF($X301="정상","✓ 정상","? 확인필요")))</f>
        <v>? 확인필요</v>
      </c>
      <c r="Z301" s="28"/>
      <c r="AA301" s="34"/>
    </row>
    <row r="302" customFormat="false" ht="15" hidden="false" customHeight="false" outlineLevel="0" collapsed="false">
      <c r="A302" s="25" t="n">
        <v>298</v>
      </c>
      <c r="B302" s="26" t="s">
        <v>253</v>
      </c>
      <c r="C302" s="26" t="s">
        <v>262</v>
      </c>
      <c r="D302" s="27" t="s">
        <v>956</v>
      </c>
      <c r="E302" s="26" t="s">
        <v>957</v>
      </c>
      <c r="F302" s="27" t="s">
        <v>958</v>
      </c>
      <c r="G302" s="25" t="str">
        <f aca="false">IF($D302="","",IF(MID($D302,5,1)="S","S(봄)",IF(MID($D302,5,1)="M","M(여름)",IF(MID($D302,5,1)="X","X(사계절)",MID($D302,5,1)))))</f>
        <v>M(여름)</v>
      </c>
      <c r="H302" s="27" t="s">
        <v>209</v>
      </c>
      <c r="I302" s="25"/>
      <c r="J302" s="28" t="s">
        <v>805</v>
      </c>
      <c r="K302" s="29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9" t="n">
        <f aca="false">IF($K302="","",IF(AND($K302-기준정보!$C$5&gt;=기준정보!$C$10,$K302-기준정보!$C$5&lt;=기준정보!$C$11),기준정보!$C$10-1,$K302-기준정보!$C$5))</f>
        <v>46454</v>
      </c>
      <c r="M302" s="30" t="n">
        <f aca="false">IF($L302="","",IF(OR(ISNUMBER(SEARCH("중국",$U302)),ISNUMBER(SEARCH("베트남",$U302))),MAX(0,MIN($L302,기준정보!$C$9)-MAX($L302-기준정보!$C$6,기준정보!$C$8)+1),IF(ISNUMBER(SEARCH("한국",$U302)),MAX(0,MIN($L302,기준정보!$C$11)-MAX($L302-기준정보!$C$6,기준정보!$C$10)+1),0)))</f>
        <v>15</v>
      </c>
      <c r="N302" s="29" t="n">
        <f aca="false">IF($L302="","",$L302-기준정보!$C$6-$M302)</f>
        <v>46349</v>
      </c>
      <c r="O302" s="31" t="n">
        <f aca="false">IF($N302="","",$N302-기준정보!$C$4)</f>
        <v>107</v>
      </c>
      <c r="P302" s="28" t="s">
        <v>82</v>
      </c>
      <c r="Q302" s="28" t="s">
        <v>83</v>
      </c>
      <c r="R302" s="32"/>
      <c r="S302" s="27" t="str">
        <f aca="false">IF($H302="","",IF(AND(ISNUMBER(SEARCH("CMT",$H302)),OR(ISNUMBER(SEARCH("완사입",$H302)),ISNUMBER(SEARCH("ODM",$H302)))),"본사/생산처 혼재",IF(ISNUMBER(SEARCH("CMT",$H302)),"본사(소재팀)","생산처")))</f>
        <v>본사(소재팀)</v>
      </c>
      <c r="T302" s="27" t="s">
        <v>235</v>
      </c>
      <c r="U302" s="26" t="s">
        <v>85</v>
      </c>
      <c r="V302" s="33" t="n">
        <v>1600</v>
      </c>
      <c r="W302" s="27" t="s">
        <v>805</v>
      </c>
      <c r="X302" s="27" t="str">
        <f aca="false">IF($K302="","출고일 미정",IF($P302="X","작지 미발행",IF($P302="부분","작지 일부 미발행",IF(AND($R302&lt;&gt;"",$R302&gt;$N302),"소재입고 마감("&amp;TEXT($N302,"MM/DD")&amp;") 초과",IF($P302="","발행여부 확인 필요",IF($R302="","소재 입고일정 확인 필요","정상"))))))</f>
        <v>소재 입고일정 확인 필요</v>
      </c>
      <c r="Y302" s="25" t="str">
        <f aca="false">IF($K302="","",IF(OR(LEFT($X302,2)="작지",LEFT($X302,4)="소재입고"),IF(LEFT($G302,1)="S","★ 납기위험(S코드)","◆ 지연주의"),IF($X302="정상","✓ 정상","? 확인필요")))</f>
        <v>? 확인필요</v>
      </c>
      <c r="Z302" s="28"/>
      <c r="AA302" s="34"/>
    </row>
    <row r="303" customFormat="false" ht="15" hidden="false" customHeight="false" outlineLevel="0" collapsed="false">
      <c r="A303" s="25" t="n">
        <v>299</v>
      </c>
      <c r="B303" s="26" t="s">
        <v>253</v>
      </c>
      <c r="C303" s="26" t="s">
        <v>262</v>
      </c>
      <c r="D303" s="27" t="s">
        <v>959</v>
      </c>
      <c r="E303" s="26" t="s">
        <v>960</v>
      </c>
      <c r="F303" s="27" t="s">
        <v>955</v>
      </c>
      <c r="G303" s="25" t="str">
        <f aca="false">IF($D303="","",IF(MID($D303,5,1)="S","S(봄)",IF(MID($D303,5,1)="M","M(여름)",IF(MID($D303,5,1)="X","X(사계절)",MID($D303,5,1)))))</f>
        <v>M(여름)</v>
      </c>
      <c r="H303" s="27" t="s">
        <v>209</v>
      </c>
      <c r="I303" s="25"/>
      <c r="J303" s="28" t="s">
        <v>805</v>
      </c>
      <c r="K303" s="29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9" t="n">
        <f aca="false">IF($K303="","",IF(AND($K303-기준정보!$C$5&gt;=기준정보!$C$10,$K303-기준정보!$C$5&lt;=기준정보!$C$11),기준정보!$C$10-1,$K303-기준정보!$C$5))</f>
        <v>46454</v>
      </c>
      <c r="M303" s="30" t="n">
        <f aca="false">IF($L303="","",IF(OR(ISNUMBER(SEARCH("중국",$U303)),ISNUMBER(SEARCH("베트남",$U303))),MAX(0,MIN($L303,기준정보!$C$9)-MAX($L303-기준정보!$C$6,기준정보!$C$8)+1),IF(ISNUMBER(SEARCH("한국",$U303)),MAX(0,MIN($L303,기준정보!$C$11)-MAX($L303-기준정보!$C$6,기준정보!$C$10)+1),0)))</f>
        <v>15</v>
      </c>
      <c r="N303" s="29" t="n">
        <f aca="false">IF($L303="","",$L303-기준정보!$C$6-$M303)</f>
        <v>46349</v>
      </c>
      <c r="O303" s="31" t="n">
        <f aca="false">IF($N303="","",$N303-기준정보!$C$4)</f>
        <v>107</v>
      </c>
      <c r="P303" s="28" t="s">
        <v>82</v>
      </c>
      <c r="Q303" s="28" t="s">
        <v>83</v>
      </c>
      <c r="R303" s="32"/>
      <c r="S303" s="27" t="str">
        <f aca="false">IF($H303="","",IF(AND(ISNUMBER(SEARCH("CMT",$H303)),OR(ISNUMBER(SEARCH("완사입",$H303)),ISNUMBER(SEARCH("ODM",$H303)))),"본사/생산처 혼재",IF(ISNUMBER(SEARCH("CMT",$H303)),"본사(소재팀)","생산처")))</f>
        <v>본사(소재팀)</v>
      </c>
      <c r="T303" s="27" t="s">
        <v>149</v>
      </c>
      <c r="U303" s="26" t="s">
        <v>85</v>
      </c>
      <c r="V303" s="33" t="n">
        <v>2000</v>
      </c>
      <c r="W303" s="27" t="s">
        <v>805</v>
      </c>
      <c r="X303" s="27" t="str">
        <f aca="false">IF($K303="","출고일 미정",IF($P303="X","작지 미발행",IF($P303="부분","작지 일부 미발행",IF(AND($R303&lt;&gt;"",$R303&gt;$N303),"소재입고 마감("&amp;TEXT($N303,"MM/DD")&amp;") 초과",IF($P303="","발행여부 확인 필요",IF($R303="","소재 입고일정 확인 필요","정상"))))))</f>
        <v>소재 입고일정 확인 필요</v>
      </c>
      <c r="Y303" s="25" t="str">
        <f aca="false">IF($K303="","",IF(OR(LEFT($X303,2)="작지",LEFT($X303,4)="소재입고"),IF(LEFT($G303,1)="S","★ 납기위험(S코드)","◆ 지연주의"),IF($X303="정상","✓ 정상","? 확인필요")))</f>
        <v>? 확인필요</v>
      </c>
      <c r="Z303" s="28"/>
      <c r="AA303" s="34"/>
    </row>
    <row r="304" customFormat="false" ht="15" hidden="false" customHeight="false" outlineLevel="0" collapsed="false">
      <c r="A304" s="25" t="n">
        <v>300</v>
      </c>
      <c r="B304" s="26" t="s">
        <v>253</v>
      </c>
      <c r="C304" s="26" t="s">
        <v>262</v>
      </c>
      <c r="D304" s="27" t="s">
        <v>961</v>
      </c>
      <c r="E304" s="26" t="s">
        <v>962</v>
      </c>
      <c r="F304" s="27" t="s">
        <v>302</v>
      </c>
      <c r="G304" s="25" t="str">
        <f aca="false">IF($D304="","",IF(MID($D304,5,1)="S","S(봄)",IF(MID($D304,5,1)="M","M(여름)",IF(MID($D304,5,1)="X","X(사계절)",MID($D304,5,1)))))</f>
        <v>M(여름)</v>
      </c>
      <c r="H304" s="27" t="s">
        <v>209</v>
      </c>
      <c r="I304" s="25"/>
      <c r="J304" s="28" t="s">
        <v>805</v>
      </c>
      <c r="K304" s="29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9" t="n">
        <f aca="false">IF($K304="","",IF(AND($K304-기준정보!$C$5&gt;=기준정보!$C$10,$K304-기준정보!$C$5&lt;=기준정보!$C$11),기준정보!$C$10-1,$K304-기준정보!$C$5))</f>
        <v>46454</v>
      </c>
      <c r="M304" s="30" t="n">
        <f aca="false">IF($L304="","",IF(OR(ISNUMBER(SEARCH("중국",$U304)),ISNUMBER(SEARCH("베트남",$U304))),MAX(0,MIN($L304,기준정보!$C$9)-MAX($L304-기준정보!$C$6,기준정보!$C$8)+1),IF(ISNUMBER(SEARCH("한국",$U304)),MAX(0,MIN($L304,기준정보!$C$11)-MAX($L304-기준정보!$C$6,기준정보!$C$10)+1),0)))</f>
        <v>15</v>
      </c>
      <c r="N304" s="29" t="n">
        <f aca="false">IF($L304="","",$L304-기준정보!$C$6-$M304)</f>
        <v>46349</v>
      </c>
      <c r="O304" s="31" t="n">
        <f aca="false">IF($N304="","",$N304-기준정보!$C$4)</f>
        <v>107</v>
      </c>
      <c r="P304" s="28" t="s">
        <v>82</v>
      </c>
      <c r="Q304" s="28" t="s">
        <v>83</v>
      </c>
      <c r="R304" s="32"/>
      <c r="S304" s="27" t="str">
        <f aca="false">IF($H304="","",IF(AND(ISNUMBER(SEARCH("CMT",$H304)),OR(ISNUMBER(SEARCH("완사입",$H304)),ISNUMBER(SEARCH("ODM",$H304)))),"본사/생산처 혼재",IF(ISNUMBER(SEARCH("CMT",$H304)),"본사(소재팀)","생산처")))</f>
        <v>본사(소재팀)</v>
      </c>
      <c r="T304" s="27" t="s">
        <v>149</v>
      </c>
      <c r="U304" s="26" t="s">
        <v>85</v>
      </c>
      <c r="V304" s="33" t="n">
        <v>3000</v>
      </c>
      <c r="W304" s="27" t="s">
        <v>805</v>
      </c>
      <c r="X304" s="27" t="str">
        <f aca="false">IF($K304="","출고일 미정",IF($P304="X","작지 미발행",IF($P304="부분","작지 일부 미발행",IF(AND($R304&lt;&gt;"",$R304&gt;$N304),"소재입고 마감("&amp;TEXT($N304,"MM/DD")&amp;") 초과",IF($P304="","발행여부 확인 필요",IF($R304="","소재 입고일정 확인 필요","정상"))))))</f>
        <v>소재 입고일정 확인 필요</v>
      </c>
      <c r="Y304" s="25" t="str">
        <f aca="false">IF($K304="","",IF(OR(LEFT($X304,2)="작지",LEFT($X304,4)="소재입고"),IF(LEFT($G304,1)="S","★ 납기위험(S코드)","◆ 지연주의"),IF($X304="정상","✓ 정상","? 확인필요")))</f>
        <v>? 확인필요</v>
      </c>
      <c r="Z304" s="28"/>
      <c r="AA304" s="34"/>
    </row>
    <row r="305" customFormat="false" ht="15" hidden="false" customHeight="false" outlineLevel="0" collapsed="false">
      <c r="A305" s="25" t="n">
        <v>301</v>
      </c>
      <c r="B305" s="26" t="s">
        <v>253</v>
      </c>
      <c r="C305" s="26" t="s">
        <v>262</v>
      </c>
      <c r="D305" s="27" t="s">
        <v>963</v>
      </c>
      <c r="E305" s="26" t="s">
        <v>964</v>
      </c>
      <c r="F305" s="27" t="s">
        <v>965</v>
      </c>
      <c r="G305" s="25" t="str">
        <f aca="false">IF($D305="","",IF(MID($D305,5,1)="S","S(봄)",IF(MID($D305,5,1)="M","M(여름)",IF(MID($D305,5,1)="X","X(사계절)",MID($D305,5,1)))))</f>
        <v>M(여름)</v>
      </c>
      <c r="H305" s="27" t="s">
        <v>209</v>
      </c>
      <c r="I305" s="25"/>
      <c r="J305" s="28" t="s">
        <v>805</v>
      </c>
      <c r="K305" s="29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9" t="n">
        <f aca="false">IF($K305="","",IF(AND($K305-기준정보!$C$5&gt;=기준정보!$C$10,$K305-기준정보!$C$5&lt;=기준정보!$C$11),기준정보!$C$10-1,$K305-기준정보!$C$5))</f>
        <v>46454</v>
      </c>
      <c r="M305" s="30" t="n">
        <f aca="false">IF($L305="","",IF(OR(ISNUMBER(SEARCH("중국",$U305)),ISNUMBER(SEARCH("베트남",$U305))),MAX(0,MIN($L305,기준정보!$C$9)-MAX($L305-기준정보!$C$6,기준정보!$C$8)+1),IF(ISNUMBER(SEARCH("한국",$U305)),MAX(0,MIN($L305,기준정보!$C$11)-MAX($L305-기준정보!$C$6,기준정보!$C$10)+1),0)))</f>
        <v>15</v>
      </c>
      <c r="N305" s="29" t="n">
        <f aca="false">IF($L305="","",$L305-기준정보!$C$6-$M305)</f>
        <v>46349</v>
      </c>
      <c r="O305" s="31" t="n">
        <f aca="false">IF($N305="","",$N305-기준정보!$C$4)</f>
        <v>107</v>
      </c>
      <c r="P305" s="28" t="s">
        <v>82</v>
      </c>
      <c r="Q305" s="28" t="s">
        <v>83</v>
      </c>
      <c r="R305" s="32"/>
      <c r="S305" s="27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T305" s="27" t="s">
        <v>235</v>
      </c>
      <c r="U305" s="26" t="s">
        <v>85</v>
      </c>
      <c r="V305" s="33" t="n">
        <v>5500</v>
      </c>
      <c r="W305" s="27" t="s">
        <v>805</v>
      </c>
      <c r="X305" s="27" t="str">
        <f aca="false">IF($K305="","출고일 미정",IF($P305="X","작지 미발행",IF($P305="부분","작지 일부 미발행",IF(AND($R305&lt;&gt;"",$R305&gt;$N305),"소재입고 마감("&amp;TEXT($N305,"MM/DD")&amp;") 초과",IF($P305="","발행여부 확인 필요",IF($R305="","소재 입고일정 확인 필요","정상"))))))</f>
        <v>소재 입고일정 확인 필요</v>
      </c>
      <c r="Y305" s="25" t="str">
        <f aca="false">IF($K305="","",IF(OR(LEFT($X305,2)="작지",LEFT($X305,4)="소재입고"),IF(LEFT($G305,1)="S","★ 납기위험(S코드)","◆ 지연주의"),IF($X305="정상","✓ 정상","? 확인필요")))</f>
        <v>? 확인필요</v>
      </c>
      <c r="Z305" s="28"/>
      <c r="AA305" s="34"/>
    </row>
    <row r="306" customFormat="false" ht="15" hidden="false" customHeight="false" outlineLevel="0" collapsed="false">
      <c r="A306" s="25" t="n">
        <v>302</v>
      </c>
      <c r="B306" s="26" t="s">
        <v>253</v>
      </c>
      <c r="C306" s="26" t="s">
        <v>262</v>
      </c>
      <c r="D306" s="27" t="s">
        <v>966</v>
      </c>
      <c r="E306" s="26" t="s">
        <v>967</v>
      </c>
      <c r="F306" s="27" t="s">
        <v>968</v>
      </c>
      <c r="G306" s="25" t="str">
        <f aca="false">IF($D306="","",IF(MID($D306,5,1)="S","S(봄)",IF(MID($D306,5,1)="M","M(여름)",IF(MID($D306,5,1)="X","X(사계절)",MID($D306,5,1)))))</f>
        <v>M(여름)</v>
      </c>
      <c r="H306" s="27" t="s">
        <v>209</v>
      </c>
      <c r="I306" s="25"/>
      <c r="J306" s="28" t="s">
        <v>805</v>
      </c>
      <c r="K306" s="29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9" t="n">
        <f aca="false">IF($K306="","",IF(AND($K306-기준정보!$C$5&gt;=기준정보!$C$10,$K306-기준정보!$C$5&lt;=기준정보!$C$11),기준정보!$C$10-1,$K306-기준정보!$C$5))</f>
        <v>46454</v>
      </c>
      <c r="M306" s="30" t="n">
        <f aca="false">IF($L306="","",IF(OR(ISNUMBER(SEARCH("중국",$U306)),ISNUMBER(SEARCH("베트남",$U306))),MAX(0,MIN($L306,기준정보!$C$9)-MAX($L306-기준정보!$C$6,기준정보!$C$8)+1),IF(ISNUMBER(SEARCH("한국",$U306)),MAX(0,MIN($L306,기준정보!$C$11)-MAX($L306-기준정보!$C$6,기준정보!$C$10)+1),0)))</f>
        <v>15</v>
      </c>
      <c r="N306" s="29" t="n">
        <f aca="false">IF($L306="","",$L306-기준정보!$C$6-$M306)</f>
        <v>46349</v>
      </c>
      <c r="O306" s="31" t="n">
        <f aca="false">IF($N306="","",$N306-기준정보!$C$4)</f>
        <v>107</v>
      </c>
      <c r="P306" s="28" t="s">
        <v>82</v>
      </c>
      <c r="Q306" s="28" t="s">
        <v>83</v>
      </c>
      <c r="R306" s="32"/>
      <c r="S306" s="27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T306" s="27" t="s">
        <v>235</v>
      </c>
      <c r="U306" s="26" t="s">
        <v>85</v>
      </c>
      <c r="V306" s="33" t="n">
        <v>5200</v>
      </c>
      <c r="W306" s="27" t="s">
        <v>805</v>
      </c>
      <c r="X306" s="27" t="str">
        <f aca="false">IF($K306="","출고일 미정",IF($P306="X","작지 미발행",IF($P306="부분","작지 일부 미발행",IF(AND($R306&lt;&gt;"",$R306&gt;$N306),"소재입고 마감("&amp;TEXT($N306,"MM/DD")&amp;") 초과",IF($P306="","발행여부 확인 필요",IF($R306="","소재 입고일정 확인 필요","정상"))))))</f>
        <v>소재 입고일정 확인 필요</v>
      </c>
      <c r="Y306" s="25" t="str">
        <f aca="false">IF($K306="","",IF(OR(LEFT($X306,2)="작지",LEFT($X306,4)="소재입고"),IF(LEFT($G306,1)="S","★ 납기위험(S코드)","◆ 지연주의"),IF($X306="정상","✓ 정상","? 확인필요")))</f>
        <v>? 확인필요</v>
      </c>
      <c r="Z306" s="28"/>
      <c r="AA306" s="34"/>
    </row>
    <row r="307" customFormat="false" ht="15" hidden="false" customHeight="false" outlineLevel="0" collapsed="false">
      <c r="A307" s="25" t="n">
        <v>303</v>
      </c>
      <c r="B307" s="26" t="s">
        <v>253</v>
      </c>
      <c r="C307" s="26" t="s">
        <v>262</v>
      </c>
      <c r="D307" s="27" t="s">
        <v>969</v>
      </c>
      <c r="E307" s="26" t="s">
        <v>970</v>
      </c>
      <c r="F307" s="27" t="s">
        <v>971</v>
      </c>
      <c r="G307" s="25" t="str">
        <f aca="false">IF($D307="","",IF(MID($D307,5,1)="S","S(봄)",IF(MID($D307,5,1)="M","M(여름)",IF(MID($D307,5,1)="X","X(사계절)",MID($D307,5,1)))))</f>
        <v>M(여름)</v>
      </c>
      <c r="H307" s="26" t="s">
        <v>79</v>
      </c>
      <c r="I307" s="25"/>
      <c r="J307" s="28" t="s">
        <v>805</v>
      </c>
      <c r="K307" s="29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9" t="n">
        <f aca="false">IF($K307="","",IF(AND($K307-기준정보!$C$5&gt;=기준정보!$C$10,$K307-기준정보!$C$5&lt;=기준정보!$C$11),기준정보!$C$10-1,$K307-기준정보!$C$5))</f>
        <v>46454</v>
      </c>
      <c r="M307" s="30" t="n">
        <f aca="false">IF($L307="","",IF(OR(ISNUMBER(SEARCH("중국",$U307)),ISNUMBER(SEARCH("베트남",$U307))),MAX(0,MIN($L307,기준정보!$C$9)-MAX($L307-기준정보!$C$6,기준정보!$C$8)+1),IF(ISNUMBER(SEARCH("한국",$U307)),MAX(0,MIN($L307,기준정보!$C$11)-MAX($L307-기준정보!$C$6,기준정보!$C$10)+1),0)))</f>
        <v>15</v>
      </c>
      <c r="N307" s="29" t="n">
        <f aca="false">IF($L307="","",$L307-기준정보!$C$6-$M307)</f>
        <v>46349</v>
      </c>
      <c r="O307" s="31" t="n">
        <f aca="false">IF($N307="","",$N307-기준정보!$C$4)</f>
        <v>107</v>
      </c>
      <c r="P307" s="28" t="s">
        <v>82</v>
      </c>
      <c r="Q307" s="28" t="s">
        <v>83</v>
      </c>
      <c r="R307" s="32"/>
      <c r="S307" s="27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T307" s="26" t="s">
        <v>239</v>
      </c>
      <c r="U307" s="26" t="s">
        <v>85</v>
      </c>
      <c r="V307" s="33" t="n">
        <v>2100</v>
      </c>
      <c r="W307" s="27" t="s">
        <v>805</v>
      </c>
      <c r="X307" s="27" t="str">
        <f aca="false">IF($K307="","출고일 미정",IF($P307="X","작지 미발행",IF($P307="부분","작지 일부 미발행",IF(AND($R307&lt;&gt;"",$R307&gt;$N307),"소재입고 마감("&amp;TEXT($N307,"MM/DD")&amp;") 초과",IF($P307="","발행여부 확인 필요",IF($R307="","소재 입고일정 확인 필요","정상"))))))</f>
        <v>소재 입고일정 확인 필요</v>
      </c>
      <c r="Y307" s="25" t="str">
        <f aca="false">IF($K307="","",IF(OR(LEFT($X307,2)="작지",LEFT($X307,4)="소재입고"),IF(LEFT($G307,1)="S","★ 납기위험(S코드)","◆ 지연주의"),IF($X307="정상","✓ 정상","? 확인필요")))</f>
        <v>? 확인필요</v>
      </c>
      <c r="Z307" s="28"/>
      <c r="AA307" s="34"/>
    </row>
    <row r="308" customFormat="false" ht="15" hidden="false" customHeight="false" outlineLevel="0" collapsed="false">
      <c r="A308" s="25" t="n">
        <v>304</v>
      </c>
      <c r="B308" s="26" t="s">
        <v>267</v>
      </c>
      <c r="C308" s="26" t="s">
        <v>125</v>
      </c>
      <c r="D308" s="27" t="s">
        <v>972</v>
      </c>
      <c r="E308" s="26" t="s">
        <v>973</v>
      </c>
      <c r="F308" s="27" t="s">
        <v>945</v>
      </c>
      <c r="G308" s="25" t="str">
        <f aca="false">IF($D308="","",IF(MID($D308,5,1)="S","S(봄)",IF(MID($D308,5,1)="M","M(여름)",IF(MID($D308,5,1)="X","X(사계절)",MID($D308,5,1)))))</f>
        <v>M(여름)</v>
      </c>
      <c r="H308" s="26" t="s">
        <v>79</v>
      </c>
      <c r="I308" s="25" t="s">
        <v>506</v>
      </c>
      <c r="J308" s="28" t="s">
        <v>805</v>
      </c>
      <c r="K308" s="29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9" t="n">
        <f aca="false">IF($K308="","",IF(AND($K308-기준정보!$C$5&gt;=기준정보!$C$10,$K308-기준정보!$C$5&lt;=기준정보!$C$11),기준정보!$C$10-1,$K308-기준정보!$C$5))</f>
        <v>46454</v>
      </c>
      <c r="M308" s="30" t="n">
        <f aca="false">IF($L308="","",IF(OR(ISNUMBER(SEARCH("중국",$U308)),ISNUMBER(SEARCH("베트남",$U308))),MAX(0,MIN($L308,기준정보!$C$9)-MAX($L308-기준정보!$C$6,기준정보!$C$8)+1),IF(ISNUMBER(SEARCH("한국",$U308)),MAX(0,MIN($L308,기준정보!$C$11)-MAX($L308-기준정보!$C$6,기준정보!$C$10)+1),0)))</f>
        <v>15</v>
      </c>
      <c r="N308" s="29" t="n">
        <f aca="false">IF($L308="","",$L308-기준정보!$C$6-$M308)</f>
        <v>46349</v>
      </c>
      <c r="O308" s="31" t="n">
        <f aca="false">IF($N308="","",$N308-기준정보!$C$4)</f>
        <v>107</v>
      </c>
      <c r="P308" s="28" t="s">
        <v>82</v>
      </c>
      <c r="Q308" s="28"/>
      <c r="R308" s="32"/>
      <c r="S308" s="27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T308" s="27" t="s">
        <v>243</v>
      </c>
      <c r="U308" s="26" t="s">
        <v>85</v>
      </c>
      <c r="V308" s="33" t="n">
        <v>3000</v>
      </c>
      <c r="W308" s="27"/>
      <c r="X308" s="27" t="str">
        <f aca="false">IF($K308="","출고일 미정",IF($P308="X","작지 미발행",IF($P308="부분","작지 일부 미발행",IF(AND($R308&lt;&gt;"",$R308&gt;$N308),"소재입고 마감("&amp;TEXT($N308,"MM/DD")&amp;") 초과",IF($P308="","발행여부 확인 필요",IF($R308="","소재 입고일정 확인 필요","정상"))))))</f>
        <v>소재 입고일정 확인 필요</v>
      </c>
      <c r="Y308" s="25" t="str">
        <f aca="false">IF($K308="","",IF(OR(LEFT($X308,2)="작지",LEFT($X308,4)="소재입고"),IF(LEFT($G308,1)="S","★ 납기위험(S코드)","◆ 지연주의"),IF($X308="정상","✓ 정상","? 확인필요")))</f>
        <v>? 확인필요</v>
      </c>
      <c r="Z308" s="28"/>
      <c r="AA308" s="34"/>
    </row>
    <row r="309" customFormat="false" ht="15" hidden="false" customHeight="false" outlineLevel="0" collapsed="false">
      <c r="A309" s="25" t="n">
        <v>305</v>
      </c>
      <c r="B309" s="26" t="s">
        <v>124</v>
      </c>
      <c r="C309" s="26" t="s">
        <v>125</v>
      </c>
      <c r="D309" s="27" t="s">
        <v>974</v>
      </c>
      <c r="E309" s="26" t="s">
        <v>975</v>
      </c>
      <c r="F309" s="27" t="s">
        <v>105</v>
      </c>
      <c r="G309" s="25" t="str">
        <f aca="false">IF($D309="","",IF(MID($D309,5,1)="S","S(봄)",IF(MID($D309,5,1)="M","M(여름)",IF(MID($D309,5,1)="X","X(사계절)",MID($D309,5,1)))))</f>
        <v>M(여름)</v>
      </c>
      <c r="H309" s="26" t="s">
        <v>79</v>
      </c>
      <c r="I309" s="25"/>
      <c r="J309" s="28" t="s">
        <v>805</v>
      </c>
      <c r="K309" s="29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9" t="n">
        <f aca="false">IF($K309="","",IF(AND($K309-기준정보!$C$5&gt;=기준정보!$C$10,$K309-기준정보!$C$5&lt;=기준정보!$C$11),기준정보!$C$10-1,$K309-기준정보!$C$5))</f>
        <v>46454</v>
      </c>
      <c r="M309" s="30" t="n">
        <f aca="false">IF($L309="","",IF(OR(ISNUMBER(SEARCH("중국",$U309)),ISNUMBER(SEARCH("베트남",$U309))),MAX(0,MIN($L309,기준정보!$C$9)-MAX($L309-기준정보!$C$6,기준정보!$C$8)+1),IF(ISNUMBER(SEARCH("한국",$U309)),MAX(0,MIN($L309,기준정보!$C$11)-MAX($L309-기준정보!$C$6,기준정보!$C$10)+1),0)))</f>
        <v>15</v>
      </c>
      <c r="N309" s="29" t="n">
        <f aca="false">IF($L309="","",$L309-기준정보!$C$6-$M309)</f>
        <v>46349</v>
      </c>
      <c r="O309" s="31" t="n">
        <f aca="false">IF($N309="","",$N309-기준정보!$C$4)</f>
        <v>107</v>
      </c>
      <c r="P309" s="28" t="s">
        <v>82</v>
      </c>
      <c r="Q309" s="28" t="s">
        <v>83</v>
      </c>
      <c r="R309" s="32"/>
      <c r="S309" s="27" t="str">
        <f aca="false">IF($H309="","",IF(AND(ISNUMBER(SEARCH("CMT",$H309)),OR(ISNUMBER(SEARCH("완사입",$H309)),ISNUMBER(SEARCH("ODM",$H309)))),"본사/생산처 혼재",IF(ISNUMBER(SEARCH("CMT",$H309)),"본사(소재팀)","생산처")))</f>
        <v>생산처</v>
      </c>
      <c r="T309" s="26" t="s">
        <v>311</v>
      </c>
      <c r="U309" s="26" t="s">
        <v>85</v>
      </c>
      <c r="V309" s="33" t="n">
        <v>1800</v>
      </c>
      <c r="W309" s="27" t="s">
        <v>976</v>
      </c>
      <c r="X309" s="27" t="str">
        <f aca="false">IF($K309="","출고일 미정",IF($P309="X","작지 미발행",IF($P309="부분","작지 일부 미발행",IF(AND($R309&lt;&gt;"",$R309&gt;$N309),"소재입고 마감("&amp;TEXT($N309,"MM/DD")&amp;") 초과",IF($P309="","발행여부 확인 필요",IF($R309="","소재 입고일정 확인 필요","정상"))))))</f>
        <v>소재 입고일정 확인 필요</v>
      </c>
      <c r="Y309" s="25" t="str">
        <f aca="false">IF($K309="","",IF(OR(LEFT($X309,2)="작지",LEFT($X309,4)="소재입고"),IF(LEFT($G309,1)="S","★ 납기위험(S코드)","◆ 지연주의"),IF($X309="정상","✓ 정상","? 확인필요")))</f>
        <v>? 확인필요</v>
      </c>
      <c r="Z309" s="28"/>
      <c r="AA309" s="34"/>
    </row>
    <row r="310" customFormat="false" ht="15" hidden="false" customHeight="false" outlineLevel="0" collapsed="false">
      <c r="A310" s="25" t="n">
        <v>306</v>
      </c>
      <c r="B310" s="26" t="s">
        <v>124</v>
      </c>
      <c r="C310" s="26" t="s">
        <v>125</v>
      </c>
      <c r="D310" s="27" t="s">
        <v>977</v>
      </c>
      <c r="E310" s="26" t="s">
        <v>978</v>
      </c>
      <c r="F310" s="27" t="s">
        <v>979</v>
      </c>
      <c r="G310" s="25" t="str">
        <f aca="false">IF($D310="","",IF(MID($D310,5,1)="S","S(봄)",IF(MID($D310,5,1)="M","M(여름)",IF(MID($D310,5,1)="X","X(사계절)",MID($D310,5,1)))))</f>
        <v>M(여름)</v>
      </c>
      <c r="H310" s="26" t="s">
        <v>79</v>
      </c>
      <c r="I310" s="25"/>
      <c r="J310" s="28" t="s">
        <v>805</v>
      </c>
      <c r="K310" s="29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9" t="n">
        <f aca="false">IF($K310="","",IF(AND($K310-기준정보!$C$5&gt;=기준정보!$C$10,$K310-기준정보!$C$5&lt;=기준정보!$C$11),기준정보!$C$10-1,$K310-기준정보!$C$5))</f>
        <v>46454</v>
      </c>
      <c r="M310" s="30" t="n">
        <f aca="false">IF($L310="","",IF(OR(ISNUMBER(SEARCH("중국",$U310)),ISNUMBER(SEARCH("베트남",$U310))),MAX(0,MIN($L310,기준정보!$C$9)-MAX($L310-기준정보!$C$6,기준정보!$C$8)+1),IF(ISNUMBER(SEARCH("한국",$U310)),MAX(0,MIN($L310,기준정보!$C$11)-MAX($L310-기준정보!$C$6,기준정보!$C$10)+1),0)))</f>
        <v>0</v>
      </c>
      <c r="N310" s="29" t="n">
        <f aca="false">IF($L310="","",$L310-기준정보!$C$6-$M310)</f>
        <v>46364</v>
      </c>
      <c r="O310" s="31" t="n">
        <f aca="false">IF($N310="","",$N310-기준정보!$C$4)</f>
        <v>122</v>
      </c>
      <c r="P310" s="28" t="s">
        <v>82</v>
      </c>
      <c r="Q310" s="28" t="s">
        <v>83</v>
      </c>
      <c r="R310" s="32"/>
      <c r="S310" s="27" t="str">
        <f aca="false">IF($H310="","",IF(AND(ISNUMBER(SEARCH("CMT",$H310)),OR(ISNUMBER(SEARCH("완사입",$H310)),ISNUMBER(SEARCH("ODM",$H310)))),"본사/생산처 혼재",IF(ISNUMBER(SEARCH("CMT",$H310)),"본사(소재팀)","생산처")))</f>
        <v>생산처</v>
      </c>
      <c r="T310" s="27" t="s">
        <v>243</v>
      </c>
      <c r="U310" s="26" t="s">
        <v>90</v>
      </c>
      <c r="V310" s="33" t="n">
        <v>1600</v>
      </c>
      <c r="W310" s="27" t="s">
        <v>976</v>
      </c>
      <c r="X310" s="27" t="str">
        <f aca="false">IF($K310="","출고일 미정",IF($P310="X","작지 미발행",IF($P310="부분","작지 일부 미발행",IF(AND($R310&lt;&gt;"",$R310&gt;$N310),"소재입고 마감("&amp;TEXT($N310,"MM/DD")&amp;") 초과",IF($P310="","발행여부 확인 필요",IF($R310="","소재 입고일정 확인 필요","정상"))))))</f>
        <v>소재 입고일정 확인 필요</v>
      </c>
      <c r="Y310" s="25" t="str">
        <f aca="false">IF($K310="","",IF(OR(LEFT($X310,2)="작지",LEFT($X310,4)="소재입고"),IF(LEFT($G310,1)="S","★ 납기위험(S코드)","◆ 지연주의"),IF($X310="정상","✓ 정상","? 확인필요")))</f>
        <v>? 확인필요</v>
      </c>
      <c r="Z310" s="28"/>
      <c r="AA310" s="34"/>
    </row>
    <row r="311" customFormat="false" ht="15" hidden="false" customHeight="false" outlineLevel="0" collapsed="false">
      <c r="A311" s="25" t="n">
        <v>307</v>
      </c>
      <c r="B311" s="26" t="s">
        <v>253</v>
      </c>
      <c r="C311" s="26" t="s">
        <v>125</v>
      </c>
      <c r="D311" s="27" t="s">
        <v>980</v>
      </c>
      <c r="E311" s="26" t="s">
        <v>981</v>
      </c>
      <c r="F311" s="27" t="s">
        <v>302</v>
      </c>
      <c r="G311" s="25" t="str">
        <f aca="false">IF($D311="","",IF(MID($D311,5,1)="S","S(봄)",IF(MID($D311,5,1)="M","M(여름)",IF(MID($D311,5,1)="X","X(사계절)",MID($D311,5,1)))))</f>
        <v>M(여름)</v>
      </c>
      <c r="H311" s="26" t="s">
        <v>79</v>
      </c>
      <c r="I311" s="25"/>
      <c r="J311" s="28" t="s">
        <v>805</v>
      </c>
      <c r="K311" s="29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9" t="n">
        <f aca="false">IF($K311="","",IF(AND($K311-기준정보!$C$5&gt;=기준정보!$C$10,$K311-기준정보!$C$5&lt;=기준정보!$C$11),기준정보!$C$10-1,$K311-기준정보!$C$5))</f>
        <v>46454</v>
      </c>
      <c r="M311" s="30" t="n">
        <f aca="false">IF($L311="","",IF(OR(ISNUMBER(SEARCH("중국",$U311)),ISNUMBER(SEARCH("베트남",$U311))),MAX(0,MIN($L311,기준정보!$C$9)-MAX($L311-기준정보!$C$6,기준정보!$C$8)+1),IF(ISNUMBER(SEARCH("한국",$U311)),MAX(0,MIN($L311,기준정보!$C$11)-MAX($L311-기준정보!$C$6,기준정보!$C$10)+1),0)))</f>
        <v>0</v>
      </c>
      <c r="N311" s="29" t="n">
        <f aca="false">IF($L311="","",$L311-기준정보!$C$6-$M311)</f>
        <v>46364</v>
      </c>
      <c r="O311" s="31" t="n">
        <f aca="false">IF($N311="","",$N311-기준정보!$C$4)</f>
        <v>122</v>
      </c>
      <c r="P311" s="28" t="s">
        <v>82</v>
      </c>
      <c r="Q311" s="28" t="s">
        <v>83</v>
      </c>
      <c r="R311" s="32"/>
      <c r="S311" s="27" t="str">
        <f aca="false">IF($H311="","",IF(AND(ISNUMBER(SEARCH("CMT",$H311)),OR(ISNUMBER(SEARCH("완사입",$H311)),ISNUMBER(SEARCH("ODM",$H311)))),"본사/생산처 혼재",IF(ISNUMBER(SEARCH("CMT",$H311)),"본사(소재팀)","생산처")))</f>
        <v>생산처</v>
      </c>
      <c r="T311" s="27" t="s">
        <v>243</v>
      </c>
      <c r="U311" s="26" t="s">
        <v>90</v>
      </c>
      <c r="V311" s="33" t="n">
        <v>2100</v>
      </c>
      <c r="W311" s="27" t="s">
        <v>805</v>
      </c>
      <c r="X311" s="27" t="str">
        <f aca="false">IF($K311="","출고일 미정",IF($P311="X","작지 미발행",IF($P311="부분","작지 일부 미발행",IF(AND($R311&lt;&gt;"",$R311&gt;$N311),"소재입고 마감("&amp;TEXT($N311,"MM/DD")&amp;") 초과",IF($P311="","발행여부 확인 필요",IF($R311="","소재 입고일정 확인 필요","정상"))))))</f>
        <v>소재 입고일정 확인 필요</v>
      </c>
      <c r="Y311" s="25" t="str">
        <f aca="false">IF($K311="","",IF(OR(LEFT($X311,2)="작지",LEFT($X311,4)="소재입고"),IF(LEFT($G311,1)="S","★ 납기위험(S코드)","◆ 지연주의"),IF($X311="정상","✓ 정상","? 확인필요")))</f>
        <v>? 확인필요</v>
      </c>
      <c r="Z311" s="28"/>
      <c r="AA311" s="34"/>
    </row>
    <row r="312" customFormat="false" ht="15" hidden="false" customHeight="false" outlineLevel="0" collapsed="false">
      <c r="A312" s="25" t="n">
        <v>308</v>
      </c>
      <c r="B312" s="26" t="s">
        <v>253</v>
      </c>
      <c r="C312" s="26" t="s">
        <v>125</v>
      </c>
      <c r="D312" s="27" t="s">
        <v>982</v>
      </c>
      <c r="E312" s="26" t="s">
        <v>983</v>
      </c>
      <c r="F312" s="27" t="s">
        <v>965</v>
      </c>
      <c r="G312" s="25" t="str">
        <f aca="false">IF($D312="","",IF(MID($D312,5,1)="S","S(봄)",IF(MID($D312,5,1)="M","M(여름)",IF(MID($D312,5,1)="X","X(사계절)",MID($D312,5,1)))))</f>
        <v>M(여름)</v>
      </c>
      <c r="H312" s="26" t="s">
        <v>79</v>
      </c>
      <c r="I312" s="25"/>
      <c r="J312" s="28" t="s">
        <v>805</v>
      </c>
      <c r="K312" s="29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9" t="n">
        <f aca="false">IF($K312="","",IF(AND($K312-기준정보!$C$5&gt;=기준정보!$C$10,$K312-기준정보!$C$5&lt;=기준정보!$C$11),기준정보!$C$10-1,$K312-기준정보!$C$5))</f>
        <v>46454</v>
      </c>
      <c r="M312" s="30" t="n">
        <f aca="false">IF($L312="","",IF(OR(ISNUMBER(SEARCH("중국",$U312)),ISNUMBER(SEARCH("베트남",$U312))),MAX(0,MIN($L312,기준정보!$C$9)-MAX($L312-기준정보!$C$6,기준정보!$C$8)+1),IF(ISNUMBER(SEARCH("한국",$U312)),MAX(0,MIN($L312,기준정보!$C$11)-MAX($L312-기준정보!$C$6,기준정보!$C$10)+1),0)))</f>
        <v>0</v>
      </c>
      <c r="N312" s="29" t="n">
        <f aca="false">IF($L312="","",$L312-기준정보!$C$6-$M312)</f>
        <v>46364</v>
      </c>
      <c r="O312" s="31" t="n">
        <f aca="false">IF($N312="","",$N312-기준정보!$C$4)</f>
        <v>122</v>
      </c>
      <c r="P312" s="28" t="s">
        <v>82</v>
      </c>
      <c r="Q312" s="28" t="s">
        <v>83</v>
      </c>
      <c r="R312" s="32"/>
      <c r="S312" s="27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T312" s="27" t="s">
        <v>243</v>
      </c>
      <c r="U312" s="26" t="s">
        <v>90</v>
      </c>
      <c r="V312" s="33" t="n">
        <v>6600</v>
      </c>
      <c r="W312" s="27" t="s">
        <v>805</v>
      </c>
      <c r="X312" s="27" t="str">
        <f aca="false">IF($K312="","출고일 미정",IF($P312="X","작지 미발행",IF($P312="부분","작지 일부 미발행",IF(AND($R312&lt;&gt;"",$R312&gt;$N312),"소재입고 마감("&amp;TEXT($N312,"MM/DD")&amp;") 초과",IF($P312="","발행여부 확인 필요",IF($R312="","소재 입고일정 확인 필요","정상"))))))</f>
        <v>소재 입고일정 확인 필요</v>
      </c>
      <c r="Y312" s="25" t="str">
        <f aca="false">IF($K312="","",IF(OR(LEFT($X312,2)="작지",LEFT($X312,4)="소재입고"),IF(LEFT($G312,1)="S","★ 납기위험(S코드)","◆ 지연주의"),IF($X312="정상","✓ 정상","? 확인필요")))</f>
        <v>? 확인필요</v>
      </c>
      <c r="Z312" s="28"/>
      <c r="AA312" s="34"/>
    </row>
    <row r="313" customFormat="false" ht="15" hidden="false" customHeight="false" outlineLevel="0" collapsed="false">
      <c r="A313" s="25" t="n">
        <v>309</v>
      </c>
      <c r="B313" s="26" t="s">
        <v>253</v>
      </c>
      <c r="C313" s="26" t="s">
        <v>125</v>
      </c>
      <c r="D313" s="27" t="s">
        <v>984</v>
      </c>
      <c r="E313" s="26" t="s">
        <v>985</v>
      </c>
      <c r="F313" s="27" t="s">
        <v>986</v>
      </c>
      <c r="G313" s="25" t="str">
        <f aca="false">IF($D313="","",IF(MID($D313,5,1)="S","S(봄)",IF(MID($D313,5,1)="M","M(여름)",IF(MID($D313,5,1)="X","X(사계절)",MID($D313,5,1)))))</f>
        <v>M(여름)</v>
      </c>
      <c r="H313" s="26" t="s">
        <v>79</v>
      </c>
      <c r="I313" s="25"/>
      <c r="J313" s="28" t="s">
        <v>805</v>
      </c>
      <c r="K313" s="29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9" t="n">
        <f aca="false">IF($K313="","",IF(AND($K313-기준정보!$C$5&gt;=기준정보!$C$10,$K313-기준정보!$C$5&lt;=기준정보!$C$11),기준정보!$C$10-1,$K313-기준정보!$C$5))</f>
        <v>46454</v>
      </c>
      <c r="M313" s="30" t="n">
        <f aca="false">IF($L313="","",IF(OR(ISNUMBER(SEARCH("중국",$U313)),ISNUMBER(SEARCH("베트남",$U313))),MAX(0,MIN($L313,기준정보!$C$9)-MAX($L313-기준정보!$C$6,기준정보!$C$8)+1),IF(ISNUMBER(SEARCH("한국",$U313)),MAX(0,MIN($L313,기준정보!$C$11)-MAX($L313-기준정보!$C$6,기준정보!$C$10)+1),0)))</f>
        <v>15</v>
      </c>
      <c r="N313" s="29" t="n">
        <f aca="false">IF($L313="","",$L313-기준정보!$C$6-$M313)</f>
        <v>46349</v>
      </c>
      <c r="O313" s="31" t="n">
        <f aca="false">IF($N313="","",$N313-기준정보!$C$4)</f>
        <v>107</v>
      </c>
      <c r="P313" s="28" t="s">
        <v>82</v>
      </c>
      <c r="Q313" s="28" t="s">
        <v>83</v>
      </c>
      <c r="R313" s="32"/>
      <c r="S313" s="27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T313" s="27" t="s">
        <v>243</v>
      </c>
      <c r="U313" s="26" t="s">
        <v>85</v>
      </c>
      <c r="V313" s="33" t="n">
        <v>10500</v>
      </c>
      <c r="W313" s="27" t="s">
        <v>805</v>
      </c>
      <c r="X313" s="27" t="str">
        <f aca="false">IF($K313="","출고일 미정",IF($P313="X","작지 미발행",IF($P313="부분","작지 일부 미발행",IF(AND($R313&lt;&gt;"",$R313&gt;$N313),"소재입고 마감("&amp;TEXT($N313,"MM/DD")&amp;") 초과",IF($P313="","발행여부 확인 필요",IF($R313="","소재 입고일정 확인 필요","정상"))))))</f>
        <v>소재 입고일정 확인 필요</v>
      </c>
      <c r="Y313" s="25" t="str">
        <f aca="false">IF($K313="","",IF(OR(LEFT($X313,2)="작지",LEFT($X313,4)="소재입고"),IF(LEFT($G313,1)="S","★ 납기위험(S코드)","◆ 지연주의"),IF($X313="정상","✓ 정상","? 확인필요")))</f>
        <v>? 확인필요</v>
      </c>
      <c r="Z313" s="28"/>
      <c r="AA313" s="34"/>
    </row>
    <row r="314" customFormat="false" ht="15" hidden="false" customHeight="false" outlineLevel="0" collapsed="false">
      <c r="A314" s="25" t="n">
        <v>310</v>
      </c>
      <c r="B314" s="26" t="s">
        <v>253</v>
      </c>
      <c r="C314" s="26" t="s">
        <v>125</v>
      </c>
      <c r="D314" s="27" t="s">
        <v>987</v>
      </c>
      <c r="E314" s="26" t="s">
        <v>988</v>
      </c>
      <c r="F314" s="27" t="s">
        <v>955</v>
      </c>
      <c r="G314" s="25" t="str">
        <f aca="false">IF($D314="","",IF(MID($D314,5,1)="S","S(봄)",IF(MID($D314,5,1)="M","M(여름)",IF(MID($D314,5,1)="X","X(사계절)",MID($D314,5,1)))))</f>
        <v>M(여름)</v>
      </c>
      <c r="H314" s="26" t="s">
        <v>79</v>
      </c>
      <c r="I314" s="25"/>
      <c r="J314" s="28" t="s">
        <v>805</v>
      </c>
      <c r="K314" s="29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9" t="n">
        <f aca="false">IF($K314="","",IF(AND($K314-기준정보!$C$5&gt;=기준정보!$C$10,$K314-기준정보!$C$5&lt;=기준정보!$C$11),기준정보!$C$10-1,$K314-기준정보!$C$5))</f>
        <v>46454</v>
      </c>
      <c r="M314" s="30" t="n">
        <f aca="false">IF($L314="","",IF(OR(ISNUMBER(SEARCH("중국",$U314)),ISNUMBER(SEARCH("베트남",$U314))),MAX(0,MIN($L314,기준정보!$C$9)-MAX($L314-기준정보!$C$6,기준정보!$C$8)+1),IF(ISNUMBER(SEARCH("한국",$U314)),MAX(0,MIN($L314,기준정보!$C$11)-MAX($L314-기준정보!$C$6,기준정보!$C$10)+1),0)))</f>
        <v>15</v>
      </c>
      <c r="N314" s="29" t="n">
        <f aca="false">IF($L314="","",$L314-기준정보!$C$6-$M314)</f>
        <v>46349</v>
      </c>
      <c r="O314" s="31" t="n">
        <f aca="false">IF($N314="","",$N314-기준정보!$C$4)</f>
        <v>107</v>
      </c>
      <c r="P314" s="28" t="s">
        <v>82</v>
      </c>
      <c r="Q314" s="28" t="s">
        <v>83</v>
      </c>
      <c r="R314" s="32"/>
      <c r="S314" s="27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T314" s="27" t="s">
        <v>243</v>
      </c>
      <c r="U314" s="26" t="s">
        <v>85</v>
      </c>
      <c r="V314" s="33" t="n">
        <v>2600</v>
      </c>
      <c r="W314" s="27" t="s">
        <v>805</v>
      </c>
      <c r="X314" s="27" t="str">
        <f aca="false">IF($K314="","출고일 미정",IF($P314="X","작지 미발행",IF($P314="부분","작지 일부 미발행",IF(AND($R314&lt;&gt;"",$R314&gt;$N314),"소재입고 마감("&amp;TEXT($N314,"MM/DD")&amp;") 초과",IF($P314="","발행여부 확인 필요",IF($R314="","소재 입고일정 확인 필요","정상"))))))</f>
        <v>소재 입고일정 확인 필요</v>
      </c>
      <c r="Y314" s="25" t="str">
        <f aca="false">IF($K314="","",IF(OR(LEFT($X314,2)="작지",LEFT($X314,4)="소재입고"),IF(LEFT($G314,1)="S","★ 납기위험(S코드)","◆ 지연주의"),IF($X314="정상","✓ 정상","? 확인필요")))</f>
        <v>? 확인필요</v>
      </c>
      <c r="Z314" s="28"/>
      <c r="AA314" s="34"/>
    </row>
    <row r="315" customFormat="false" ht="15" hidden="false" customHeight="false" outlineLevel="0" collapsed="false">
      <c r="A315" s="25" t="n">
        <v>311</v>
      </c>
      <c r="B315" s="26" t="s">
        <v>224</v>
      </c>
      <c r="C315" s="26" t="s">
        <v>225</v>
      </c>
      <c r="D315" s="27" t="s">
        <v>989</v>
      </c>
      <c r="E315" s="26" t="s">
        <v>990</v>
      </c>
      <c r="F315" s="27" t="s">
        <v>669</v>
      </c>
      <c r="G315" s="25" t="str">
        <f aca="false">IF($D315="","",IF(MID($D315,5,1)="S","S(봄)",IF(MID($D315,5,1)="M","M(여름)",IF(MID($D315,5,1)="X","X(사계절)",MID($D315,5,1)))))</f>
        <v>M(여름)</v>
      </c>
      <c r="H315" s="26" t="s">
        <v>79</v>
      </c>
      <c r="I315" s="25" t="s">
        <v>416</v>
      </c>
      <c r="J315" s="28" t="s">
        <v>417</v>
      </c>
      <c r="K315" s="29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9" t="n">
        <f aca="false">IF($K315="","",IF(AND($K315-기준정보!$C$5&gt;=기준정보!$C$10,$K315-기준정보!$C$5&lt;=기준정보!$C$11),기준정보!$C$10-1,$K315-기준정보!$C$5))</f>
        <v>46464</v>
      </c>
      <c r="M315" s="30" t="n">
        <f aca="false">IF($L315="","",IF(OR(ISNUMBER(SEARCH("중국",$U315)),ISNUMBER(SEARCH("베트남",$U315))),MAX(0,MIN($L315,기준정보!$C$9)-MAX($L315-기준정보!$C$6,기준정보!$C$8)+1),IF(ISNUMBER(SEARCH("한국",$U315)),MAX(0,MIN($L315,기준정보!$C$11)-MAX($L315-기준정보!$C$6,기준정보!$C$10)+1),0)))</f>
        <v>15</v>
      </c>
      <c r="N315" s="29" t="n">
        <f aca="false">IF($L315="","",$L315-기준정보!$C$6-$M315)</f>
        <v>46359</v>
      </c>
      <c r="O315" s="31" t="n">
        <f aca="false">IF($N315="","",$N315-기준정보!$C$4)</f>
        <v>117</v>
      </c>
      <c r="P315" s="28" t="s">
        <v>82</v>
      </c>
      <c r="Q315" s="28" t="s">
        <v>83</v>
      </c>
      <c r="R315" s="32"/>
      <c r="S315" s="27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T315" s="27" t="s">
        <v>149</v>
      </c>
      <c r="U315" s="26" t="s">
        <v>85</v>
      </c>
      <c r="V315" s="33" t="n">
        <v>1660</v>
      </c>
      <c r="W315" s="27" t="s">
        <v>417</v>
      </c>
      <c r="X315" s="27" t="str">
        <f aca="false">IF($K315="","출고일 미정",IF($P315="X","작지 미발행",IF($P315="부분","작지 일부 미발행",IF(AND($R315&lt;&gt;"",$R315&gt;$N315),"소재입고 마감("&amp;TEXT($N315,"MM/DD")&amp;") 초과",IF($P315="","발행여부 확인 필요",IF($R315="","소재 입고일정 확인 필요","정상"))))))</f>
        <v>소재 입고일정 확인 필요</v>
      </c>
      <c r="Y315" s="25" t="str">
        <f aca="false">IF($K315="","",IF(OR(LEFT($X315,2)="작지",LEFT($X315,4)="소재입고"),IF(LEFT($G315,1)="S","★ 납기위험(S코드)","◆ 지연주의"),IF($X315="정상","✓ 정상","? 확인필요")))</f>
        <v>? 확인필요</v>
      </c>
      <c r="Z315" s="28"/>
      <c r="AA315" s="34"/>
    </row>
    <row r="316" customFormat="false" ht="15" hidden="false" customHeight="false" outlineLevel="0" collapsed="false">
      <c r="A316" s="25" t="n">
        <v>312</v>
      </c>
      <c r="B316" s="26" t="s">
        <v>224</v>
      </c>
      <c r="C316" s="26" t="s">
        <v>225</v>
      </c>
      <c r="D316" s="27" t="s">
        <v>991</v>
      </c>
      <c r="E316" s="26" t="s">
        <v>992</v>
      </c>
      <c r="F316" s="27" t="s">
        <v>238</v>
      </c>
      <c r="G316" s="25" t="str">
        <f aca="false">IF($D316="","",IF(MID($D316,5,1)="S","S(봄)",IF(MID($D316,5,1)="M","M(여름)",IF(MID($D316,5,1)="X","X(사계절)",MID($D316,5,1)))))</f>
        <v>M(여름)</v>
      </c>
      <c r="H316" s="26" t="s">
        <v>79</v>
      </c>
      <c r="I316" s="25" t="s">
        <v>416</v>
      </c>
      <c r="J316" s="28" t="s">
        <v>417</v>
      </c>
      <c r="K316" s="29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9" t="n">
        <f aca="false">IF($K316="","",IF(AND($K316-기준정보!$C$5&gt;=기준정보!$C$10,$K316-기준정보!$C$5&lt;=기준정보!$C$11),기준정보!$C$10-1,$K316-기준정보!$C$5))</f>
        <v>46464</v>
      </c>
      <c r="M316" s="30" t="n">
        <f aca="false">IF($L316="","",IF(OR(ISNUMBER(SEARCH("중국",$U316)),ISNUMBER(SEARCH("베트남",$U316))),MAX(0,MIN($L316,기준정보!$C$9)-MAX($L316-기준정보!$C$6,기준정보!$C$8)+1),IF(ISNUMBER(SEARCH("한국",$U316)),MAX(0,MIN($L316,기준정보!$C$11)-MAX($L316-기준정보!$C$6,기준정보!$C$10)+1),0)))</f>
        <v>15</v>
      </c>
      <c r="N316" s="29" t="n">
        <f aca="false">IF($L316="","",$L316-기준정보!$C$6-$M316)</f>
        <v>46359</v>
      </c>
      <c r="O316" s="31" t="n">
        <f aca="false">IF($N316="","",$N316-기준정보!$C$4)</f>
        <v>117</v>
      </c>
      <c r="P316" s="28" t="s">
        <v>82</v>
      </c>
      <c r="Q316" s="28" t="s">
        <v>83</v>
      </c>
      <c r="R316" s="32"/>
      <c r="S316" s="27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T316" s="27" t="s">
        <v>235</v>
      </c>
      <c r="U316" s="26" t="s">
        <v>85</v>
      </c>
      <c r="V316" s="33" t="n">
        <v>2000</v>
      </c>
      <c r="W316" s="27" t="s">
        <v>417</v>
      </c>
      <c r="X316" s="27" t="str">
        <f aca="false">IF($K316="","출고일 미정",IF($P316="X","작지 미발행",IF($P316="부분","작지 일부 미발행",IF(AND($R316&lt;&gt;"",$R316&gt;$N316),"소재입고 마감("&amp;TEXT($N316,"MM/DD")&amp;") 초과",IF($P316="","발행여부 확인 필요",IF($R316="","소재 입고일정 확인 필요","정상"))))))</f>
        <v>소재 입고일정 확인 필요</v>
      </c>
      <c r="Y316" s="25" t="str">
        <f aca="false">IF($K316="","",IF(OR(LEFT($X316,2)="작지",LEFT($X316,4)="소재입고"),IF(LEFT($G316,1)="S","★ 납기위험(S코드)","◆ 지연주의"),IF($X316="정상","✓ 정상","? 확인필요")))</f>
        <v>? 확인필요</v>
      </c>
      <c r="Z316" s="28"/>
      <c r="AA316" s="34"/>
    </row>
    <row r="317" customFormat="false" ht="15" hidden="false" customHeight="false" outlineLevel="0" collapsed="false">
      <c r="A317" s="25" t="n">
        <v>313</v>
      </c>
      <c r="B317" s="26" t="s">
        <v>224</v>
      </c>
      <c r="C317" s="26" t="s">
        <v>225</v>
      </c>
      <c r="D317" s="27" t="s">
        <v>993</v>
      </c>
      <c r="E317" s="26" t="s">
        <v>994</v>
      </c>
      <c r="F317" s="27" t="s">
        <v>238</v>
      </c>
      <c r="G317" s="25" t="str">
        <f aca="false">IF($D317="","",IF(MID($D317,5,1)="S","S(봄)",IF(MID($D317,5,1)="M","M(여름)",IF(MID($D317,5,1)="X","X(사계절)",MID($D317,5,1)))))</f>
        <v>M(여름)</v>
      </c>
      <c r="H317" s="26" t="s">
        <v>79</v>
      </c>
      <c r="I317" s="25" t="s">
        <v>416</v>
      </c>
      <c r="J317" s="28" t="s">
        <v>417</v>
      </c>
      <c r="K317" s="29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9" t="n">
        <f aca="false">IF($K317="","",IF(AND($K317-기준정보!$C$5&gt;=기준정보!$C$10,$K317-기준정보!$C$5&lt;=기준정보!$C$11),기준정보!$C$10-1,$K317-기준정보!$C$5))</f>
        <v>46464</v>
      </c>
      <c r="M317" s="30" t="n">
        <f aca="false">IF($L317="","",IF(OR(ISNUMBER(SEARCH("중국",$U317)),ISNUMBER(SEARCH("베트남",$U317))),MAX(0,MIN($L317,기준정보!$C$9)-MAX($L317-기준정보!$C$6,기준정보!$C$8)+1),IF(ISNUMBER(SEARCH("한국",$U317)),MAX(0,MIN($L317,기준정보!$C$11)-MAX($L317-기준정보!$C$6,기준정보!$C$10)+1),0)))</f>
        <v>15</v>
      </c>
      <c r="N317" s="29" t="n">
        <f aca="false">IF($L317="","",$L317-기준정보!$C$6-$M317)</f>
        <v>46359</v>
      </c>
      <c r="O317" s="31" t="n">
        <f aca="false">IF($N317="","",$N317-기준정보!$C$4)</f>
        <v>117</v>
      </c>
      <c r="P317" s="28" t="s">
        <v>82</v>
      </c>
      <c r="Q317" s="28" t="s">
        <v>83</v>
      </c>
      <c r="R317" s="32"/>
      <c r="S317" s="27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T317" s="27" t="s">
        <v>235</v>
      </c>
      <c r="U317" s="26" t="s">
        <v>85</v>
      </c>
      <c r="V317" s="33" t="n">
        <v>1960</v>
      </c>
      <c r="W317" s="27" t="s">
        <v>417</v>
      </c>
      <c r="X317" s="27" t="str">
        <f aca="false">IF($K317="","출고일 미정",IF($P317="X","작지 미발행",IF($P317="부분","작지 일부 미발행",IF(AND($R317&lt;&gt;"",$R317&gt;$N317),"소재입고 마감("&amp;TEXT($N317,"MM/DD")&amp;") 초과",IF($P317="","발행여부 확인 필요",IF($R317="","소재 입고일정 확인 필요","정상"))))))</f>
        <v>소재 입고일정 확인 필요</v>
      </c>
      <c r="Y317" s="25" t="str">
        <f aca="false">IF($K317="","",IF(OR(LEFT($X317,2)="작지",LEFT($X317,4)="소재입고"),IF(LEFT($G317,1)="S","★ 납기위험(S코드)","◆ 지연주의"),IF($X317="정상","✓ 정상","? 확인필요")))</f>
        <v>? 확인필요</v>
      </c>
      <c r="Z317" s="28"/>
      <c r="AA317" s="34"/>
    </row>
    <row r="318" customFormat="false" ht="15" hidden="false" customHeight="false" outlineLevel="0" collapsed="false">
      <c r="A318" s="25" t="n">
        <v>314</v>
      </c>
      <c r="B318" s="26" t="s">
        <v>220</v>
      </c>
      <c r="C318" s="26" t="s">
        <v>225</v>
      </c>
      <c r="D318" s="27" t="s">
        <v>995</v>
      </c>
      <c r="E318" s="26" t="s">
        <v>996</v>
      </c>
      <c r="F318" s="27" t="s">
        <v>238</v>
      </c>
      <c r="G318" s="25" t="str">
        <f aca="false">IF($D318="","",IF(MID($D318,5,1)="S","S(봄)",IF(MID($D318,5,1)="M","M(여름)",IF(MID($D318,5,1)="X","X(사계절)",MID($D318,5,1)))))</f>
        <v>M(여름)</v>
      </c>
      <c r="H318" s="26" t="s">
        <v>79</v>
      </c>
      <c r="I318" s="25"/>
      <c r="J318" s="28" t="s">
        <v>417</v>
      </c>
      <c r="K318" s="29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9" t="n">
        <f aca="false">IF($K318="","",IF(AND($K318-기준정보!$C$5&gt;=기준정보!$C$10,$K318-기준정보!$C$5&lt;=기준정보!$C$11),기준정보!$C$10-1,$K318-기준정보!$C$5))</f>
        <v>46464</v>
      </c>
      <c r="M318" s="30" t="n">
        <f aca="false">IF($L318="","",IF(OR(ISNUMBER(SEARCH("중국",$U318)),ISNUMBER(SEARCH("베트남",$U318))),MAX(0,MIN($L318,기준정보!$C$9)-MAX($L318-기준정보!$C$6,기준정보!$C$8)+1),IF(ISNUMBER(SEARCH("한국",$U318)),MAX(0,MIN($L318,기준정보!$C$11)-MAX($L318-기준정보!$C$6,기준정보!$C$10)+1),0)))</f>
        <v>15</v>
      </c>
      <c r="N318" s="29" t="n">
        <f aca="false">IF($L318="","",$L318-기준정보!$C$6-$M318)</f>
        <v>46359</v>
      </c>
      <c r="O318" s="31" t="n">
        <f aca="false">IF($N318="","",$N318-기준정보!$C$4)</f>
        <v>117</v>
      </c>
      <c r="P318" s="28" t="s">
        <v>82</v>
      </c>
      <c r="Q318" s="28" t="s">
        <v>83</v>
      </c>
      <c r="R318" s="32"/>
      <c r="S318" s="27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T318" s="26" t="s">
        <v>311</v>
      </c>
      <c r="U318" s="26" t="s">
        <v>85</v>
      </c>
      <c r="V318" s="33" t="n">
        <v>1000</v>
      </c>
      <c r="W318" s="27"/>
      <c r="X318" s="27" t="str">
        <f aca="false">IF($K318="","출고일 미정",IF($P318="X","작지 미발행",IF($P318="부분","작지 일부 미발행",IF(AND($R318&lt;&gt;"",$R318&gt;$N318),"소재입고 마감("&amp;TEXT($N318,"MM/DD")&amp;") 초과",IF($P318="","발행여부 확인 필요",IF($R318="","소재 입고일정 확인 필요","정상"))))))</f>
        <v>소재 입고일정 확인 필요</v>
      </c>
      <c r="Y318" s="25" t="str">
        <f aca="false">IF($K318="","",IF(OR(LEFT($X318,2)="작지",LEFT($X318,4)="소재입고"),IF(LEFT($G318,1)="S","★ 납기위험(S코드)","◆ 지연주의"),IF($X318="정상","✓ 정상","? 확인필요")))</f>
        <v>? 확인필요</v>
      </c>
      <c r="Z318" s="28"/>
      <c r="AA318" s="34"/>
    </row>
    <row r="319" customFormat="false" ht="15" hidden="false" customHeight="false" outlineLevel="0" collapsed="false">
      <c r="A319" s="25" t="n">
        <v>315</v>
      </c>
      <c r="B319" s="26" t="s">
        <v>142</v>
      </c>
      <c r="C319" s="26" t="s">
        <v>143</v>
      </c>
      <c r="D319" s="27" t="s">
        <v>997</v>
      </c>
      <c r="E319" s="27" t="s">
        <v>998</v>
      </c>
      <c r="F319" s="27" t="s">
        <v>160</v>
      </c>
      <c r="G319" s="25" t="str">
        <f aca="false">IF($D319="","",IF(MID($D319,5,1)="S","S(봄)",IF(MID($D319,5,1)="M","M(여름)",IF(MID($D319,5,1)="X","X(사계절)",MID($D319,5,1)))))</f>
        <v>M(여름)</v>
      </c>
      <c r="H319" s="26" t="s">
        <v>79</v>
      </c>
      <c r="I319" s="25" t="s">
        <v>434</v>
      </c>
      <c r="J319" s="28" t="s">
        <v>999</v>
      </c>
      <c r="K319" s="29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9" t="n">
        <f aca="false">IF($K319="","",IF(AND($K319-기준정보!$C$5&gt;=기준정보!$C$10,$K319-기준정보!$C$5&lt;=기준정보!$C$11),기준정보!$C$10-1,$K319-기준정보!$C$5))</f>
        <v>46471</v>
      </c>
      <c r="M319" s="30" t="n">
        <f aca="false">IF($L319="","",IF(OR(ISNUMBER(SEARCH("중국",$U319)),ISNUMBER(SEARCH("베트남",$U319))),MAX(0,MIN($L319,기준정보!$C$9)-MAX($L319-기준정보!$C$6,기준정보!$C$8)+1),IF(ISNUMBER(SEARCH("한국",$U319)),MAX(0,MIN($L319,기준정보!$C$11)-MAX($L319-기준정보!$C$6,기준정보!$C$10)+1),0)))</f>
        <v>15</v>
      </c>
      <c r="N319" s="29" t="n">
        <f aca="false">IF($L319="","",$L319-기준정보!$C$6-$M319)</f>
        <v>46366</v>
      </c>
      <c r="O319" s="31" t="n">
        <f aca="false">IF($N319="","",$N319-기준정보!$C$4)</f>
        <v>124</v>
      </c>
      <c r="P319" s="28" t="s">
        <v>83</v>
      </c>
      <c r="Q319" s="28" t="s">
        <v>83</v>
      </c>
      <c r="R319" s="32"/>
      <c r="S319" s="27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T319" s="27" t="s">
        <v>243</v>
      </c>
      <c r="U319" s="26" t="s">
        <v>85</v>
      </c>
      <c r="V319" s="33" t="n">
        <v>0</v>
      </c>
      <c r="W319" s="27"/>
      <c r="X319" s="27" t="str">
        <f aca="false">IF($K319="","출고일 미정",IF($P319="X","작지 미발행",IF($P319="부분","작지 일부 미발행",IF(AND($R319&lt;&gt;"",$R319&gt;$N319),"소재입고 마감("&amp;TEXT($N319,"MM/DD")&amp;") 초과",IF($P319="","발행여부 확인 필요",IF($R319="","소재 입고일정 확인 필요","정상"))))))</f>
        <v>작지 미발행</v>
      </c>
      <c r="Y319" s="25" t="str">
        <f aca="false">IF($K319="","",IF(OR(LEFT($X319,2)="작지",LEFT($X319,4)="소재입고"),IF(LEFT($G319,1)="S","★ 납기위험(S코드)","◆ 지연주의"),IF($X319="정상","✓ 정상","? 확인필요")))</f>
        <v>◆ 지연주의</v>
      </c>
      <c r="Z319" s="28"/>
      <c r="AA319" s="34"/>
    </row>
    <row r="320" customFormat="false" ht="15" hidden="false" customHeight="false" outlineLevel="0" collapsed="false">
      <c r="A320" s="25" t="n">
        <v>316</v>
      </c>
      <c r="B320" s="26" t="s">
        <v>142</v>
      </c>
      <c r="C320" s="26" t="s">
        <v>143</v>
      </c>
      <c r="D320" s="27" t="s">
        <v>1000</v>
      </c>
      <c r="E320" s="27" t="s">
        <v>1001</v>
      </c>
      <c r="F320" s="27" t="s">
        <v>176</v>
      </c>
      <c r="G320" s="25" t="str">
        <f aca="false">IF($D320="","",IF(MID($D320,5,1)="S","S(봄)",IF(MID($D320,5,1)="M","M(여름)",IF(MID($D320,5,1)="X","X(사계절)",MID($D320,5,1)))))</f>
        <v>M(여름)</v>
      </c>
      <c r="H320" s="26" t="s">
        <v>79</v>
      </c>
      <c r="I320" s="25" t="s">
        <v>434</v>
      </c>
      <c r="J320" s="28" t="s">
        <v>999</v>
      </c>
      <c r="K320" s="29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9" t="n">
        <f aca="false">IF($K320="","",IF(AND($K320-기준정보!$C$5&gt;=기준정보!$C$10,$K320-기준정보!$C$5&lt;=기준정보!$C$11),기준정보!$C$10-1,$K320-기준정보!$C$5))</f>
        <v>46471</v>
      </c>
      <c r="M320" s="30" t="n">
        <f aca="false">IF($L320="","",IF(OR(ISNUMBER(SEARCH("중국",$U320)),ISNUMBER(SEARCH("베트남",$U320))),MAX(0,MIN($L320,기준정보!$C$9)-MAX($L320-기준정보!$C$6,기준정보!$C$8)+1),IF(ISNUMBER(SEARCH("한국",$U320)),MAX(0,MIN($L320,기준정보!$C$11)-MAX($L320-기준정보!$C$6,기준정보!$C$10)+1),0)))</f>
        <v>15</v>
      </c>
      <c r="N320" s="29" t="n">
        <f aca="false">IF($L320="","",$L320-기준정보!$C$6-$M320)</f>
        <v>46366</v>
      </c>
      <c r="O320" s="31" t="n">
        <f aca="false">IF($N320="","",$N320-기준정보!$C$4)</f>
        <v>124</v>
      </c>
      <c r="P320" s="28" t="s">
        <v>83</v>
      </c>
      <c r="Q320" s="28" t="s">
        <v>83</v>
      </c>
      <c r="R320" s="32"/>
      <c r="S320" s="27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T320" s="27" t="s">
        <v>235</v>
      </c>
      <c r="U320" s="26" t="s">
        <v>85</v>
      </c>
      <c r="V320" s="33" t="n">
        <v>0</v>
      </c>
      <c r="W320" s="27"/>
      <c r="X320" s="27" t="str">
        <f aca="false">IF($K320="","출고일 미정",IF($P320="X","작지 미발행",IF($P320="부분","작지 일부 미발행",IF(AND($R320&lt;&gt;"",$R320&gt;$N320),"소재입고 마감("&amp;TEXT($N320,"MM/DD")&amp;") 초과",IF($P320="","발행여부 확인 필요",IF($R320="","소재 입고일정 확인 필요","정상"))))))</f>
        <v>작지 미발행</v>
      </c>
      <c r="Y320" s="25" t="str">
        <f aca="false">IF($K320="","",IF(OR(LEFT($X320,2)="작지",LEFT($X320,4)="소재입고"),IF(LEFT($G320,1)="S","★ 납기위험(S코드)","◆ 지연주의"),IF($X320="정상","✓ 정상","? 확인필요")))</f>
        <v>◆ 지연주의</v>
      </c>
      <c r="Z320" s="28"/>
      <c r="AA320" s="34"/>
    </row>
    <row r="321" customFormat="false" ht="15" hidden="false" customHeight="false" outlineLevel="0" collapsed="false">
      <c r="A321" s="25" t="n">
        <v>317</v>
      </c>
      <c r="B321" s="26" t="s">
        <v>142</v>
      </c>
      <c r="C321" s="26" t="s">
        <v>152</v>
      </c>
      <c r="D321" s="27" t="s">
        <v>1002</v>
      </c>
      <c r="E321" s="27" t="s">
        <v>1003</v>
      </c>
      <c r="F321" s="27" t="s">
        <v>1004</v>
      </c>
      <c r="G321" s="25" t="str">
        <f aca="false">IF($D321="","",IF(MID($D321,5,1)="S","S(봄)",IF(MID($D321,5,1)="M","M(여름)",IF(MID($D321,5,1)="X","X(사계절)",MID($D321,5,1)))))</f>
        <v>M(여름)</v>
      </c>
      <c r="H321" s="26" t="s">
        <v>79</v>
      </c>
      <c r="I321" s="25" t="s">
        <v>434</v>
      </c>
      <c r="J321" s="28" t="s">
        <v>999</v>
      </c>
      <c r="K321" s="29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9" t="n">
        <f aca="false">IF($K321="","",IF(AND($K321-기준정보!$C$5&gt;=기준정보!$C$10,$K321-기준정보!$C$5&lt;=기준정보!$C$11),기준정보!$C$10-1,$K321-기준정보!$C$5))</f>
        <v>46471</v>
      </c>
      <c r="M321" s="30" t="n">
        <f aca="false">IF($L321="","",IF(OR(ISNUMBER(SEARCH("중국",$U321)),ISNUMBER(SEARCH("베트남",$U321))),MAX(0,MIN($L321,기준정보!$C$9)-MAX($L321-기준정보!$C$6,기준정보!$C$8)+1),IF(ISNUMBER(SEARCH("한국",$U321)),MAX(0,MIN($L321,기준정보!$C$11)-MAX($L321-기준정보!$C$6,기준정보!$C$10)+1),0)))</f>
        <v>15</v>
      </c>
      <c r="N321" s="29" t="n">
        <f aca="false">IF($L321="","",$L321-기준정보!$C$6-$M321)</f>
        <v>46366</v>
      </c>
      <c r="O321" s="31" t="n">
        <f aca="false">IF($N321="","",$N321-기준정보!$C$4)</f>
        <v>124</v>
      </c>
      <c r="P321" s="28" t="s">
        <v>83</v>
      </c>
      <c r="Q321" s="28" t="s">
        <v>83</v>
      </c>
      <c r="R321" s="32"/>
      <c r="S321" s="27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T321" s="26" t="s">
        <v>89</v>
      </c>
      <c r="U321" s="26" t="s">
        <v>85</v>
      </c>
      <c r="V321" s="33" t="n">
        <v>0</v>
      </c>
      <c r="W321" s="27"/>
      <c r="X321" s="27" t="str">
        <f aca="false">IF($K321="","출고일 미정",IF($P321="X","작지 미발행",IF($P321="부분","작지 일부 미발행",IF(AND($R321&lt;&gt;"",$R321&gt;$N321),"소재입고 마감("&amp;TEXT($N321,"MM/DD")&amp;") 초과",IF($P321="","발행여부 확인 필요",IF($R321="","소재 입고일정 확인 필요","정상"))))))</f>
        <v>작지 미발행</v>
      </c>
      <c r="Y321" s="25" t="str">
        <f aca="false">IF($K321="","",IF(OR(LEFT($X321,2)="작지",LEFT($X321,4)="소재입고"),IF(LEFT($G321,1)="S","★ 납기위험(S코드)","◆ 지연주의"),IF($X321="정상","✓ 정상","? 확인필요")))</f>
        <v>◆ 지연주의</v>
      </c>
      <c r="Z321" s="28"/>
      <c r="AA321" s="34"/>
    </row>
    <row r="322" customFormat="false" ht="15" hidden="false" customHeight="false" outlineLevel="0" collapsed="false">
      <c r="A322" s="25" t="n">
        <v>318</v>
      </c>
      <c r="B322" s="26" t="s">
        <v>142</v>
      </c>
      <c r="C322" s="26" t="s">
        <v>1005</v>
      </c>
      <c r="D322" s="27" t="s">
        <v>1006</v>
      </c>
      <c r="E322" s="27" t="s">
        <v>1007</v>
      </c>
      <c r="F322" s="27" t="s">
        <v>176</v>
      </c>
      <c r="G322" s="25" t="str">
        <f aca="false">IF($D322="","",IF(MID($D322,5,1)="S","S(봄)",IF(MID($D322,5,1)="M","M(여름)",IF(MID($D322,5,1)="X","X(사계절)",MID($D322,5,1)))))</f>
        <v>M(여름)</v>
      </c>
      <c r="H322" s="26" t="s">
        <v>79</v>
      </c>
      <c r="I322" s="25" t="s">
        <v>434</v>
      </c>
      <c r="J322" s="28" t="s">
        <v>999</v>
      </c>
      <c r="K322" s="29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9" t="n">
        <f aca="false">IF($K322="","",IF(AND($K322-기준정보!$C$5&gt;=기준정보!$C$10,$K322-기준정보!$C$5&lt;=기준정보!$C$11),기준정보!$C$10-1,$K322-기준정보!$C$5))</f>
        <v>46471</v>
      </c>
      <c r="M322" s="30" t="n">
        <f aca="false">IF($L322="","",IF(OR(ISNUMBER(SEARCH("중국",$U322)),ISNUMBER(SEARCH("베트남",$U322))),MAX(0,MIN($L322,기준정보!$C$9)-MAX($L322-기준정보!$C$6,기준정보!$C$8)+1),IF(ISNUMBER(SEARCH("한국",$U322)),MAX(0,MIN($L322,기준정보!$C$11)-MAX($L322-기준정보!$C$6,기준정보!$C$10)+1),0)))</f>
        <v>15</v>
      </c>
      <c r="N322" s="29" t="n">
        <f aca="false">IF($L322="","",$L322-기준정보!$C$6-$M322)</f>
        <v>46366</v>
      </c>
      <c r="O322" s="31" t="n">
        <f aca="false">IF($N322="","",$N322-기준정보!$C$4)</f>
        <v>124</v>
      </c>
      <c r="P322" s="28" t="s">
        <v>83</v>
      </c>
      <c r="Q322" s="28" t="s">
        <v>83</v>
      </c>
      <c r="R322" s="32"/>
      <c r="S322" s="27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T322" s="27" t="s">
        <v>235</v>
      </c>
      <c r="U322" s="26" t="s">
        <v>85</v>
      </c>
      <c r="V322" s="33" t="n">
        <v>0</v>
      </c>
      <c r="W322" s="27"/>
      <c r="X322" s="27" t="str">
        <f aca="false">IF($K322="","출고일 미정",IF($P322="X","작지 미발행",IF($P322="부분","작지 일부 미발행",IF(AND($R322&lt;&gt;"",$R322&gt;$N322),"소재입고 마감("&amp;TEXT($N322,"MM/DD")&amp;") 초과",IF($P322="","발행여부 확인 필요",IF($R322="","소재 입고일정 확인 필요","정상"))))))</f>
        <v>작지 미발행</v>
      </c>
      <c r="Y322" s="25" t="str">
        <f aca="false">IF($K322="","",IF(OR(LEFT($X322,2)="작지",LEFT($X322,4)="소재입고"),IF(LEFT($G322,1)="S","★ 납기위험(S코드)","◆ 지연주의"),IF($X322="정상","✓ 정상","? 확인필요")))</f>
        <v>◆ 지연주의</v>
      </c>
      <c r="Z322" s="28"/>
      <c r="AA322" s="34"/>
    </row>
    <row r="323" customFormat="false" ht="15" hidden="false" customHeight="false" outlineLevel="0" collapsed="false">
      <c r="A323" s="25" t="n">
        <v>319</v>
      </c>
      <c r="B323" s="26" t="s">
        <v>142</v>
      </c>
      <c r="C323" s="26" t="s">
        <v>152</v>
      </c>
      <c r="D323" s="27" t="s">
        <v>1008</v>
      </c>
      <c r="E323" s="27" t="s">
        <v>1009</v>
      </c>
      <c r="F323" s="27" t="s">
        <v>1010</v>
      </c>
      <c r="G323" s="25" t="str">
        <f aca="false">IF($D323="","",IF(MID($D323,5,1)="S","S(봄)",IF(MID($D323,5,1)="M","M(여름)",IF(MID($D323,5,1)="X","X(사계절)",MID($D323,5,1)))))</f>
        <v>M(여름)</v>
      </c>
      <c r="H323" s="26" t="s">
        <v>79</v>
      </c>
      <c r="I323" s="25" t="s">
        <v>434</v>
      </c>
      <c r="J323" s="28" t="s">
        <v>999</v>
      </c>
      <c r="K323" s="29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9" t="n">
        <f aca="false">IF($K323="","",IF(AND($K323-기준정보!$C$5&gt;=기준정보!$C$10,$K323-기준정보!$C$5&lt;=기준정보!$C$11),기준정보!$C$10-1,$K323-기준정보!$C$5))</f>
        <v>46471</v>
      </c>
      <c r="M323" s="30" t="n">
        <f aca="false">IF($L323="","",IF(OR(ISNUMBER(SEARCH("중국",$U323)),ISNUMBER(SEARCH("베트남",$U323))),MAX(0,MIN($L323,기준정보!$C$9)-MAX($L323-기준정보!$C$6,기준정보!$C$8)+1),IF(ISNUMBER(SEARCH("한국",$U323)),MAX(0,MIN($L323,기준정보!$C$11)-MAX($L323-기준정보!$C$6,기준정보!$C$10)+1),0)))</f>
        <v>15</v>
      </c>
      <c r="N323" s="29" t="n">
        <f aca="false">IF($L323="","",$L323-기준정보!$C$6-$M323)</f>
        <v>46366</v>
      </c>
      <c r="O323" s="31" t="n">
        <f aca="false">IF($N323="","",$N323-기준정보!$C$4)</f>
        <v>124</v>
      </c>
      <c r="P323" s="28" t="s">
        <v>83</v>
      </c>
      <c r="Q323" s="28" t="s">
        <v>83</v>
      </c>
      <c r="R323" s="32"/>
      <c r="S323" s="27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T323" s="26" t="s">
        <v>195</v>
      </c>
      <c r="U323" s="26" t="s">
        <v>131</v>
      </c>
      <c r="V323" s="33" t="n">
        <v>0</v>
      </c>
      <c r="W323" s="27"/>
      <c r="X323" s="27" t="str">
        <f aca="false">IF($K323="","출고일 미정",IF($P323="X","작지 미발행",IF($P323="부분","작지 일부 미발행",IF(AND($R323&lt;&gt;"",$R323&gt;$N323),"소재입고 마감("&amp;TEXT($N323,"MM/DD")&amp;") 초과",IF($P323="","발행여부 확인 필요",IF($R323="","소재 입고일정 확인 필요","정상"))))))</f>
        <v>작지 미발행</v>
      </c>
      <c r="Y323" s="25" t="str">
        <f aca="false">IF($K323="","",IF(OR(LEFT($X323,2)="작지",LEFT($X323,4)="소재입고"),IF(LEFT($G323,1)="S","★ 납기위험(S코드)","◆ 지연주의"),IF($X323="정상","✓ 정상","? 확인필요")))</f>
        <v>◆ 지연주의</v>
      </c>
      <c r="Z323" s="28"/>
      <c r="AA323" s="34"/>
    </row>
    <row r="324" customFormat="false" ht="15" hidden="false" customHeight="false" outlineLevel="0" collapsed="false">
      <c r="A324" s="25" t="n">
        <v>320</v>
      </c>
      <c r="B324" s="26" t="s">
        <v>142</v>
      </c>
      <c r="C324" s="26" t="s">
        <v>152</v>
      </c>
      <c r="D324" s="27" t="s">
        <v>1011</v>
      </c>
      <c r="E324" s="27" t="s">
        <v>1012</v>
      </c>
      <c r="F324" s="27" t="s">
        <v>160</v>
      </c>
      <c r="G324" s="25" t="str">
        <f aca="false">IF($D324="","",IF(MID($D324,5,1)="S","S(봄)",IF(MID($D324,5,1)="M","M(여름)",IF(MID($D324,5,1)="X","X(사계절)",MID($D324,5,1)))))</f>
        <v>M(여름)</v>
      </c>
      <c r="H324" s="26" t="s">
        <v>79</v>
      </c>
      <c r="I324" s="25" t="s">
        <v>434</v>
      </c>
      <c r="J324" s="28" t="s">
        <v>999</v>
      </c>
      <c r="K324" s="29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9" t="n">
        <f aca="false">IF($K324="","",IF(AND($K324-기준정보!$C$5&gt;=기준정보!$C$10,$K324-기준정보!$C$5&lt;=기준정보!$C$11),기준정보!$C$10-1,$K324-기준정보!$C$5))</f>
        <v>46471</v>
      </c>
      <c r="M324" s="30" t="n">
        <f aca="false">IF($L324="","",IF(OR(ISNUMBER(SEARCH("중국",$U324)),ISNUMBER(SEARCH("베트남",$U324))),MAX(0,MIN($L324,기준정보!$C$9)-MAX($L324-기준정보!$C$6,기준정보!$C$8)+1),IF(ISNUMBER(SEARCH("한국",$U324)),MAX(0,MIN($L324,기준정보!$C$11)-MAX($L324-기준정보!$C$6,기준정보!$C$10)+1),0)))</f>
        <v>15</v>
      </c>
      <c r="N324" s="29" t="n">
        <f aca="false">IF($L324="","",$L324-기준정보!$C$6-$M324)</f>
        <v>46366</v>
      </c>
      <c r="O324" s="31" t="n">
        <f aca="false">IF($N324="","",$N324-기준정보!$C$4)</f>
        <v>124</v>
      </c>
      <c r="P324" s="28" t="s">
        <v>83</v>
      </c>
      <c r="Q324" s="28" t="s">
        <v>83</v>
      </c>
      <c r="R324" s="32"/>
      <c r="S324" s="27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T324" s="27" t="s">
        <v>1013</v>
      </c>
      <c r="U324" s="26" t="s">
        <v>85</v>
      </c>
      <c r="V324" s="33" t="n">
        <v>0</v>
      </c>
      <c r="W324" s="27"/>
      <c r="X324" s="27" t="str">
        <f aca="false">IF($K324="","출고일 미정",IF($P324="X","작지 미발행",IF($P324="부분","작지 일부 미발행",IF(AND($R324&lt;&gt;"",$R324&gt;$N324),"소재입고 마감("&amp;TEXT($N324,"MM/DD")&amp;") 초과",IF($P324="","발행여부 확인 필요",IF($R324="","소재 입고일정 확인 필요","정상"))))))</f>
        <v>작지 미발행</v>
      </c>
      <c r="Y324" s="25" t="str">
        <f aca="false">IF($K324="","",IF(OR(LEFT($X324,2)="작지",LEFT($X324,4)="소재입고"),IF(LEFT($G324,1)="S","★ 납기위험(S코드)","◆ 지연주의"),IF($X324="정상","✓ 정상","? 확인필요")))</f>
        <v>◆ 지연주의</v>
      </c>
      <c r="Z324" s="28"/>
      <c r="AA324" s="34"/>
    </row>
    <row r="325" customFormat="false" ht="15" hidden="false" customHeight="false" outlineLevel="0" collapsed="false">
      <c r="A325" s="25" t="n">
        <v>321</v>
      </c>
      <c r="B325" s="26" t="s">
        <v>142</v>
      </c>
      <c r="C325" s="26" t="s">
        <v>152</v>
      </c>
      <c r="D325" s="27" t="s">
        <v>1014</v>
      </c>
      <c r="E325" s="27" t="s">
        <v>1015</v>
      </c>
      <c r="F325" s="27" t="s">
        <v>160</v>
      </c>
      <c r="G325" s="25" t="str">
        <f aca="false">IF($D325="","",IF(MID($D325,5,1)="S","S(봄)",IF(MID($D325,5,1)="M","M(여름)",IF(MID($D325,5,1)="X","X(사계절)",MID($D325,5,1)))))</f>
        <v>M(여름)</v>
      </c>
      <c r="H325" s="26" t="s">
        <v>79</v>
      </c>
      <c r="I325" s="25" t="s">
        <v>434</v>
      </c>
      <c r="J325" s="28" t="s">
        <v>999</v>
      </c>
      <c r="K325" s="29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9" t="n">
        <f aca="false">IF($K325="","",IF(AND($K325-기준정보!$C$5&gt;=기준정보!$C$10,$K325-기준정보!$C$5&lt;=기준정보!$C$11),기준정보!$C$10-1,$K325-기준정보!$C$5))</f>
        <v>46471</v>
      </c>
      <c r="M325" s="30" t="n">
        <f aca="false">IF($L325="","",IF(OR(ISNUMBER(SEARCH("중국",$U325)),ISNUMBER(SEARCH("베트남",$U325))),MAX(0,MIN($L325,기준정보!$C$9)-MAX($L325-기준정보!$C$6,기준정보!$C$8)+1),IF(ISNUMBER(SEARCH("한국",$U325)),MAX(0,MIN($L325,기준정보!$C$11)-MAX($L325-기준정보!$C$6,기준정보!$C$10)+1),0)))</f>
        <v>15</v>
      </c>
      <c r="N325" s="29" t="n">
        <f aca="false">IF($L325="","",$L325-기준정보!$C$6-$M325)</f>
        <v>46366</v>
      </c>
      <c r="O325" s="31" t="n">
        <f aca="false">IF($N325="","",$N325-기준정보!$C$4)</f>
        <v>124</v>
      </c>
      <c r="P325" s="28" t="s">
        <v>83</v>
      </c>
      <c r="Q325" s="28" t="s">
        <v>83</v>
      </c>
      <c r="R325" s="32"/>
      <c r="S325" s="27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T325" s="26" t="s">
        <v>161</v>
      </c>
      <c r="U325" s="26" t="s">
        <v>85</v>
      </c>
      <c r="V325" s="33" t="n">
        <v>0</v>
      </c>
      <c r="W325" s="27"/>
      <c r="X325" s="27" t="str">
        <f aca="false">IF($K325="","출고일 미정",IF($P325="X","작지 미발행",IF($P325="부분","작지 일부 미발행",IF(AND($R325&lt;&gt;"",$R325&gt;$N325),"소재입고 마감("&amp;TEXT($N325,"MM/DD")&amp;") 초과",IF($P325="","발행여부 확인 필요",IF($R325="","소재 입고일정 확인 필요","정상"))))))</f>
        <v>작지 미발행</v>
      </c>
      <c r="Y325" s="25" t="str">
        <f aca="false">IF($K325="","",IF(OR(LEFT($X325,2)="작지",LEFT($X325,4)="소재입고"),IF(LEFT($G325,1)="S","★ 납기위험(S코드)","◆ 지연주의"),IF($X325="정상","✓ 정상","? 확인필요")))</f>
        <v>◆ 지연주의</v>
      </c>
      <c r="Z325" s="28"/>
      <c r="AA325" s="34"/>
    </row>
    <row r="326" customFormat="false" ht="15" hidden="false" customHeight="false" outlineLevel="0" collapsed="false">
      <c r="A326" s="25" t="n">
        <v>322</v>
      </c>
      <c r="B326" s="26" t="s">
        <v>142</v>
      </c>
      <c r="C326" s="26" t="s">
        <v>152</v>
      </c>
      <c r="D326" s="27" t="s">
        <v>1016</v>
      </c>
      <c r="E326" s="27" t="s">
        <v>1017</v>
      </c>
      <c r="F326" s="27" t="s">
        <v>556</v>
      </c>
      <c r="G326" s="25" t="str">
        <f aca="false">IF($D326="","",IF(MID($D326,5,1)="S","S(봄)",IF(MID($D326,5,1)="M","M(여름)",IF(MID($D326,5,1)="X","X(사계절)",MID($D326,5,1)))))</f>
        <v>M(여름)</v>
      </c>
      <c r="H326" s="26" t="s">
        <v>79</v>
      </c>
      <c r="I326" s="25" t="s">
        <v>434</v>
      </c>
      <c r="J326" s="28" t="s">
        <v>999</v>
      </c>
      <c r="K326" s="29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9" t="n">
        <f aca="false">IF($K326="","",IF(AND($K326-기준정보!$C$5&gt;=기준정보!$C$10,$K326-기준정보!$C$5&lt;=기준정보!$C$11),기준정보!$C$10-1,$K326-기준정보!$C$5))</f>
        <v>46471</v>
      </c>
      <c r="M326" s="30" t="n">
        <f aca="false">IF($L326="","",IF(OR(ISNUMBER(SEARCH("중국",$U326)),ISNUMBER(SEARCH("베트남",$U326))),MAX(0,MIN($L326,기준정보!$C$9)-MAX($L326-기준정보!$C$6,기준정보!$C$8)+1),IF(ISNUMBER(SEARCH("한국",$U326)),MAX(0,MIN($L326,기준정보!$C$11)-MAX($L326-기준정보!$C$6,기준정보!$C$10)+1),0)))</f>
        <v>15</v>
      </c>
      <c r="N326" s="29" t="n">
        <f aca="false">IF($L326="","",$L326-기준정보!$C$6-$M326)</f>
        <v>46366</v>
      </c>
      <c r="O326" s="31" t="n">
        <f aca="false">IF($N326="","",$N326-기준정보!$C$4)</f>
        <v>124</v>
      </c>
      <c r="P326" s="28" t="s">
        <v>83</v>
      </c>
      <c r="Q326" s="28" t="s">
        <v>83</v>
      </c>
      <c r="R326" s="32"/>
      <c r="S326" s="27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T326" s="26" t="s">
        <v>161</v>
      </c>
      <c r="U326" s="26" t="s">
        <v>85</v>
      </c>
      <c r="V326" s="33" t="n">
        <v>0</v>
      </c>
      <c r="W326" s="27"/>
      <c r="X326" s="27" t="str">
        <f aca="false">IF($K326="","출고일 미정",IF($P326="X","작지 미발행",IF($P326="부분","작지 일부 미발행",IF(AND($R326&lt;&gt;"",$R326&gt;$N326),"소재입고 마감("&amp;TEXT($N326,"MM/DD")&amp;") 초과",IF($P326="","발행여부 확인 필요",IF($R326="","소재 입고일정 확인 필요","정상"))))))</f>
        <v>작지 미발행</v>
      </c>
      <c r="Y326" s="25" t="str">
        <f aca="false">IF($K326="","",IF(OR(LEFT($X326,2)="작지",LEFT($X326,4)="소재입고"),IF(LEFT($G326,1)="S","★ 납기위험(S코드)","◆ 지연주의"),IF($X326="정상","✓ 정상","? 확인필요")))</f>
        <v>◆ 지연주의</v>
      </c>
      <c r="Z326" s="28"/>
      <c r="AA326" s="34"/>
    </row>
    <row r="327" customFormat="false" ht="15" hidden="false" customHeight="false" outlineLevel="0" collapsed="false">
      <c r="A327" s="25" t="n">
        <v>323</v>
      </c>
      <c r="B327" s="26" t="s">
        <v>142</v>
      </c>
      <c r="C327" s="26" t="s">
        <v>152</v>
      </c>
      <c r="D327" s="27" t="s">
        <v>1018</v>
      </c>
      <c r="E327" s="27" t="s">
        <v>1019</v>
      </c>
      <c r="F327" s="27" t="s">
        <v>1020</v>
      </c>
      <c r="G327" s="25" t="str">
        <f aca="false">IF($D327="","",IF(MID($D327,5,1)="S","S(봄)",IF(MID($D327,5,1)="M","M(여름)",IF(MID($D327,5,1)="X","X(사계절)",MID($D327,5,1)))))</f>
        <v>M(여름)</v>
      </c>
      <c r="H327" s="26" t="s">
        <v>79</v>
      </c>
      <c r="I327" s="25" t="s">
        <v>434</v>
      </c>
      <c r="J327" s="28" t="s">
        <v>999</v>
      </c>
      <c r="K327" s="29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9" t="n">
        <f aca="false">IF($K327="","",IF(AND($K327-기준정보!$C$5&gt;=기준정보!$C$10,$K327-기준정보!$C$5&lt;=기준정보!$C$11),기준정보!$C$10-1,$K327-기준정보!$C$5))</f>
        <v>46471</v>
      </c>
      <c r="M327" s="30" t="n">
        <f aca="false">IF($L327="","",IF(OR(ISNUMBER(SEARCH("중국",$U327)),ISNUMBER(SEARCH("베트남",$U327))),MAX(0,MIN($L327,기준정보!$C$9)-MAX($L327-기준정보!$C$6,기준정보!$C$8)+1),IF(ISNUMBER(SEARCH("한국",$U327)),MAX(0,MIN($L327,기준정보!$C$11)-MAX($L327-기준정보!$C$6,기준정보!$C$10)+1),0)))</f>
        <v>0</v>
      </c>
      <c r="N327" s="29" t="n">
        <f aca="false">IF($L327="","",$L327-기준정보!$C$6-$M327)</f>
        <v>46381</v>
      </c>
      <c r="O327" s="31" t="n">
        <f aca="false">IF($N327="","",$N327-기준정보!$C$4)</f>
        <v>139</v>
      </c>
      <c r="P327" s="28" t="s">
        <v>83</v>
      </c>
      <c r="Q327" s="28" t="s">
        <v>83</v>
      </c>
      <c r="R327" s="32"/>
      <c r="S327" s="27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T327" s="26" t="s">
        <v>704</v>
      </c>
      <c r="U327" s="26" t="s">
        <v>166</v>
      </c>
      <c r="V327" s="33" t="n">
        <v>0</v>
      </c>
      <c r="W327" s="27"/>
      <c r="X327" s="27" t="str">
        <f aca="false">IF($K327="","출고일 미정",IF($P327="X","작지 미발행",IF($P327="부분","작지 일부 미발행",IF(AND($R327&lt;&gt;"",$R327&gt;$N327),"소재입고 마감("&amp;TEXT($N327,"MM/DD")&amp;") 초과",IF($P327="","발행여부 확인 필요",IF($R327="","소재 입고일정 확인 필요","정상"))))))</f>
        <v>작지 미발행</v>
      </c>
      <c r="Y327" s="25" t="str">
        <f aca="false">IF($K327="","",IF(OR(LEFT($X327,2)="작지",LEFT($X327,4)="소재입고"),IF(LEFT($G327,1)="S","★ 납기위험(S코드)","◆ 지연주의"),IF($X327="정상","✓ 정상","? 확인필요")))</f>
        <v>◆ 지연주의</v>
      </c>
      <c r="Z327" s="28"/>
      <c r="AA327" s="34"/>
    </row>
    <row r="328" customFormat="false" ht="15" hidden="false" customHeight="false" outlineLevel="0" collapsed="false">
      <c r="A328" s="25" t="n">
        <v>324</v>
      </c>
      <c r="B328" s="26" t="s">
        <v>142</v>
      </c>
      <c r="C328" s="26" t="s">
        <v>152</v>
      </c>
      <c r="D328" s="27" t="s">
        <v>1021</v>
      </c>
      <c r="E328" s="27" t="s">
        <v>1022</v>
      </c>
      <c r="F328" s="27" t="s">
        <v>910</v>
      </c>
      <c r="G328" s="25" t="str">
        <f aca="false">IF($D328="","",IF(MID($D328,5,1)="S","S(봄)",IF(MID($D328,5,1)="M","M(여름)",IF(MID($D328,5,1)="X","X(사계절)",MID($D328,5,1)))))</f>
        <v>M(여름)</v>
      </c>
      <c r="H328" s="26" t="s">
        <v>79</v>
      </c>
      <c r="I328" s="25" t="s">
        <v>434</v>
      </c>
      <c r="J328" s="28" t="s">
        <v>999</v>
      </c>
      <c r="K328" s="29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9" t="n">
        <f aca="false">IF($K328="","",IF(AND($K328-기준정보!$C$5&gt;=기준정보!$C$10,$K328-기준정보!$C$5&lt;=기준정보!$C$11),기준정보!$C$10-1,$K328-기준정보!$C$5))</f>
        <v>46471</v>
      </c>
      <c r="M328" s="30" t="n">
        <f aca="false">IF($L328="","",IF(OR(ISNUMBER(SEARCH("중국",$U328)),ISNUMBER(SEARCH("베트남",$U328))),MAX(0,MIN($L328,기준정보!$C$9)-MAX($L328-기준정보!$C$6,기준정보!$C$8)+1),IF(ISNUMBER(SEARCH("한국",$U328)),MAX(0,MIN($L328,기준정보!$C$11)-MAX($L328-기준정보!$C$6,기준정보!$C$10)+1),0)))</f>
        <v>15</v>
      </c>
      <c r="N328" s="29" t="n">
        <f aca="false">IF($L328="","",$L328-기준정보!$C$6-$M328)</f>
        <v>46366</v>
      </c>
      <c r="O328" s="31" t="n">
        <f aca="false">IF($N328="","",$N328-기준정보!$C$4)</f>
        <v>124</v>
      </c>
      <c r="P328" s="28" t="s">
        <v>83</v>
      </c>
      <c r="Q328" s="28" t="s">
        <v>83</v>
      </c>
      <c r="R328" s="32"/>
      <c r="S328" s="27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T328" s="26" t="s">
        <v>170</v>
      </c>
      <c r="U328" s="26" t="s">
        <v>85</v>
      </c>
      <c r="V328" s="33" t="n">
        <v>0</v>
      </c>
      <c r="W328" s="27"/>
      <c r="X328" s="27" t="str">
        <f aca="false">IF($K328="","출고일 미정",IF($P328="X","작지 미발행",IF($P328="부분","작지 일부 미발행",IF(AND($R328&lt;&gt;"",$R328&gt;$N328),"소재입고 마감("&amp;TEXT($N328,"MM/DD")&amp;") 초과",IF($P328="","발행여부 확인 필요",IF($R328="","소재 입고일정 확인 필요","정상"))))))</f>
        <v>작지 미발행</v>
      </c>
      <c r="Y328" s="25" t="str">
        <f aca="false">IF($K328="","",IF(OR(LEFT($X328,2)="작지",LEFT($X328,4)="소재입고"),IF(LEFT($G328,1)="S","★ 납기위험(S코드)","◆ 지연주의"),IF($X328="정상","✓ 정상","? 확인필요")))</f>
        <v>◆ 지연주의</v>
      </c>
      <c r="Z328" s="28"/>
      <c r="AA328" s="34"/>
    </row>
    <row r="329" customFormat="false" ht="15" hidden="false" customHeight="false" outlineLevel="0" collapsed="false">
      <c r="A329" s="25" t="n">
        <v>325</v>
      </c>
      <c r="B329" s="26" t="s">
        <v>142</v>
      </c>
      <c r="C329" s="26" t="s">
        <v>152</v>
      </c>
      <c r="D329" s="27" t="s">
        <v>1023</v>
      </c>
      <c r="E329" s="27" t="s">
        <v>1024</v>
      </c>
      <c r="F329" s="27" t="s">
        <v>96</v>
      </c>
      <c r="G329" s="25" t="str">
        <f aca="false">IF($D329="","",IF(MID($D329,5,1)="S","S(봄)",IF(MID($D329,5,1)="M","M(여름)",IF(MID($D329,5,1)="X","X(사계절)",MID($D329,5,1)))))</f>
        <v>M(여름)</v>
      </c>
      <c r="H329" s="26" t="s">
        <v>79</v>
      </c>
      <c r="I329" s="25" t="s">
        <v>434</v>
      </c>
      <c r="J329" s="28" t="s">
        <v>999</v>
      </c>
      <c r="K329" s="29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9" t="n">
        <f aca="false">IF($K329="","",IF(AND($K329-기준정보!$C$5&gt;=기준정보!$C$10,$K329-기준정보!$C$5&lt;=기준정보!$C$11),기준정보!$C$10-1,$K329-기준정보!$C$5))</f>
        <v>46471</v>
      </c>
      <c r="M329" s="30" t="n">
        <f aca="false">IF($L329="","",IF(OR(ISNUMBER(SEARCH("중국",$U329)),ISNUMBER(SEARCH("베트남",$U329))),MAX(0,MIN($L329,기준정보!$C$9)-MAX($L329-기준정보!$C$6,기준정보!$C$8)+1),IF(ISNUMBER(SEARCH("한국",$U329)),MAX(0,MIN($L329,기준정보!$C$11)-MAX($L329-기준정보!$C$6,기준정보!$C$10)+1),0)))</f>
        <v>15</v>
      </c>
      <c r="N329" s="29" t="n">
        <f aca="false">IF($L329="","",$L329-기준정보!$C$6-$M329)</f>
        <v>46366</v>
      </c>
      <c r="O329" s="31" t="n">
        <f aca="false">IF($N329="","",$N329-기준정보!$C$4)</f>
        <v>124</v>
      </c>
      <c r="P329" s="28" t="s">
        <v>83</v>
      </c>
      <c r="Q329" s="28" t="s">
        <v>83</v>
      </c>
      <c r="R329" s="32"/>
      <c r="S329" s="27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T329" s="26" t="s">
        <v>266</v>
      </c>
      <c r="U329" s="26" t="s">
        <v>85</v>
      </c>
      <c r="V329" s="33" t="n">
        <v>0</v>
      </c>
      <c r="W329" s="27"/>
      <c r="X329" s="27" t="str">
        <f aca="false">IF($K329="","출고일 미정",IF($P329="X","작지 미발행",IF($P329="부분","작지 일부 미발행",IF(AND($R329&lt;&gt;"",$R329&gt;$N329),"소재입고 마감("&amp;TEXT($N329,"MM/DD")&amp;") 초과",IF($P329="","발행여부 확인 필요",IF($R329="","소재 입고일정 확인 필요","정상"))))))</f>
        <v>작지 미발행</v>
      </c>
      <c r="Y329" s="25" t="str">
        <f aca="false">IF($K329="","",IF(OR(LEFT($X329,2)="작지",LEFT($X329,4)="소재입고"),IF(LEFT($G329,1)="S","★ 납기위험(S코드)","◆ 지연주의"),IF($X329="정상","✓ 정상","? 확인필요")))</f>
        <v>◆ 지연주의</v>
      </c>
      <c r="Z329" s="28"/>
      <c r="AA329" s="34"/>
    </row>
    <row r="330" customFormat="false" ht="15" hidden="false" customHeight="false" outlineLevel="0" collapsed="false">
      <c r="A330" s="25" t="n">
        <v>326</v>
      </c>
      <c r="B330" s="26" t="s">
        <v>142</v>
      </c>
      <c r="C330" s="26" t="s">
        <v>143</v>
      </c>
      <c r="D330" s="27" t="s">
        <v>1025</v>
      </c>
      <c r="E330" s="27" t="s">
        <v>1026</v>
      </c>
      <c r="F330" s="27" t="s">
        <v>169</v>
      </c>
      <c r="G330" s="25" t="str">
        <f aca="false">IF($D330="","",IF(MID($D330,5,1)="S","S(봄)",IF(MID($D330,5,1)="M","M(여름)",IF(MID($D330,5,1)="X","X(사계절)",MID($D330,5,1)))))</f>
        <v>M(여름)</v>
      </c>
      <c r="H330" s="26" t="s">
        <v>79</v>
      </c>
      <c r="I330" s="25" t="s">
        <v>434</v>
      </c>
      <c r="J330" s="28" t="s">
        <v>999</v>
      </c>
      <c r="K330" s="29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9" t="n">
        <f aca="false">IF($K330="","",IF(AND($K330-기준정보!$C$5&gt;=기준정보!$C$10,$K330-기준정보!$C$5&lt;=기준정보!$C$11),기준정보!$C$10-1,$K330-기준정보!$C$5))</f>
        <v>46471</v>
      </c>
      <c r="M330" s="30" t="n">
        <f aca="false">IF($L330="","",IF(OR(ISNUMBER(SEARCH("중국",$U330)),ISNUMBER(SEARCH("베트남",$U330))),MAX(0,MIN($L330,기준정보!$C$9)-MAX($L330-기준정보!$C$6,기준정보!$C$8)+1),IF(ISNUMBER(SEARCH("한국",$U330)),MAX(0,MIN($L330,기준정보!$C$11)-MAX($L330-기준정보!$C$6,기준정보!$C$10)+1),0)))</f>
        <v>15</v>
      </c>
      <c r="N330" s="29" t="n">
        <f aca="false">IF($L330="","",$L330-기준정보!$C$6-$M330)</f>
        <v>46366</v>
      </c>
      <c r="O330" s="31" t="n">
        <f aca="false">IF($N330="","",$N330-기준정보!$C$4)</f>
        <v>124</v>
      </c>
      <c r="P330" s="28" t="s">
        <v>83</v>
      </c>
      <c r="Q330" s="28" t="s">
        <v>83</v>
      </c>
      <c r="R330" s="32"/>
      <c r="S330" s="27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T330" s="27" t="s">
        <v>149</v>
      </c>
      <c r="U330" s="26" t="s">
        <v>85</v>
      </c>
      <c r="V330" s="33" t="n">
        <v>0</v>
      </c>
      <c r="W330" s="27"/>
      <c r="X330" s="27" t="str">
        <f aca="false">IF($K330="","출고일 미정",IF($P330="X","작지 미발행",IF($P330="부분","작지 일부 미발행",IF(AND($R330&lt;&gt;"",$R330&gt;$N330),"소재입고 마감("&amp;TEXT($N330,"MM/DD")&amp;") 초과",IF($P330="","발행여부 확인 필요",IF($R330="","소재 입고일정 확인 필요","정상"))))))</f>
        <v>작지 미발행</v>
      </c>
      <c r="Y330" s="25" t="str">
        <f aca="false">IF($K330="","",IF(OR(LEFT($X330,2)="작지",LEFT($X330,4)="소재입고"),IF(LEFT($G330,1)="S","★ 납기위험(S코드)","◆ 지연주의"),IF($X330="정상","✓ 정상","? 확인필요")))</f>
        <v>◆ 지연주의</v>
      </c>
      <c r="Z330" s="28"/>
      <c r="AA330" s="34"/>
    </row>
    <row r="331" customFormat="false" ht="15" hidden="false" customHeight="false" outlineLevel="0" collapsed="false">
      <c r="A331" s="25" t="n">
        <v>327</v>
      </c>
      <c r="B331" s="26" t="s">
        <v>142</v>
      </c>
      <c r="C331" s="26" t="s">
        <v>143</v>
      </c>
      <c r="D331" s="27" t="s">
        <v>1027</v>
      </c>
      <c r="E331" s="27" t="s">
        <v>1028</v>
      </c>
      <c r="F331" s="27" t="s">
        <v>169</v>
      </c>
      <c r="G331" s="25" t="str">
        <f aca="false">IF($D331="","",IF(MID($D331,5,1)="S","S(봄)",IF(MID($D331,5,1)="M","M(여름)",IF(MID($D331,5,1)="X","X(사계절)",MID($D331,5,1)))))</f>
        <v>M(여름)</v>
      </c>
      <c r="H331" s="26" t="s">
        <v>79</v>
      </c>
      <c r="I331" s="25" t="s">
        <v>434</v>
      </c>
      <c r="J331" s="28" t="s">
        <v>999</v>
      </c>
      <c r="K331" s="29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9" t="n">
        <f aca="false">IF($K331="","",IF(AND($K331-기준정보!$C$5&gt;=기준정보!$C$10,$K331-기준정보!$C$5&lt;=기준정보!$C$11),기준정보!$C$10-1,$K331-기준정보!$C$5))</f>
        <v>46471</v>
      </c>
      <c r="M331" s="30" t="n">
        <f aca="false">IF($L331="","",IF(OR(ISNUMBER(SEARCH("중국",$U331)),ISNUMBER(SEARCH("베트남",$U331))),MAX(0,MIN($L331,기준정보!$C$9)-MAX($L331-기준정보!$C$6,기준정보!$C$8)+1),IF(ISNUMBER(SEARCH("한국",$U331)),MAX(0,MIN($L331,기준정보!$C$11)-MAX($L331-기준정보!$C$6,기준정보!$C$10)+1),0)))</f>
        <v>15</v>
      </c>
      <c r="N331" s="29" t="n">
        <f aca="false">IF($L331="","",$L331-기준정보!$C$6-$M331)</f>
        <v>46366</v>
      </c>
      <c r="O331" s="31" t="n">
        <f aca="false">IF($N331="","",$N331-기준정보!$C$4)</f>
        <v>124</v>
      </c>
      <c r="P331" s="28" t="s">
        <v>83</v>
      </c>
      <c r="Q331" s="28" t="s">
        <v>83</v>
      </c>
      <c r="R331" s="32"/>
      <c r="S331" s="27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T331" s="27" t="s">
        <v>149</v>
      </c>
      <c r="U331" s="26" t="s">
        <v>85</v>
      </c>
      <c r="V331" s="33" t="n">
        <v>0</v>
      </c>
      <c r="W331" s="27"/>
      <c r="X331" s="27" t="str">
        <f aca="false">IF($K331="","출고일 미정",IF($P331="X","작지 미발행",IF($P331="부분","작지 일부 미발행",IF(AND($R331&lt;&gt;"",$R331&gt;$N331),"소재입고 마감("&amp;TEXT($N331,"MM/DD")&amp;") 초과",IF($P331="","발행여부 확인 필요",IF($R331="","소재 입고일정 확인 필요","정상"))))))</f>
        <v>작지 미발행</v>
      </c>
      <c r="Y331" s="25" t="str">
        <f aca="false">IF($K331="","",IF(OR(LEFT($X331,2)="작지",LEFT($X331,4)="소재입고"),IF(LEFT($G331,1)="S","★ 납기위험(S코드)","◆ 지연주의"),IF($X331="정상","✓ 정상","? 확인필요")))</f>
        <v>◆ 지연주의</v>
      </c>
      <c r="Z331" s="28"/>
      <c r="AA331" s="34"/>
    </row>
    <row r="332" customFormat="false" ht="15" hidden="false" customHeight="false" outlineLevel="0" collapsed="false">
      <c r="A332" s="25" t="n">
        <v>328</v>
      </c>
      <c r="B332" s="26" t="s">
        <v>142</v>
      </c>
      <c r="C332" s="26" t="s">
        <v>152</v>
      </c>
      <c r="D332" s="27" t="s">
        <v>1029</v>
      </c>
      <c r="E332" s="27" t="s">
        <v>1030</v>
      </c>
      <c r="F332" s="27" t="s">
        <v>160</v>
      </c>
      <c r="G332" s="25" t="str">
        <f aca="false">IF($D332="","",IF(MID($D332,5,1)="S","S(봄)",IF(MID($D332,5,1)="M","M(여름)",IF(MID($D332,5,1)="X","X(사계절)",MID($D332,5,1)))))</f>
        <v>M(여름)</v>
      </c>
      <c r="H332" s="26" t="s">
        <v>79</v>
      </c>
      <c r="I332" s="25" t="s">
        <v>434</v>
      </c>
      <c r="J332" s="28" t="s">
        <v>999</v>
      </c>
      <c r="K332" s="29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9" t="n">
        <f aca="false">IF($K332="","",IF(AND($K332-기준정보!$C$5&gt;=기준정보!$C$10,$K332-기준정보!$C$5&lt;=기준정보!$C$11),기준정보!$C$10-1,$K332-기준정보!$C$5))</f>
        <v>46471</v>
      </c>
      <c r="M332" s="30" t="n">
        <f aca="false">IF($L332="","",IF(OR(ISNUMBER(SEARCH("중국",$U332)),ISNUMBER(SEARCH("베트남",$U332))),MAX(0,MIN($L332,기준정보!$C$9)-MAX($L332-기준정보!$C$6,기준정보!$C$8)+1),IF(ISNUMBER(SEARCH("한국",$U332)),MAX(0,MIN($L332,기준정보!$C$11)-MAX($L332-기준정보!$C$6,기준정보!$C$10)+1),0)))</f>
        <v>15</v>
      </c>
      <c r="N332" s="29" t="n">
        <f aca="false">IF($L332="","",$L332-기준정보!$C$6-$M332)</f>
        <v>46366</v>
      </c>
      <c r="O332" s="31" t="n">
        <f aca="false">IF($N332="","",$N332-기준정보!$C$4)</f>
        <v>124</v>
      </c>
      <c r="P332" s="28" t="s">
        <v>83</v>
      </c>
      <c r="Q332" s="28" t="s">
        <v>83</v>
      </c>
      <c r="R332" s="32"/>
      <c r="S332" s="27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T332" s="27" t="s">
        <v>235</v>
      </c>
      <c r="U332" s="26" t="s">
        <v>85</v>
      </c>
      <c r="V332" s="33" t="n">
        <v>0</v>
      </c>
      <c r="W332" s="27"/>
      <c r="X332" s="27" t="str">
        <f aca="false">IF($K332="","출고일 미정",IF($P332="X","작지 미발행",IF($P332="부분","작지 일부 미발행",IF(AND($R332&lt;&gt;"",$R332&gt;$N332),"소재입고 마감("&amp;TEXT($N332,"MM/DD")&amp;") 초과",IF($P332="","발행여부 확인 필요",IF($R332="","소재 입고일정 확인 필요","정상"))))))</f>
        <v>작지 미발행</v>
      </c>
      <c r="Y332" s="25" t="str">
        <f aca="false">IF($K332="","",IF(OR(LEFT($X332,2)="작지",LEFT($X332,4)="소재입고"),IF(LEFT($G332,1)="S","★ 납기위험(S코드)","◆ 지연주의"),IF($X332="정상","✓ 정상","? 확인필요")))</f>
        <v>◆ 지연주의</v>
      </c>
      <c r="Z332" s="28"/>
      <c r="AA332" s="34"/>
    </row>
    <row r="333" customFormat="false" ht="15" hidden="false" customHeight="false" outlineLevel="0" collapsed="false">
      <c r="A333" s="25" t="n">
        <v>329</v>
      </c>
      <c r="B333" s="26" t="s">
        <v>142</v>
      </c>
      <c r="C333" s="26" t="s">
        <v>143</v>
      </c>
      <c r="D333" s="27" t="s">
        <v>1031</v>
      </c>
      <c r="E333" s="27" t="s">
        <v>1032</v>
      </c>
      <c r="F333" s="27" t="s">
        <v>238</v>
      </c>
      <c r="G333" s="25" t="str">
        <f aca="false">IF($D333="","",IF(MID($D333,5,1)="S","S(봄)",IF(MID($D333,5,1)="M","M(여름)",IF(MID($D333,5,1)="X","X(사계절)",MID($D333,5,1)))))</f>
        <v>M(여름)</v>
      </c>
      <c r="H333" s="26" t="s">
        <v>79</v>
      </c>
      <c r="I333" s="25" t="s">
        <v>434</v>
      </c>
      <c r="J333" s="28" t="s">
        <v>999</v>
      </c>
      <c r="K333" s="29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9" t="n">
        <f aca="false">IF($K333="","",IF(AND($K333-기준정보!$C$5&gt;=기준정보!$C$10,$K333-기준정보!$C$5&lt;=기준정보!$C$11),기준정보!$C$10-1,$K333-기준정보!$C$5))</f>
        <v>46471</v>
      </c>
      <c r="M333" s="30" t="n">
        <f aca="false">IF($L333="","",IF(OR(ISNUMBER(SEARCH("중국",$U333)),ISNUMBER(SEARCH("베트남",$U333))),MAX(0,MIN($L333,기준정보!$C$9)-MAX($L333-기준정보!$C$6,기준정보!$C$8)+1),IF(ISNUMBER(SEARCH("한국",$U333)),MAX(0,MIN($L333,기준정보!$C$11)-MAX($L333-기준정보!$C$6,기준정보!$C$10)+1),0)))</f>
        <v>15</v>
      </c>
      <c r="N333" s="29" t="n">
        <f aca="false">IF($L333="","",$L333-기준정보!$C$6-$M333)</f>
        <v>46366</v>
      </c>
      <c r="O333" s="31" t="n">
        <f aca="false">IF($N333="","",$N333-기준정보!$C$4)</f>
        <v>124</v>
      </c>
      <c r="P333" s="28" t="s">
        <v>83</v>
      </c>
      <c r="Q333" s="28" t="s">
        <v>83</v>
      </c>
      <c r="R333" s="32"/>
      <c r="S333" s="27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T333" s="27" t="s">
        <v>149</v>
      </c>
      <c r="U333" s="26" t="s">
        <v>85</v>
      </c>
      <c r="V333" s="33" t="n">
        <v>0</v>
      </c>
      <c r="W333" s="27"/>
      <c r="X333" s="27" t="str">
        <f aca="false">IF($K333="","출고일 미정",IF($P333="X","작지 미발행",IF($P333="부분","작지 일부 미발행",IF(AND($R333&lt;&gt;"",$R333&gt;$N333),"소재입고 마감("&amp;TEXT($N333,"MM/DD")&amp;") 초과",IF($P333="","발행여부 확인 필요",IF($R333="","소재 입고일정 확인 필요","정상"))))))</f>
        <v>작지 미발행</v>
      </c>
      <c r="Y333" s="25" t="str">
        <f aca="false">IF($K333="","",IF(OR(LEFT($X333,2)="작지",LEFT($X333,4)="소재입고"),IF(LEFT($G333,1)="S","★ 납기위험(S코드)","◆ 지연주의"),IF($X333="정상","✓ 정상","? 확인필요")))</f>
        <v>◆ 지연주의</v>
      </c>
      <c r="Z333" s="28"/>
      <c r="AA333" s="34"/>
    </row>
    <row r="334" customFormat="false" ht="15" hidden="false" customHeight="false" outlineLevel="0" collapsed="false">
      <c r="A334" s="25" t="n">
        <v>330</v>
      </c>
      <c r="B334" s="26" t="s">
        <v>142</v>
      </c>
      <c r="C334" s="26" t="s">
        <v>143</v>
      </c>
      <c r="D334" s="27" t="s">
        <v>1033</v>
      </c>
      <c r="E334" s="27" t="s">
        <v>1034</v>
      </c>
      <c r="F334" s="27" t="s">
        <v>169</v>
      </c>
      <c r="G334" s="25" t="str">
        <f aca="false">IF($D334="","",IF(MID($D334,5,1)="S","S(봄)",IF(MID($D334,5,1)="M","M(여름)",IF(MID($D334,5,1)="X","X(사계절)",MID($D334,5,1)))))</f>
        <v>M(여름)</v>
      </c>
      <c r="H334" s="26" t="s">
        <v>79</v>
      </c>
      <c r="I334" s="25" t="s">
        <v>434</v>
      </c>
      <c r="J334" s="28" t="s">
        <v>999</v>
      </c>
      <c r="K334" s="29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9" t="n">
        <f aca="false">IF($K334="","",IF(AND($K334-기준정보!$C$5&gt;=기준정보!$C$10,$K334-기준정보!$C$5&lt;=기준정보!$C$11),기준정보!$C$10-1,$K334-기준정보!$C$5))</f>
        <v>46471</v>
      </c>
      <c r="M334" s="30" t="n">
        <f aca="false">IF($L334="","",IF(OR(ISNUMBER(SEARCH("중국",$U334)),ISNUMBER(SEARCH("베트남",$U334))),MAX(0,MIN($L334,기준정보!$C$9)-MAX($L334-기준정보!$C$6,기준정보!$C$8)+1),IF(ISNUMBER(SEARCH("한국",$U334)),MAX(0,MIN($L334,기준정보!$C$11)-MAX($L334-기준정보!$C$6,기준정보!$C$10)+1),0)))</f>
        <v>15</v>
      </c>
      <c r="N334" s="29" t="n">
        <f aca="false">IF($L334="","",$L334-기준정보!$C$6-$M334)</f>
        <v>46366</v>
      </c>
      <c r="O334" s="31" t="n">
        <f aca="false">IF($N334="","",$N334-기준정보!$C$4)</f>
        <v>124</v>
      </c>
      <c r="P334" s="28" t="s">
        <v>83</v>
      </c>
      <c r="Q334" s="28" t="s">
        <v>83</v>
      </c>
      <c r="R334" s="32"/>
      <c r="S334" s="27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T334" s="26" t="s">
        <v>266</v>
      </c>
      <c r="U334" s="26" t="s">
        <v>85</v>
      </c>
      <c r="V334" s="33" t="n">
        <v>0</v>
      </c>
      <c r="W334" s="27"/>
      <c r="X334" s="27" t="str">
        <f aca="false">IF($K334="","출고일 미정",IF($P334="X","작지 미발행",IF($P334="부분","작지 일부 미발행",IF(AND($R334&lt;&gt;"",$R334&gt;$N334),"소재입고 마감("&amp;TEXT($N334,"MM/DD")&amp;") 초과",IF($P334="","발행여부 확인 필요",IF($R334="","소재 입고일정 확인 필요","정상"))))))</f>
        <v>작지 미발행</v>
      </c>
      <c r="Y334" s="25" t="str">
        <f aca="false">IF($K334="","",IF(OR(LEFT($X334,2)="작지",LEFT($X334,4)="소재입고"),IF(LEFT($G334,1)="S","★ 납기위험(S코드)","◆ 지연주의"),IF($X334="정상","✓ 정상","? 확인필요")))</f>
        <v>◆ 지연주의</v>
      </c>
      <c r="Z334" s="28"/>
      <c r="AA334" s="34"/>
    </row>
    <row r="335" customFormat="false" ht="15" hidden="false" customHeight="false" outlineLevel="0" collapsed="false">
      <c r="A335" s="25" t="n">
        <v>331</v>
      </c>
      <c r="B335" s="26" t="s">
        <v>142</v>
      </c>
      <c r="C335" s="26" t="s">
        <v>152</v>
      </c>
      <c r="D335" s="27" t="s">
        <v>1035</v>
      </c>
      <c r="E335" s="27" t="s">
        <v>1036</v>
      </c>
      <c r="F335" s="27" t="s">
        <v>96</v>
      </c>
      <c r="G335" s="25" t="str">
        <f aca="false">IF($D335="","",IF(MID($D335,5,1)="S","S(봄)",IF(MID($D335,5,1)="M","M(여름)",IF(MID($D335,5,1)="X","X(사계절)",MID($D335,5,1)))))</f>
        <v>M(여름)</v>
      </c>
      <c r="H335" s="26" t="s">
        <v>79</v>
      </c>
      <c r="I335" s="25" t="s">
        <v>434</v>
      </c>
      <c r="J335" s="28" t="s">
        <v>999</v>
      </c>
      <c r="K335" s="29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9" t="n">
        <f aca="false">IF($K335="","",IF(AND($K335-기준정보!$C$5&gt;=기준정보!$C$10,$K335-기준정보!$C$5&lt;=기준정보!$C$11),기준정보!$C$10-1,$K335-기준정보!$C$5))</f>
        <v>46471</v>
      </c>
      <c r="M335" s="30" t="n">
        <f aca="false">IF($L335="","",IF(OR(ISNUMBER(SEARCH("중국",$U335)),ISNUMBER(SEARCH("베트남",$U335))),MAX(0,MIN($L335,기준정보!$C$9)-MAX($L335-기준정보!$C$6,기준정보!$C$8)+1),IF(ISNUMBER(SEARCH("한국",$U335)),MAX(0,MIN($L335,기준정보!$C$11)-MAX($L335-기준정보!$C$6,기준정보!$C$10)+1),0)))</f>
        <v>0</v>
      </c>
      <c r="N335" s="29" t="n">
        <f aca="false">IF($L335="","",$L335-기준정보!$C$6-$M335)</f>
        <v>46381</v>
      </c>
      <c r="O335" s="31" t="n">
        <f aca="false">IF($N335="","",$N335-기준정보!$C$4)</f>
        <v>139</v>
      </c>
      <c r="P335" s="28" t="s">
        <v>83</v>
      </c>
      <c r="Q335" s="28" t="s">
        <v>83</v>
      </c>
      <c r="R335" s="32"/>
      <c r="S335" s="27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T335" s="26" t="s">
        <v>195</v>
      </c>
      <c r="U335" s="26" t="s">
        <v>166</v>
      </c>
      <c r="V335" s="33" t="n">
        <v>0</v>
      </c>
      <c r="W335" s="27"/>
      <c r="X335" s="27" t="str">
        <f aca="false">IF($K335="","출고일 미정",IF($P335="X","작지 미발행",IF($P335="부분","작지 일부 미발행",IF(AND($R335&lt;&gt;"",$R335&gt;$N335),"소재입고 마감("&amp;TEXT($N335,"MM/DD")&amp;") 초과",IF($P335="","발행여부 확인 필요",IF($R335="","소재 입고일정 확인 필요","정상"))))))</f>
        <v>작지 미발행</v>
      </c>
      <c r="Y335" s="25" t="str">
        <f aca="false">IF($K335="","",IF(OR(LEFT($X335,2)="작지",LEFT($X335,4)="소재입고"),IF(LEFT($G335,1)="S","★ 납기위험(S코드)","◆ 지연주의"),IF($X335="정상","✓ 정상","? 확인필요")))</f>
        <v>◆ 지연주의</v>
      </c>
      <c r="Z335" s="28"/>
      <c r="AA335" s="34"/>
    </row>
    <row r="336" customFormat="false" ht="15" hidden="false" customHeight="false" outlineLevel="0" collapsed="false">
      <c r="A336" s="25" t="n">
        <v>332</v>
      </c>
      <c r="B336" s="26" t="s">
        <v>142</v>
      </c>
      <c r="C336" s="26" t="s">
        <v>143</v>
      </c>
      <c r="D336" s="27" t="s">
        <v>1037</v>
      </c>
      <c r="E336" s="27" t="s">
        <v>1038</v>
      </c>
      <c r="F336" s="27" t="s">
        <v>1039</v>
      </c>
      <c r="G336" s="25" t="str">
        <f aca="false">IF($D336="","",IF(MID($D336,5,1)="S","S(봄)",IF(MID($D336,5,1)="M","M(여름)",IF(MID($D336,5,1)="X","X(사계절)",MID($D336,5,1)))))</f>
        <v>M(여름)</v>
      </c>
      <c r="H336" s="26" t="s">
        <v>79</v>
      </c>
      <c r="I336" s="25" t="s">
        <v>434</v>
      </c>
      <c r="J336" s="28" t="s">
        <v>999</v>
      </c>
      <c r="K336" s="29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9" t="n">
        <f aca="false">IF($K336="","",IF(AND($K336-기준정보!$C$5&gt;=기준정보!$C$10,$K336-기준정보!$C$5&lt;=기준정보!$C$11),기준정보!$C$10-1,$K336-기준정보!$C$5))</f>
        <v>46471</v>
      </c>
      <c r="M336" s="30" t="n">
        <f aca="false">IF($L336="","",IF(OR(ISNUMBER(SEARCH("중국",$U336)),ISNUMBER(SEARCH("베트남",$U336))),MAX(0,MIN($L336,기준정보!$C$9)-MAX($L336-기준정보!$C$6,기준정보!$C$8)+1),IF(ISNUMBER(SEARCH("한국",$U336)),MAX(0,MIN($L336,기준정보!$C$11)-MAX($L336-기준정보!$C$6,기준정보!$C$10)+1),0)))</f>
        <v>0</v>
      </c>
      <c r="N336" s="29" t="n">
        <f aca="false">IF($L336="","",$L336-기준정보!$C$6-$M336)</f>
        <v>46381</v>
      </c>
      <c r="O336" s="31" t="n">
        <f aca="false">IF($N336="","",$N336-기준정보!$C$4)</f>
        <v>139</v>
      </c>
      <c r="P336" s="28" t="s">
        <v>83</v>
      </c>
      <c r="Q336" s="28" t="s">
        <v>83</v>
      </c>
      <c r="R336" s="32"/>
      <c r="S336" s="27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T336" s="26" t="s">
        <v>195</v>
      </c>
      <c r="U336" s="26" t="s">
        <v>166</v>
      </c>
      <c r="V336" s="33" t="n">
        <v>0</v>
      </c>
      <c r="W336" s="27"/>
      <c r="X336" s="27" t="str">
        <f aca="false">IF($K336="","출고일 미정",IF($P336="X","작지 미발행",IF($P336="부분","작지 일부 미발행",IF(AND($R336&lt;&gt;"",$R336&gt;$N336),"소재입고 마감("&amp;TEXT($N336,"MM/DD")&amp;") 초과",IF($P336="","발행여부 확인 필요",IF($R336="","소재 입고일정 확인 필요","정상"))))))</f>
        <v>작지 미발행</v>
      </c>
      <c r="Y336" s="25" t="str">
        <f aca="false">IF($K336="","",IF(OR(LEFT($X336,2)="작지",LEFT($X336,4)="소재입고"),IF(LEFT($G336,1)="S","★ 납기위험(S코드)","◆ 지연주의"),IF($X336="정상","✓ 정상","? 확인필요")))</f>
        <v>◆ 지연주의</v>
      </c>
      <c r="Z336" s="28"/>
      <c r="AA336" s="34"/>
    </row>
    <row r="337" customFormat="false" ht="15" hidden="false" customHeight="false" outlineLevel="0" collapsed="false">
      <c r="A337" s="25" t="n">
        <v>333</v>
      </c>
      <c r="B337" s="26" t="s">
        <v>142</v>
      </c>
      <c r="C337" s="26" t="s">
        <v>152</v>
      </c>
      <c r="D337" s="27" t="s">
        <v>1040</v>
      </c>
      <c r="E337" s="27" t="s">
        <v>1041</v>
      </c>
      <c r="F337" s="27" t="s">
        <v>1039</v>
      </c>
      <c r="G337" s="25" t="str">
        <f aca="false">IF($D337="","",IF(MID($D337,5,1)="S","S(봄)",IF(MID($D337,5,1)="M","M(여름)",IF(MID($D337,5,1)="X","X(사계절)",MID($D337,5,1)))))</f>
        <v>M(여름)</v>
      </c>
      <c r="H337" s="26" t="s">
        <v>79</v>
      </c>
      <c r="I337" s="25" t="s">
        <v>434</v>
      </c>
      <c r="J337" s="28" t="s">
        <v>999</v>
      </c>
      <c r="K337" s="29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9" t="n">
        <f aca="false">IF($K337="","",IF(AND($K337-기준정보!$C$5&gt;=기준정보!$C$10,$K337-기준정보!$C$5&lt;=기준정보!$C$11),기준정보!$C$10-1,$K337-기준정보!$C$5))</f>
        <v>46471</v>
      </c>
      <c r="M337" s="30" t="n">
        <f aca="false">IF($L337="","",IF(OR(ISNUMBER(SEARCH("중국",$U337)),ISNUMBER(SEARCH("베트남",$U337))),MAX(0,MIN($L337,기준정보!$C$9)-MAX($L337-기준정보!$C$6,기준정보!$C$8)+1),IF(ISNUMBER(SEARCH("한국",$U337)),MAX(0,MIN($L337,기준정보!$C$11)-MAX($L337-기준정보!$C$6,기준정보!$C$10)+1),0)))</f>
        <v>15</v>
      </c>
      <c r="N337" s="29" t="n">
        <f aca="false">IF($L337="","",$L337-기준정보!$C$6-$M337)</f>
        <v>46366</v>
      </c>
      <c r="O337" s="31" t="n">
        <f aca="false">IF($N337="","",$N337-기준정보!$C$4)</f>
        <v>124</v>
      </c>
      <c r="P337" s="28" t="s">
        <v>83</v>
      </c>
      <c r="Q337" s="28" t="s">
        <v>83</v>
      </c>
      <c r="R337" s="32"/>
      <c r="S337" s="27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T337" s="26" t="s">
        <v>195</v>
      </c>
      <c r="U337" s="26" t="s">
        <v>131</v>
      </c>
      <c r="V337" s="33" t="n">
        <v>0</v>
      </c>
      <c r="W337" s="27"/>
      <c r="X337" s="27" t="str">
        <f aca="false">IF($K337="","출고일 미정",IF($P337="X","작지 미발행",IF($P337="부분","작지 일부 미발행",IF(AND($R337&lt;&gt;"",$R337&gt;$N337),"소재입고 마감("&amp;TEXT($N337,"MM/DD")&amp;") 초과",IF($P337="","발행여부 확인 필요",IF($R337="","소재 입고일정 확인 필요","정상"))))))</f>
        <v>작지 미발행</v>
      </c>
      <c r="Y337" s="25" t="str">
        <f aca="false">IF($K337="","",IF(OR(LEFT($X337,2)="작지",LEFT($X337,4)="소재입고"),IF(LEFT($G337,1)="S","★ 납기위험(S코드)","◆ 지연주의"),IF($X337="정상","✓ 정상","? 확인필요")))</f>
        <v>◆ 지연주의</v>
      </c>
      <c r="Z337" s="28"/>
      <c r="AA337" s="34"/>
    </row>
    <row r="338" customFormat="false" ht="15" hidden="false" customHeight="false" outlineLevel="0" collapsed="false">
      <c r="A338" s="25" t="n">
        <v>334</v>
      </c>
      <c r="B338" s="26" t="s">
        <v>142</v>
      </c>
      <c r="C338" s="26" t="s">
        <v>143</v>
      </c>
      <c r="D338" s="27" t="s">
        <v>1042</v>
      </c>
      <c r="E338" s="27" t="s">
        <v>1043</v>
      </c>
      <c r="F338" s="27" t="s">
        <v>160</v>
      </c>
      <c r="G338" s="25" t="str">
        <f aca="false">IF($D338="","",IF(MID($D338,5,1)="S","S(봄)",IF(MID($D338,5,1)="M","M(여름)",IF(MID($D338,5,1)="X","X(사계절)",MID($D338,5,1)))))</f>
        <v>M(여름)</v>
      </c>
      <c r="H338" s="26" t="s">
        <v>79</v>
      </c>
      <c r="I338" s="25" t="s">
        <v>434</v>
      </c>
      <c r="J338" s="28" t="s">
        <v>999</v>
      </c>
      <c r="K338" s="29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9" t="n">
        <f aca="false">IF($K338="","",IF(AND($K338-기준정보!$C$5&gt;=기준정보!$C$10,$K338-기준정보!$C$5&lt;=기준정보!$C$11),기준정보!$C$10-1,$K338-기준정보!$C$5))</f>
        <v>46471</v>
      </c>
      <c r="M338" s="30" t="n">
        <f aca="false">IF($L338="","",IF(OR(ISNUMBER(SEARCH("중국",$U338)),ISNUMBER(SEARCH("베트남",$U338))),MAX(0,MIN($L338,기준정보!$C$9)-MAX($L338-기준정보!$C$6,기준정보!$C$8)+1),IF(ISNUMBER(SEARCH("한국",$U338)),MAX(0,MIN($L338,기준정보!$C$11)-MAX($L338-기준정보!$C$6,기준정보!$C$10)+1),0)))</f>
        <v>15</v>
      </c>
      <c r="N338" s="29" t="n">
        <f aca="false">IF($L338="","",$L338-기준정보!$C$6-$M338)</f>
        <v>46366</v>
      </c>
      <c r="O338" s="31" t="n">
        <f aca="false">IF($N338="","",$N338-기준정보!$C$4)</f>
        <v>124</v>
      </c>
      <c r="P338" s="28" t="s">
        <v>83</v>
      </c>
      <c r="Q338" s="28" t="s">
        <v>83</v>
      </c>
      <c r="R338" s="32"/>
      <c r="S338" s="27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T338" s="26" t="s">
        <v>311</v>
      </c>
      <c r="U338" s="26" t="s">
        <v>85</v>
      </c>
      <c r="V338" s="33" t="n">
        <v>0</v>
      </c>
      <c r="W338" s="27"/>
      <c r="X338" s="27" t="str">
        <f aca="false">IF($K338="","출고일 미정",IF($P338="X","작지 미발행",IF($P338="부분","작지 일부 미발행",IF(AND($R338&lt;&gt;"",$R338&gt;$N338),"소재입고 마감("&amp;TEXT($N338,"MM/DD")&amp;") 초과",IF($P338="","발행여부 확인 필요",IF($R338="","소재 입고일정 확인 필요","정상"))))))</f>
        <v>작지 미발행</v>
      </c>
      <c r="Y338" s="25" t="str">
        <f aca="false">IF($K338="","",IF(OR(LEFT($X338,2)="작지",LEFT($X338,4)="소재입고"),IF(LEFT($G338,1)="S","★ 납기위험(S코드)","◆ 지연주의"),IF($X338="정상","✓ 정상","? 확인필요")))</f>
        <v>◆ 지연주의</v>
      </c>
      <c r="Z338" s="28"/>
      <c r="AA338" s="34"/>
    </row>
    <row r="339" customFormat="false" ht="15" hidden="false" customHeight="false" outlineLevel="0" collapsed="false">
      <c r="A339" s="25" t="n">
        <v>335</v>
      </c>
      <c r="B339" s="26" t="s">
        <v>142</v>
      </c>
      <c r="C339" s="26" t="s">
        <v>143</v>
      </c>
      <c r="D339" s="27" t="s">
        <v>1044</v>
      </c>
      <c r="E339" s="27" t="s">
        <v>1045</v>
      </c>
      <c r="F339" s="27" t="s">
        <v>1046</v>
      </c>
      <c r="G339" s="25" t="str">
        <f aca="false">IF($D339="","",IF(MID($D339,5,1)="S","S(봄)",IF(MID($D339,5,1)="M","M(여름)",IF(MID($D339,5,1)="X","X(사계절)",MID($D339,5,1)))))</f>
        <v>M(여름)</v>
      </c>
      <c r="H339" s="26" t="s">
        <v>79</v>
      </c>
      <c r="I339" s="25" t="s">
        <v>434</v>
      </c>
      <c r="J339" s="28" t="s">
        <v>999</v>
      </c>
      <c r="K339" s="29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9" t="n">
        <f aca="false">IF($K339="","",IF(AND($K339-기준정보!$C$5&gt;=기준정보!$C$10,$K339-기준정보!$C$5&lt;=기준정보!$C$11),기준정보!$C$10-1,$K339-기준정보!$C$5))</f>
        <v>46471</v>
      </c>
      <c r="M339" s="30" t="n">
        <f aca="false">IF($L339="","",IF(OR(ISNUMBER(SEARCH("중국",$U339)),ISNUMBER(SEARCH("베트남",$U339))),MAX(0,MIN($L339,기준정보!$C$9)-MAX($L339-기준정보!$C$6,기준정보!$C$8)+1),IF(ISNUMBER(SEARCH("한국",$U339)),MAX(0,MIN($L339,기준정보!$C$11)-MAX($L339-기준정보!$C$6,기준정보!$C$10)+1),0)))</f>
        <v>0</v>
      </c>
      <c r="N339" s="29" t="n">
        <f aca="false">IF($L339="","",$L339-기준정보!$C$6-$M339)</f>
        <v>46381</v>
      </c>
      <c r="O339" s="31" t="n">
        <f aca="false">IF($N339="","",$N339-기준정보!$C$4)</f>
        <v>139</v>
      </c>
      <c r="P339" s="28" t="s">
        <v>83</v>
      </c>
      <c r="Q339" s="28" t="s">
        <v>83</v>
      </c>
      <c r="R339" s="32"/>
      <c r="S339" s="27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T339" s="26" t="s">
        <v>195</v>
      </c>
      <c r="U339" s="26" t="s">
        <v>166</v>
      </c>
      <c r="V339" s="33" t="n">
        <v>0</v>
      </c>
      <c r="W339" s="27"/>
      <c r="X339" s="27" t="str">
        <f aca="false">IF($K339="","출고일 미정",IF($P339="X","작지 미발행",IF($P339="부분","작지 일부 미발행",IF(AND($R339&lt;&gt;"",$R339&gt;$N339),"소재입고 마감("&amp;TEXT($N339,"MM/DD")&amp;") 초과",IF($P339="","발행여부 확인 필요",IF($R339="","소재 입고일정 확인 필요","정상"))))))</f>
        <v>작지 미발행</v>
      </c>
      <c r="Y339" s="25" t="str">
        <f aca="false">IF($K339="","",IF(OR(LEFT($X339,2)="작지",LEFT($X339,4)="소재입고"),IF(LEFT($G339,1)="S","★ 납기위험(S코드)","◆ 지연주의"),IF($X339="정상","✓ 정상","? 확인필요")))</f>
        <v>◆ 지연주의</v>
      </c>
      <c r="Z339" s="28"/>
      <c r="AA339" s="34"/>
    </row>
    <row r="340" customFormat="false" ht="15" hidden="false" customHeight="false" outlineLevel="0" collapsed="false">
      <c r="A340" s="25" t="n">
        <v>336</v>
      </c>
      <c r="B340" s="26" t="s">
        <v>142</v>
      </c>
      <c r="C340" s="26" t="s">
        <v>143</v>
      </c>
      <c r="D340" s="27" t="s">
        <v>1047</v>
      </c>
      <c r="E340" s="27" t="s">
        <v>1048</v>
      </c>
      <c r="F340" s="27" t="s">
        <v>556</v>
      </c>
      <c r="G340" s="25" t="str">
        <f aca="false">IF($D340="","",IF(MID($D340,5,1)="S","S(봄)",IF(MID($D340,5,1)="M","M(여름)",IF(MID($D340,5,1)="X","X(사계절)",MID($D340,5,1)))))</f>
        <v>M(여름)</v>
      </c>
      <c r="H340" s="26" t="s">
        <v>79</v>
      </c>
      <c r="I340" s="25" t="s">
        <v>434</v>
      </c>
      <c r="J340" s="28" t="s">
        <v>999</v>
      </c>
      <c r="K340" s="29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9" t="n">
        <f aca="false">IF($K340="","",IF(AND($K340-기준정보!$C$5&gt;=기준정보!$C$10,$K340-기준정보!$C$5&lt;=기준정보!$C$11),기준정보!$C$10-1,$K340-기준정보!$C$5))</f>
        <v>46471</v>
      </c>
      <c r="M340" s="30" t="n">
        <f aca="false">IF($L340="","",IF(OR(ISNUMBER(SEARCH("중국",$U340)),ISNUMBER(SEARCH("베트남",$U340))),MAX(0,MIN($L340,기준정보!$C$9)-MAX($L340-기준정보!$C$6,기준정보!$C$8)+1),IF(ISNUMBER(SEARCH("한국",$U340)),MAX(0,MIN($L340,기준정보!$C$11)-MAX($L340-기준정보!$C$6,기준정보!$C$10)+1),0)))</f>
        <v>0</v>
      </c>
      <c r="N340" s="29" t="n">
        <f aca="false">IF($L340="","",$L340-기준정보!$C$6-$M340)</f>
        <v>46381</v>
      </c>
      <c r="O340" s="31" t="n">
        <f aca="false">IF($N340="","",$N340-기준정보!$C$4)</f>
        <v>139</v>
      </c>
      <c r="P340" s="28" t="s">
        <v>83</v>
      </c>
      <c r="Q340" s="28" t="s">
        <v>83</v>
      </c>
      <c r="R340" s="32"/>
      <c r="S340" s="27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T340" s="26" t="s">
        <v>195</v>
      </c>
      <c r="U340" s="26" t="s">
        <v>166</v>
      </c>
      <c r="V340" s="33" t="n">
        <v>0</v>
      </c>
      <c r="W340" s="27"/>
      <c r="X340" s="27" t="str">
        <f aca="false">IF($K340="","출고일 미정",IF($P340="X","작지 미발행",IF($P340="부분","작지 일부 미발행",IF(AND($R340&lt;&gt;"",$R340&gt;$N340),"소재입고 마감("&amp;TEXT($N340,"MM/DD")&amp;") 초과",IF($P340="","발행여부 확인 필요",IF($R340="","소재 입고일정 확인 필요","정상"))))))</f>
        <v>작지 미발행</v>
      </c>
      <c r="Y340" s="25" t="str">
        <f aca="false">IF($K340="","",IF(OR(LEFT($X340,2)="작지",LEFT($X340,4)="소재입고"),IF(LEFT($G340,1)="S","★ 납기위험(S코드)","◆ 지연주의"),IF($X340="정상","✓ 정상","? 확인필요")))</f>
        <v>◆ 지연주의</v>
      </c>
      <c r="Z340" s="28"/>
      <c r="AA340" s="34"/>
    </row>
    <row r="341" customFormat="false" ht="15" hidden="false" customHeight="false" outlineLevel="0" collapsed="false">
      <c r="A341" s="25" t="n">
        <v>337</v>
      </c>
      <c r="B341" s="26" t="s">
        <v>142</v>
      </c>
      <c r="C341" s="26" t="s">
        <v>143</v>
      </c>
      <c r="D341" s="27" t="s">
        <v>1049</v>
      </c>
      <c r="E341" s="27" t="s">
        <v>1050</v>
      </c>
      <c r="F341" s="27" t="s">
        <v>1051</v>
      </c>
      <c r="G341" s="25" t="str">
        <f aca="false">IF($D341="","",IF(MID($D341,5,1)="S","S(봄)",IF(MID($D341,5,1)="M","M(여름)",IF(MID($D341,5,1)="X","X(사계절)",MID($D341,5,1)))))</f>
        <v>M(여름)</v>
      </c>
      <c r="H341" s="27"/>
      <c r="I341" s="25" t="s">
        <v>434</v>
      </c>
      <c r="J341" s="28" t="s">
        <v>999</v>
      </c>
      <c r="K341" s="29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9" t="n">
        <f aca="false">IF($K341="","",IF(AND($K341-기준정보!$C$5&gt;=기준정보!$C$10,$K341-기준정보!$C$5&lt;=기준정보!$C$11),기준정보!$C$10-1,$K341-기준정보!$C$5))</f>
        <v>46471</v>
      </c>
      <c r="M341" s="30" t="n">
        <f aca="false">IF($L341="","",IF(OR(ISNUMBER(SEARCH("중국",$U341)),ISNUMBER(SEARCH("베트남",$U341))),MAX(0,MIN($L341,기준정보!$C$9)-MAX($L341-기준정보!$C$6,기준정보!$C$8)+1),IF(ISNUMBER(SEARCH("한국",$U341)),MAX(0,MIN($L341,기준정보!$C$11)-MAX($L341-기준정보!$C$6,기준정보!$C$10)+1),0)))</f>
        <v>0</v>
      </c>
      <c r="N341" s="29" t="n">
        <f aca="false">IF($L341="","",$L341-기준정보!$C$6-$M341)</f>
        <v>46381</v>
      </c>
      <c r="O341" s="31" t="n">
        <f aca="false">IF($N341="","",$N341-기준정보!$C$4)</f>
        <v>139</v>
      </c>
      <c r="P341" s="28" t="s">
        <v>83</v>
      </c>
      <c r="Q341" s="28"/>
      <c r="R341" s="32"/>
      <c r="S341" s="27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T341" s="27"/>
      <c r="U341" s="27"/>
      <c r="V341" s="33" t="n">
        <v>0</v>
      </c>
      <c r="W341" s="27"/>
      <c r="X341" s="27" t="str">
        <f aca="false">IF($K341="","출고일 미정",IF($P341="X","작지 미발행",IF($P341="부분","작지 일부 미발행",IF(AND($R341&lt;&gt;"",$R341&gt;$N341),"소재입고 마감("&amp;TEXT($N341,"MM/DD")&amp;") 초과",IF($P341="","발행여부 확인 필요",IF($R341="","소재 입고일정 확인 필요","정상"))))))</f>
        <v>작지 미발행</v>
      </c>
      <c r="Y341" s="25" t="str">
        <f aca="false">IF($K341="","",IF(OR(LEFT($X341,2)="작지",LEFT($X341,4)="소재입고"),IF(LEFT($G341,1)="S","★ 납기위험(S코드)","◆ 지연주의"),IF($X341="정상","✓ 정상","? 확인필요")))</f>
        <v>◆ 지연주의</v>
      </c>
      <c r="Z341" s="28"/>
      <c r="AA341" s="34"/>
    </row>
    <row r="342" customFormat="false" ht="15" hidden="false" customHeight="false" outlineLevel="0" collapsed="false">
      <c r="A342" s="25" t="n">
        <v>338</v>
      </c>
      <c r="B342" s="26" t="s">
        <v>142</v>
      </c>
      <c r="C342" s="26" t="s">
        <v>143</v>
      </c>
      <c r="D342" s="27" t="s">
        <v>1052</v>
      </c>
      <c r="E342" s="27" t="s">
        <v>1053</v>
      </c>
      <c r="F342" s="27" t="s">
        <v>1054</v>
      </c>
      <c r="G342" s="25" t="str">
        <f aca="false">IF($D342="","",IF(MID($D342,5,1)="S","S(봄)",IF(MID($D342,5,1)="M","M(여름)",IF(MID($D342,5,1)="X","X(사계절)",MID($D342,5,1)))))</f>
        <v>M(여름)</v>
      </c>
      <c r="H342" s="27"/>
      <c r="I342" s="25" t="s">
        <v>434</v>
      </c>
      <c r="J342" s="28" t="s">
        <v>999</v>
      </c>
      <c r="K342" s="29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9" t="n">
        <f aca="false">IF($K342="","",IF(AND($K342-기준정보!$C$5&gt;=기준정보!$C$10,$K342-기준정보!$C$5&lt;=기준정보!$C$11),기준정보!$C$10-1,$K342-기준정보!$C$5))</f>
        <v>46471</v>
      </c>
      <c r="M342" s="30" t="n">
        <f aca="false">IF($L342="","",IF(OR(ISNUMBER(SEARCH("중국",$U342)),ISNUMBER(SEARCH("베트남",$U342))),MAX(0,MIN($L342,기준정보!$C$9)-MAX($L342-기준정보!$C$6,기준정보!$C$8)+1),IF(ISNUMBER(SEARCH("한국",$U342)),MAX(0,MIN($L342,기준정보!$C$11)-MAX($L342-기준정보!$C$6,기준정보!$C$10)+1),0)))</f>
        <v>0</v>
      </c>
      <c r="N342" s="29" t="n">
        <f aca="false">IF($L342="","",$L342-기준정보!$C$6-$M342)</f>
        <v>46381</v>
      </c>
      <c r="O342" s="31" t="n">
        <f aca="false">IF($N342="","",$N342-기준정보!$C$4)</f>
        <v>139</v>
      </c>
      <c r="P342" s="28" t="s">
        <v>83</v>
      </c>
      <c r="Q342" s="28"/>
      <c r="R342" s="32"/>
      <c r="S342" s="27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T342" s="27"/>
      <c r="U342" s="27"/>
      <c r="V342" s="33" t="n">
        <v>0</v>
      </c>
      <c r="W342" s="27"/>
      <c r="X342" s="27" t="str">
        <f aca="false">IF($K342="","출고일 미정",IF($P342="X","작지 미발행",IF($P342="부분","작지 일부 미발행",IF(AND($R342&lt;&gt;"",$R342&gt;$N342),"소재입고 마감("&amp;TEXT($N342,"MM/DD")&amp;") 초과",IF($P342="","발행여부 확인 필요",IF($R342="","소재 입고일정 확인 필요","정상"))))))</f>
        <v>작지 미발행</v>
      </c>
      <c r="Y342" s="25" t="str">
        <f aca="false">IF($K342="","",IF(OR(LEFT($X342,2)="작지",LEFT($X342,4)="소재입고"),IF(LEFT($G342,1)="S","★ 납기위험(S코드)","◆ 지연주의"),IF($X342="정상","✓ 정상","? 확인필요")))</f>
        <v>◆ 지연주의</v>
      </c>
      <c r="Z342" s="28"/>
      <c r="AA342" s="34"/>
    </row>
    <row r="343" customFormat="false" ht="15" hidden="false" customHeight="false" outlineLevel="0" collapsed="false">
      <c r="A343" s="25" t="n">
        <v>339</v>
      </c>
      <c r="B343" s="26" t="s">
        <v>142</v>
      </c>
      <c r="C343" s="26" t="s">
        <v>143</v>
      </c>
      <c r="D343" s="27" t="s">
        <v>1055</v>
      </c>
      <c r="E343" s="27" t="s">
        <v>1056</v>
      </c>
      <c r="F343" s="27" t="s">
        <v>1054</v>
      </c>
      <c r="G343" s="25" t="str">
        <f aca="false">IF($D343="","",IF(MID($D343,5,1)="S","S(봄)",IF(MID($D343,5,1)="M","M(여름)",IF(MID($D343,5,1)="X","X(사계절)",MID($D343,5,1)))))</f>
        <v>M(여름)</v>
      </c>
      <c r="H343" s="27"/>
      <c r="I343" s="25" t="s">
        <v>434</v>
      </c>
      <c r="J343" s="28" t="s">
        <v>999</v>
      </c>
      <c r="K343" s="29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9" t="n">
        <f aca="false">IF($K343="","",IF(AND($K343-기준정보!$C$5&gt;=기준정보!$C$10,$K343-기준정보!$C$5&lt;=기준정보!$C$11),기준정보!$C$10-1,$K343-기준정보!$C$5))</f>
        <v>46471</v>
      </c>
      <c r="M343" s="30" t="n">
        <f aca="false">IF($L343="","",IF(OR(ISNUMBER(SEARCH("중국",$U343)),ISNUMBER(SEARCH("베트남",$U343))),MAX(0,MIN($L343,기준정보!$C$9)-MAX($L343-기준정보!$C$6,기준정보!$C$8)+1),IF(ISNUMBER(SEARCH("한국",$U343)),MAX(0,MIN($L343,기준정보!$C$11)-MAX($L343-기준정보!$C$6,기준정보!$C$10)+1),0)))</f>
        <v>0</v>
      </c>
      <c r="N343" s="29" t="n">
        <f aca="false">IF($L343="","",$L343-기준정보!$C$6-$M343)</f>
        <v>46381</v>
      </c>
      <c r="O343" s="31" t="n">
        <f aca="false">IF($N343="","",$N343-기준정보!$C$4)</f>
        <v>139</v>
      </c>
      <c r="P343" s="28" t="s">
        <v>83</v>
      </c>
      <c r="Q343" s="28"/>
      <c r="R343" s="32"/>
      <c r="S343" s="27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T343" s="27"/>
      <c r="U343" s="27"/>
      <c r="V343" s="33" t="n">
        <v>0</v>
      </c>
      <c r="W343" s="27"/>
      <c r="X343" s="27" t="str">
        <f aca="false">IF($K343="","출고일 미정",IF($P343="X","작지 미발행",IF($P343="부분","작지 일부 미발행",IF(AND($R343&lt;&gt;"",$R343&gt;$N343),"소재입고 마감("&amp;TEXT($N343,"MM/DD")&amp;") 초과",IF($P343="","발행여부 확인 필요",IF($R343="","소재 입고일정 확인 필요","정상"))))))</f>
        <v>작지 미발행</v>
      </c>
      <c r="Y343" s="25" t="str">
        <f aca="false">IF($K343="","",IF(OR(LEFT($X343,2)="작지",LEFT($X343,4)="소재입고"),IF(LEFT($G343,1)="S","★ 납기위험(S코드)","◆ 지연주의"),IF($X343="정상","✓ 정상","? 확인필요")))</f>
        <v>◆ 지연주의</v>
      </c>
      <c r="Z343" s="28"/>
      <c r="AA343" s="34"/>
    </row>
    <row r="344" customFormat="false" ht="15" hidden="false" customHeight="false" outlineLevel="0" collapsed="false">
      <c r="A344" s="25" t="n">
        <v>340</v>
      </c>
      <c r="B344" s="26" t="s">
        <v>199</v>
      </c>
      <c r="C344" s="26" t="s">
        <v>435</v>
      </c>
      <c r="D344" s="27" t="s">
        <v>1057</v>
      </c>
      <c r="E344" s="26" t="s">
        <v>1058</v>
      </c>
      <c r="F344" s="27" t="s">
        <v>102</v>
      </c>
      <c r="G344" s="25" t="str">
        <f aca="false">IF($D344="","",IF(MID($D344,5,1)="S","S(봄)",IF(MID($D344,5,1)="M","M(여름)",IF(MID($D344,5,1)="X","X(사계절)",MID($D344,5,1)))))</f>
        <v>M(여름)</v>
      </c>
      <c r="H344" s="27" t="s">
        <v>209</v>
      </c>
      <c r="I344" s="25" t="s">
        <v>416</v>
      </c>
      <c r="J344" s="28" t="s">
        <v>999</v>
      </c>
      <c r="K344" s="29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9" t="n">
        <f aca="false">IF($K344="","",IF(AND($K344-기준정보!$C$5&gt;=기준정보!$C$10,$K344-기준정보!$C$5&lt;=기준정보!$C$11),기준정보!$C$10-1,$K344-기준정보!$C$5))</f>
        <v>46471</v>
      </c>
      <c r="M344" s="30" t="n">
        <f aca="false">IF($L344="","",IF(OR(ISNUMBER(SEARCH("중국",$U344)),ISNUMBER(SEARCH("베트남",$U344))),MAX(0,MIN($L344,기준정보!$C$9)-MAX($L344-기준정보!$C$6,기준정보!$C$8)+1),IF(ISNUMBER(SEARCH("한국",$U344)),MAX(0,MIN($L344,기준정보!$C$11)-MAX($L344-기준정보!$C$6,기준정보!$C$10)+1),0)))</f>
        <v>15</v>
      </c>
      <c r="N344" s="29" t="n">
        <f aca="false">IF($L344="","",$L344-기준정보!$C$6-$M344)</f>
        <v>46366</v>
      </c>
      <c r="O344" s="31" t="n">
        <f aca="false">IF($N344="","",$N344-기준정보!$C$4)</f>
        <v>124</v>
      </c>
      <c r="P344" s="28" t="s">
        <v>82</v>
      </c>
      <c r="Q344" s="28" t="s">
        <v>83</v>
      </c>
      <c r="R344" s="32"/>
      <c r="S344" s="27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T344" s="26" t="s">
        <v>84</v>
      </c>
      <c r="U344" s="26" t="s">
        <v>85</v>
      </c>
      <c r="V344" s="33" t="n">
        <v>1800</v>
      </c>
      <c r="W344" s="27" t="s">
        <v>999</v>
      </c>
      <c r="X344" s="27" t="str">
        <f aca="false">IF($K344="","출고일 미정",IF($P344="X","작지 미발행",IF($P344="부분","작지 일부 미발행",IF(AND($R344&lt;&gt;"",$R344&gt;$N344),"소재입고 마감("&amp;TEXT($N344,"MM/DD")&amp;") 초과",IF($P344="","발행여부 확인 필요",IF($R344="","소재 입고일정 확인 필요","정상"))))))</f>
        <v>소재 입고일정 확인 필요</v>
      </c>
      <c r="Y344" s="25" t="str">
        <f aca="false">IF($K344="","",IF(OR(LEFT($X344,2)="작지",LEFT($X344,4)="소재입고"),IF(LEFT($G344,1)="S","★ 납기위험(S코드)","◆ 지연주의"),IF($X344="정상","✓ 정상","? 확인필요")))</f>
        <v>? 확인필요</v>
      </c>
      <c r="Z344" s="28"/>
      <c r="AA344" s="34"/>
    </row>
    <row r="345" customFormat="false" ht="15" hidden="false" customHeight="false" outlineLevel="0" collapsed="false">
      <c r="A345" s="25" t="n">
        <v>341</v>
      </c>
      <c r="B345" s="26" t="s">
        <v>199</v>
      </c>
      <c r="C345" s="26" t="s">
        <v>435</v>
      </c>
      <c r="D345" s="27" t="s">
        <v>1059</v>
      </c>
      <c r="E345" s="26" t="s">
        <v>1060</v>
      </c>
      <c r="F345" s="27" t="s">
        <v>160</v>
      </c>
      <c r="G345" s="25" t="str">
        <f aca="false">IF($D345="","",IF(MID($D345,5,1)="S","S(봄)",IF(MID($D345,5,1)="M","M(여름)",IF(MID($D345,5,1)="X","X(사계절)",MID($D345,5,1)))))</f>
        <v>M(여름)</v>
      </c>
      <c r="H345" s="27" t="s">
        <v>209</v>
      </c>
      <c r="I345" s="25" t="s">
        <v>416</v>
      </c>
      <c r="J345" s="28" t="s">
        <v>999</v>
      </c>
      <c r="K345" s="29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9" t="n">
        <f aca="false">IF($K345="","",IF(AND($K345-기준정보!$C$5&gt;=기준정보!$C$10,$K345-기준정보!$C$5&lt;=기준정보!$C$11),기준정보!$C$10-1,$K345-기준정보!$C$5))</f>
        <v>46471</v>
      </c>
      <c r="M345" s="30" t="n">
        <f aca="false">IF($L345="","",IF(OR(ISNUMBER(SEARCH("중국",$U345)),ISNUMBER(SEARCH("베트남",$U345))),MAX(0,MIN($L345,기준정보!$C$9)-MAX($L345-기준정보!$C$6,기준정보!$C$8)+1),IF(ISNUMBER(SEARCH("한국",$U345)),MAX(0,MIN($L345,기준정보!$C$11)-MAX($L345-기준정보!$C$6,기준정보!$C$10)+1),0)))</f>
        <v>15</v>
      </c>
      <c r="N345" s="29" t="n">
        <f aca="false">IF($L345="","",$L345-기준정보!$C$6-$M345)</f>
        <v>46366</v>
      </c>
      <c r="O345" s="31" t="n">
        <f aca="false">IF($N345="","",$N345-기준정보!$C$4)</f>
        <v>124</v>
      </c>
      <c r="P345" s="28" t="s">
        <v>82</v>
      </c>
      <c r="Q345" s="28" t="s">
        <v>83</v>
      </c>
      <c r="R345" s="32"/>
      <c r="S345" s="27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T345" s="26" t="s">
        <v>99</v>
      </c>
      <c r="U345" s="26" t="s">
        <v>85</v>
      </c>
      <c r="V345" s="33" t="n">
        <v>800</v>
      </c>
      <c r="W345" s="27" t="s">
        <v>999</v>
      </c>
      <c r="X345" s="27" t="str">
        <f aca="false">IF($K345="","출고일 미정",IF($P345="X","작지 미발행",IF($P345="부분","작지 일부 미발행",IF(AND($R345&lt;&gt;"",$R345&gt;$N345),"소재입고 마감("&amp;TEXT($N345,"MM/DD")&amp;") 초과",IF($P345="","발행여부 확인 필요",IF($R345="","소재 입고일정 확인 필요","정상"))))))</f>
        <v>소재 입고일정 확인 필요</v>
      </c>
      <c r="Y345" s="25" t="str">
        <f aca="false">IF($K345="","",IF(OR(LEFT($X345,2)="작지",LEFT($X345,4)="소재입고"),IF(LEFT($G345,1)="S","★ 납기위험(S코드)","◆ 지연주의"),IF($X345="정상","✓ 정상","? 확인필요")))</f>
        <v>? 확인필요</v>
      </c>
      <c r="Z345" s="28"/>
      <c r="AA345" s="34"/>
    </row>
    <row r="346" customFormat="false" ht="15" hidden="false" customHeight="false" outlineLevel="0" collapsed="false">
      <c r="A346" s="25" t="n">
        <v>342</v>
      </c>
      <c r="B346" s="26" t="s">
        <v>199</v>
      </c>
      <c r="C346" s="26" t="s">
        <v>435</v>
      </c>
      <c r="D346" s="27" t="s">
        <v>1061</v>
      </c>
      <c r="E346" s="26" t="s">
        <v>1062</v>
      </c>
      <c r="F346" s="27" t="s">
        <v>102</v>
      </c>
      <c r="G346" s="25" t="str">
        <f aca="false">IF($D346="","",IF(MID($D346,5,1)="S","S(봄)",IF(MID($D346,5,1)="M","M(여름)",IF(MID($D346,5,1)="X","X(사계절)",MID($D346,5,1)))))</f>
        <v>M(여름)</v>
      </c>
      <c r="H346" s="27" t="s">
        <v>209</v>
      </c>
      <c r="I346" s="25" t="s">
        <v>416</v>
      </c>
      <c r="J346" s="28" t="s">
        <v>999</v>
      </c>
      <c r="K346" s="29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9" t="n">
        <f aca="false">IF($K346="","",IF(AND($K346-기준정보!$C$5&gt;=기준정보!$C$10,$K346-기준정보!$C$5&lt;=기준정보!$C$11),기준정보!$C$10-1,$K346-기준정보!$C$5))</f>
        <v>46471</v>
      </c>
      <c r="M346" s="30" t="n">
        <f aca="false">IF($L346="","",IF(OR(ISNUMBER(SEARCH("중국",$U346)),ISNUMBER(SEARCH("베트남",$U346))),MAX(0,MIN($L346,기준정보!$C$9)-MAX($L346-기준정보!$C$6,기준정보!$C$8)+1),IF(ISNUMBER(SEARCH("한국",$U346)),MAX(0,MIN($L346,기준정보!$C$11)-MAX($L346-기준정보!$C$6,기준정보!$C$10)+1),0)))</f>
        <v>15</v>
      </c>
      <c r="N346" s="29" t="n">
        <f aca="false">IF($L346="","",$L346-기준정보!$C$6-$M346)</f>
        <v>46366</v>
      </c>
      <c r="O346" s="31" t="n">
        <f aca="false">IF($N346="","",$N346-기준정보!$C$4)</f>
        <v>124</v>
      </c>
      <c r="P346" s="28" t="s">
        <v>82</v>
      </c>
      <c r="Q346" s="28" t="s">
        <v>83</v>
      </c>
      <c r="R346" s="32"/>
      <c r="S346" s="27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T346" s="26" t="s">
        <v>1063</v>
      </c>
      <c r="U346" s="26" t="s">
        <v>85</v>
      </c>
      <c r="V346" s="33" t="n">
        <v>950</v>
      </c>
      <c r="W346" s="27" t="s">
        <v>999</v>
      </c>
      <c r="X346" s="27" t="str">
        <f aca="false">IF($K346="","출고일 미정",IF($P346="X","작지 미발행",IF($P346="부분","작지 일부 미발행",IF(AND($R346&lt;&gt;"",$R346&gt;$N346),"소재입고 마감("&amp;TEXT($N346,"MM/DD")&amp;") 초과",IF($P346="","발행여부 확인 필요",IF($R346="","소재 입고일정 확인 필요","정상"))))))</f>
        <v>소재 입고일정 확인 필요</v>
      </c>
      <c r="Y346" s="25" t="str">
        <f aca="false">IF($K346="","",IF(OR(LEFT($X346,2)="작지",LEFT($X346,4)="소재입고"),IF(LEFT($G346,1)="S","★ 납기위험(S코드)","◆ 지연주의"),IF($X346="정상","✓ 정상","? 확인필요")))</f>
        <v>? 확인필요</v>
      </c>
      <c r="Z346" s="28"/>
      <c r="AA346" s="34"/>
    </row>
    <row r="347" customFormat="false" ht="15" hidden="false" customHeight="false" outlineLevel="0" collapsed="false">
      <c r="A347" s="25" t="n">
        <v>343</v>
      </c>
      <c r="B347" s="26" t="s">
        <v>124</v>
      </c>
      <c r="C347" s="26" t="s">
        <v>125</v>
      </c>
      <c r="D347" s="27" t="s">
        <v>1064</v>
      </c>
      <c r="E347" s="26" t="s">
        <v>1065</v>
      </c>
      <c r="F347" s="27" t="s">
        <v>271</v>
      </c>
      <c r="G347" s="25" t="str">
        <f aca="false">IF($D347="","",IF(MID($D347,5,1)="S","S(봄)",IF(MID($D347,5,1)="M","M(여름)",IF(MID($D347,5,1)="X","X(사계절)",MID($D347,5,1)))))</f>
        <v>M(여름)</v>
      </c>
      <c r="H347" s="26" t="s">
        <v>79</v>
      </c>
      <c r="I347" s="25"/>
      <c r="J347" s="28" t="s">
        <v>999</v>
      </c>
      <c r="K347" s="29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9" t="n">
        <f aca="false">IF($K347="","",IF(AND($K347-기준정보!$C$5&gt;=기준정보!$C$10,$K347-기준정보!$C$5&lt;=기준정보!$C$11),기준정보!$C$10-1,$K347-기준정보!$C$5))</f>
        <v>46471</v>
      </c>
      <c r="M347" s="30" t="n">
        <f aca="false">IF($L347="","",IF(OR(ISNUMBER(SEARCH("중국",$U347)),ISNUMBER(SEARCH("베트남",$U347))),MAX(0,MIN($L347,기준정보!$C$9)-MAX($L347-기준정보!$C$6,기준정보!$C$8)+1),IF(ISNUMBER(SEARCH("한국",$U347)),MAX(0,MIN($L347,기준정보!$C$11)-MAX($L347-기준정보!$C$6,기준정보!$C$10)+1),0)))</f>
        <v>15</v>
      </c>
      <c r="N347" s="29" t="n">
        <f aca="false">IF($L347="","",$L347-기준정보!$C$6-$M347)</f>
        <v>46366</v>
      </c>
      <c r="O347" s="31" t="n">
        <f aca="false">IF($N347="","",$N347-기준정보!$C$4)</f>
        <v>124</v>
      </c>
      <c r="P347" s="28" t="s">
        <v>82</v>
      </c>
      <c r="Q347" s="28" t="s">
        <v>83</v>
      </c>
      <c r="R347" s="32"/>
      <c r="S347" s="27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T347" s="26" t="s">
        <v>311</v>
      </c>
      <c r="U347" s="26" t="s">
        <v>85</v>
      </c>
      <c r="V347" s="33" t="n">
        <v>3000</v>
      </c>
      <c r="W347" s="27" t="s">
        <v>1066</v>
      </c>
      <c r="X347" s="27" t="str">
        <f aca="false">IF($K347="","출고일 미정",IF($P347="X","작지 미발행",IF($P347="부분","작지 일부 미발행",IF(AND($R347&lt;&gt;"",$R347&gt;$N347),"소재입고 마감("&amp;TEXT($N347,"MM/DD")&amp;") 초과",IF($P347="","발행여부 확인 필요",IF($R347="","소재 입고일정 확인 필요","정상"))))))</f>
        <v>소재 입고일정 확인 필요</v>
      </c>
      <c r="Y347" s="25" t="str">
        <f aca="false">IF($K347="","",IF(OR(LEFT($X347,2)="작지",LEFT($X347,4)="소재입고"),IF(LEFT($G347,1)="S","★ 납기위험(S코드)","◆ 지연주의"),IF($X347="정상","✓ 정상","? 확인필요")))</f>
        <v>? 확인필요</v>
      </c>
      <c r="Z347" s="28"/>
      <c r="AA347" s="34"/>
    </row>
    <row r="348" customFormat="false" ht="15" hidden="false" customHeight="false" outlineLevel="0" collapsed="false">
      <c r="A348" s="25" t="n">
        <v>344</v>
      </c>
      <c r="B348" s="26" t="s">
        <v>124</v>
      </c>
      <c r="C348" s="26" t="s">
        <v>125</v>
      </c>
      <c r="D348" s="27" t="s">
        <v>1067</v>
      </c>
      <c r="E348" s="26" t="s">
        <v>1068</v>
      </c>
      <c r="F348" s="27" t="s">
        <v>1069</v>
      </c>
      <c r="G348" s="25" t="str">
        <f aca="false">IF($D348="","",IF(MID($D348,5,1)="S","S(봄)",IF(MID($D348,5,1)="M","M(여름)",IF(MID($D348,5,1)="X","X(사계절)",MID($D348,5,1)))))</f>
        <v>M(여름)</v>
      </c>
      <c r="H348" s="26" t="s">
        <v>79</v>
      </c>
      <c r="I348" s="25"/>
      <c r="J348" s="28" t="s">
        <v>999</v>
      </c>
      <c r="K348" s="29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9" t="n">
        <f aca="false">IF($K348="","",IF(AND($K348-기준정보!$C$5&gt;=기준정보!$C$10,$K348-기준정보!$C$5&lt;=기준정보!$C$11),기준정보!$C$10-1,$K348-기준정보!$C$5))</f>
        <v>46471</v>
      </c>
      <c r="M348" s="30" t="n">
        <f aca="false">IF($L348="","",IF(OR(ISNUMBER(SEARCH("중국",$U348)),ISNUMBER(SEARCH("베트남",$U348))),MAX(0,MIN($L348,기준정보!$C$9)-MAX($L348-기준정보!$C$6,기준정보!$C$8)+1),IF(ISNUMBER(SEARCH("한국",$U348)),MAX(0,MIN($L348,기준정보!$C$11)-MAX($L348-기준정보!$C$6,기준정보!$C$10)+1),0)))</f>
        <v>15</v>
      </c>
      <c r="N348" s="29" t="n">
        <f aca="false">IF($L348="","",$L348-기준정보!$C$6-$M348)</f>
        <v>46366</v>
      </c>
      <c r="O348" s="31" t="n">
        <f aca="false">IF($N348="","",$N348-기준정보!$C$4)</f>
        <v>124</v>
      </c>
      <c r="P348" s="28" t="s">
        <v>82</v>
      </c>
      <c r="Q348" s="28" t="s">
        <v>83</v>
      </c>
      <c r="R348" s="32"/>
      <c r="S348" s="27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T348" s="26" t="s">
        <v>311</v>
      </c>
      <c r="U348" s="26" t="s">
        <v>85</v>
      </c>
      <c r="V348" s="33" t="n">
        <v>3000</v>
      </c>
      <c r="W348" s="27" t="s">
        <v>1066</v>
      </c>
      <c r="X348" s="27" t="str">
        <f aca="false">IF($K348="","출고일 미정",IF($P348="X","작지 미발행",IF($P348="부분","작지 일부 미발행",IF(AND($R348&lt;&gt;"",$R348&gt;$N348),"소재입고 마감("&amp;TEXT($N348,"MM/DD")&amp;") 초과",IF($P348="","발행여부 확인 필요",IF($R348="","소재 입고일정 확인 필요","정상"))))))</f>
        <v>소재 입고일정 확인 필요</v>
      </c>
      <c r="Y348" s="25" t="str">
        <f aca="false">IF($K348="","",IF(OR(LEFT($X348,2)="작지",LEFT($X348,4)="소재입고"),IF(LEFT($G348,1)="S","★ 납기위험(S코드)","◆ 지연주의"),IF($X348="정상","✓ 정상","? 확인필요")))</f>
        <v>? 확인필요</v>
      </c>
      <c r="Z348" s="28"/>
      <c r="AA348" s="34"/>
    </row>
    <row r="349" customFormat="false" ht="15" hidden="false" customHeight="false" outlineLevel="0" collapsed="false">
      <c r="A349" s="25" t="n">
        <v>345</v>
      </c>
      <c r="B349" s="26" t="s">
        <v>124</v>
      </c>
      <c r="C349" s="26" t="s">
        <v>125</v>
      </c>
      <c r="D349" s="27" t="s">
        <v>1070</v>
      </c>
      <c r="E349" s="26" t="s">
        <v>1071</v>
      </c>
      <c r="F349" s="27" t="s">
        <v>1072</v>
      </c>
      <c r="G349" s="25" t="str">
        <f aca="false">IF($D349="","",IF(MID($D349,5,1)="S","S(봄)",IF(MID($D349,5,1)="M","M(여름)",IF(MID($D349,5,1)="X","X(사계절)",MID($D349,5,1)))))</f>
        <v>M(여름)</v>
      </c>
      <c r="H349" s="26" t="s">
        <v>79</v>
      </c>
      <c r="I349" s="25"/>
      <c r="J349" s="28" t="s">
        <v>999</v>
      </c>
      <c r="K349" s="29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9" t="n">
        <f aca="false">IF($K349="","",IF(AND($K349-기준정보!$C$5&gt;=기준정보!$C$10,$K349-기준정보!$C$5&lt;=기준정보!$C$11),기준정보!$C$10-1,$K349-기준정보!$C$5))</f>
        <v>46471</v>
      </c>
      <c r="M349" s="30" t="n">
        <f aca="false">IF($L349="","",IF(OR(ISNUMBER(SEARCH("중국",$U349)),ISNUMBER(SEARCH("베트남",$U349))),MAX(0,MIN($L349,기준정보!$C$9)-MAX($L349-기준정보!$C$6,기준정보!$C$8)+1),IF(ISNUMBER(SEARCH("한국",$U349)),MAX(0,MIN($L349,기준정보!$C$11)-MAX($L349-기준정보!$C$6,기준정보!$C$10)+1),0)))</f>
        <v>0</v>
      </c>
      <c r="N349" s="29" t="n">
        <f aca="false">IF($L349="","",$L349-기준정보!$C$6-$M349)</f>
        <v>46381</v>
      </c>
      <c r="O349" s="31" t="n">
        <f aca="false">IF($N349="","",$N349-기준정보!$C$4)</f>
        <v>139</v>
      </c>
      <c r="P349" s="28" t="s">
        <v>82</v>
      </c>
      <c r="Q349" s="28" t="s">
        <v>83</v>
      </c>
      <c r="R349" s="32"/>
      <c r="S349" s="27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T349" s="27" t="s">
        <v>243</v>
      </c>
      <c r="U349" s="26" t="s">
        <v>90</v>
      </c>
      <c r="V349" s="33" t="n">
        <v>3000</v>
      </c>
      <c r="W349" s="27" t="s">
        <v>1066</v>
      </c>
      <c r="X349" s="27" t="str">
        <f aca="false">IF($K349="","출고일 미정",IF($P349="X","작지 미발행",IF($P349="부분","작지 일부 미발행",IF(AND($R349&lt;&gt;"",$R349&gt;$N349),"소재입고 마감("&amp;TEXT($N349,"MM/DD")&amp;") 초과",IF($P349="","발행여부 확인 필요",IF($R349="","소재 입고일정 확인 필요","정상"))))))</f>
        <v>소재 입고일정 확인 필요</v>
      </c>
      <c r="Y349" s="25" t="str">
        <f aca="false">IF($K349="","",IF(OR(LEFT($X349,2)="작지",LEFT($X349,4)="소재입고"),IF(LEFT($G349,1)="S","★ 납기위험(S코드)","◆ 지연주의"),IF($X349="정상","✓ 정상","? 확인필요")))</f>
        <v>? 확인필요</v>
      </c>
      <c r="Z349" s="28"/>
      <c r="AA349" s="34"/>
    </row>
    <row r="350" customFormat="false" ht="15" hidden="false" customHeight="false" outlineLevel="0" collapsed="false">
      <c r="A350" s="25" t="n">
        <v>346</v>
      </c>
      <c r="B350" s="26" t="s">
        <v>204</v>
      </c>
      <c r="C350" s="26" t="s">
        <v>205</v>
      </c>
      <c r="D350" s="27" t="s">
        <v>1073</v>
      </c>
      <c r="E350" s="26" t="s">
        <v>1074</v>
      </c>
      <c r="F350" s="27" t="s">
        <v>219</v>
      </c>
      <c r="G350" s="25" t="str">
        <f aca="false">IF($D350="","",IF(MID($D350,5,1)="S","S(봄)",IF(MID($D350,5,1)="M","M(여름)",IF(MID($D350,5,1)="X","X(사계절)",MID($D350,5,1)))))</f>
        <v>M(여름)</v>
      </c>
      <c r="H350" s="27" t="s">
        <v>209</v>
      </c>
      <c r="I350" s="25"/>
      <c r="J350" s="28" t="s">
        <v>1075</v>
      </c>
      <c r="K350" s="29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9" t="n">
        <f aca="false">IF($K350="","",IF(AND($K350-기준정보!$C$5&gt;=기준정보!$C$10,$K350-기준정보!$C$5&lt;=기준정보!$C$11),기준정보!$C$10-1,$K350-기준정보!$C$5))</f>
        <v>46478</v>
      </c>
      <c r="M350" s="30" t="n">
        <f aca="false">IF($L350="","",IF(OR(ISNUMBER(SEARCH("중국",$U350)),ISNUMBER(SEARCH("베트남",$U350))),MAX(0,MIN($L350,기준정보!$C$9)-MAX($L350-기준정보!$C$6,기준정보!$C$8)+1),IF(ISNUMBER(SEARCH("한국",$U350)),MAX(0,MIN($L350,기준정보!$C$11)-MAX($L350-기준정보!$C$6,기준정보!$C$10)+1),0)))</f>
        <v>15</v>
      </c>
      <c r="N350" s="29" t="n">
        <f aca="false">IF($L350="","",$L350-기준정보!$C$6-$M350)</f>
        <v>46373</v>
      </c>
      <c r="O350" s="31" t="n">
        <f aca="false">IF($N350="","",$N350-기준정보!$C$4)</f>
        <v>131</v>
      </c>
      <c r="P350" s="28" t="s">
        <v>82</v>
      </c>
      <c r="Q350" s="28" t="s">
        <v>83</v>
      </c>
      <c r="R350" s="32"/>
      <c r="S350" s="27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T350" s="27" t="s">
        <v>149</v>
      </c>
      <c r="U350" s="26" t="s">
        <v>85</v>
      </c>
      <c r="V350" s="33" t="n">
        <v>3000</v>
      </c>
      <c r="W350" s="27" t="s">
        <v>1075</v>
      </c>
      <c r="X350" s="27" t="str">
        <f aca="false">IF($K350="","출고일 미정",IF($P350="X","작지 미발행",IF($P350="부분","작지 일부 미발행",IF(AND($R350&lt;&gt;"",$R350&gt;$N350),"소재입고 마감("&amp;TEXT($N350,"MM/DD")&amp;") 초과",IF($P350="","발행여부 확인 필요",IF($R350="","소재 입고일정 확인 필요","정상"))))))</f>
        <v>소재 입고일정 확인 필요</v>
      </c>
      <c r="Y350" s="25" t="str">
        <f aca="false">IF($K350="","",IF(OR(LEFT($X350,2)="작지",LEFT($X350,4)="소재입고"),IF(LEFT($G350,1)="S","★ 납기위험(S코드)","◆ 지연주의"),IF($X350="정상","✓ 정상","? 확인필요")))</f>
        <v>? 확인필요</v>
      </c>
      <c r="Z350" s="28"/>
      <c r="AA350" s="34"/>
    </row>
    <row r="351" customFormat="false" ht="15" hidden="false" customHeight="false" outlineLevel="0" collapsed="false">
      <c r="A351" s="25" t="n">
        <v>347</v>
      </c>
      <c r="B351" s="26" t="s">
        <v>204</v>
      </c>
      <c r="C351" s="26" t="s">
        <v>205</v>
      </c>
      <c r="D351" s="27" t="s">
        <v>1076</v>
      </c>
      <c r="E351" s="26" t="s">
        <v>1077</v>
      </c>
      <c r="F351" s="27" t="s">
        <v>1078</v>
      </c>
      <c r="G351" s="25" t="str">
        <f aca="false">IF($D351="","",IF(MID($D351,5,1)="S","S(봄)",IF(MID($D351,5,1)="M","M(여름)",IF(MID($D351,5,1)="X","X(사계절)",MID($D351,5,1)))))</f>
        <v>M(여름)</v>
      </c>
      <c r="H351" s="27" t="s">
        <v>209</v>
      </c>
      <c r="I351" s="25"/>
      <c r="J351" s="28" t="s">
        <v>1075</v>
      </c>
      <c r="K351" s="29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9" t="n">
        <f aca="false">IF($K351="","",IF(AND($K351-기준정보!$C$5&gt;=기준정보!$C$10,$K351-기준정보!$C$5&lt;=기준정보!$C$11),기준정보!$C$10-1,$K351-기준정보!$C$5))</f>
        <v>46478</v>
      </c>
      <c r="M351" s="30" t="n">
        <f aca="false">IF($L351="","",IF(OR(ISNUMBER(SEARCH("중국",$U351)),ISNUMBER(SEARCH("베트남",$U351))),MAX(0,MIN($L351,기준정보!$C$9)-MAX($L351-기준정보!$C$6,기준정보!$C$8)+1),IF(ISNUMBER(SEARCH("한국",$U351)),MAX(0,MIN($L351,기준정보!$C$11)-MAX($L351-기준정보!$C$6,기준정보!$C$10)+1),0)))</f>
        <v>15</v>
      </c>
      <c r="N351" s="29" t="n">
        <f aca="false">IF($L351="","",$L351-기준정보!$C$6-$M351)</f>
        <v>46373</v>
      </c>
      <c r="O351" s="31" t="n">
        <f aca="false">IF($N351="","",$N351-기준정보!$C$4)</f>
        <v>131</v>
      </c>
      <c r="P351" s="28" t="s">
        <v>82</v>
      </c>
      <c r="Q351" s="28" t="s">
        <v>83</v>
      </c>
      <c r="R351" s="32"/>
      <c r="S351" s="27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T351" s="26" t="s">
        <v>210</v>
      </c>
      <c r="U351" s="26" t="s">
        <v>85</v>
      </c>
      <c r="V351" s="33" t="n">
        <v>7500</v>
      </c>
      <c r="W351" s="27" t="s">
        <v>1075</v>
      </c>
      <c r="X351" s="27" t="str">
        <f aca="false">IF($K351="","출고일 미정",IF($P351="X","작지 미발행",IF($P351="부분","작지 일부 미발행",IF(AND($R351&lt;&gt;"",$R351&gt;$N351),"소재입고 마감("&amp;TEXT($N351,"MM/DD")&amp;") 초과",IF($P351="","발행여부 확인 필요",IF($R351="","소재 입고일정 확인 필요","정상"))))))</f>
        <v>소재 입고일정 확인 필요</v>
      </c>
      <c r="Y351" s="25" t="str">
        <f aca="false">IF($K351="","",IF(OR(LEFT($X351,2)="작지",LEFT($X351,4)="소재입고"),IF(LEFT($G351,1)="S","★ 납기위험(S코드)","◆ 지연주의"),IF($X351="정상","✓ 정상","? 확인필요")))</f>
        <v>? 확인필요</v>
      </c>
      <c r="Z351" s="28"/>
      <c r="AA351" s="34"/>
    </row>
    <row r="352" customFormat="false" ht="15" hidden="false" customHeight="false" outlineLevel="0" collapsed="false">
      <c r="A352" s="25" t="n">
        <v>348</v>
      </c>
      <c r="B352" s="26" t="s">
        <v>204</v>
      </c>
      <c r="C352" s="26" t="s">
        <v>1079</v>
      </c>
      <c r="D352" s="27" t="s">
        <v>1080</v>
      </c>
      <c r="E352" s="26" t="s">
        <v>1081</v>
      </c>
      <c r="F352" s="27" t="s">
        <v>824</v>
      </c>
      <c r="G352" s="25" t="str">
        <f aca="false">IF($D352="","",IF(MID($D352,5,1)="S","S(봄)",IF(MID($D352,5,1)="M","M(여름)",IF(MID($D352,5,1)="X","X(사계절)",MID($D352,5,1)))))</f>
        <v>M(여름)</v>
      </c>
      <c r="H352" s="26" t="s">
        <v>79</v>
      </c>
      <c r="I352" s="25"/>
      <c r="J352" s="28" t="s">
        <v>1075</v>
      </c>
      <c r="K352" s="29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9" t="n">
        <f aca="false">IF($K352="","",IF(AND($K352-기준정보!$C$5&gt;=기준정보!$C$10,$K352-기준정보!$C$5&lt;=기준정보!$C$11),기준정보!$C$10-1,$K352-기준정보!$C$5))</f>
        <v>46478</v>
      </c>
      <c r="M352" s="30" t="n">
        <f aca="false">IF($L352="","",IF(OR(ISNUMBER(SEARCH("중국",$U352)),ISNUMBER(SEARCH("베트남",$U352))),MAX(0,MIN($L352,기준정보!$C$9)-MAX($L352-기준정보!$C$6,기준정보!$C$8)+1),IF(ISNUMBER(SEARCH("한국",$U352)),MAX(0,MIN($L352,기준정보!$C$11)-MAX($L352-기준정보!$C$6,기준정보!$C$10)+1),0)))</f>
        <v>15</v>
      </c>
      <c r="N352" s="29" t="n">
        <f aca="false">IF($L352="","",$L352-기준정보!$C$6-$M352)</f>
        <v>46373</v>
      </c>
      <c r="O352" s="31" t="n">
        <f aca="false">IF($N352="","",$N352-기준정보!$C$4)</f>
        <v>131</v>
      </c>
      <c r="P352" s="28" t="s">
        <v>82</v>
      </c>
      <c r="Q352" s="28" t="s">
        <v>83</v>
      </c>
      <c r="R352" s="32"/>
      <c r="S352" s="27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T352" s="26" t="s">
        <v>311</v>
      </c>
      <c r="U352" s="26" t="s">
        <v>85</v>
      </c>
      <c r="V352" s="33" t="n">
        <v>4000</v>
      </c>
      <c r="W352" s="27" t="s">
        <v>1075</v>
      </c>
      <c r="X352" s="27" t="str">
        <f aca="false">IF($K352="","출고일 미정",IF($P352="X","작지 미발행",IF($P352="부분","작지 일부 미발행",IF(AND($R352&lt;&gt;"",$R352&gt;$N352),"소재입고 마감("&amp;TEXT($N352,"MM/DD")&amp;") 초과",IF($P352="","발행여부 확인 필요",IF($R352="","소재 입고일정 확인 필요","정상"))))))</f>
        <v>소재 입고일정 확인 필요</v>
      </c>
      <c r="Y352" s="25" t="str">
        <f aca="false">IF($K352="","",IF(OR(LEFT($X352,2)="작지",LEFT($X352,4)="소재입고"),IF(LEFT($G352,1)="S","★ 납기위험(S코드)","◆ 지연주의"),IF($X352="정상","✓ 정상","? 확인필요")))</f>
        <v>? 확인필요</v>
      </c>
      <c r="Z352" s="28"/>
      <c r="AA352" s="34"/>
    </row>
    <row r="353" customFormat="false" ht="15" hidden="false" customHeight="false" outlineLevel="0" collapsed="false">
      <c r="A353" s="25" t="n">
        <v>349</v>
      </c>
      <c r="B353" s="26" t="s">
        <v>204</v>
      </c>
      <c r="C353" s="26" t="s">
        <v>205</v>
      </c>
      <c r="D353" s="27" t="s">
        <v>1082</v>
      </c>
      <c r="E353" s="26" t="s">
        <v>1083</v>
      </c>
      <c r="F353" s="27" t="s">
        <v>1084</v>
      </c>
      <c r="G353" s="25" t="str">
        <f aca="false">IF($D353="","",IF(MID($D353,5,1)="S","S(봄)",IF(MID($D353,5,1)="M","M(여름)",IF(MID($D353,5,1)="X","X(사계절)",MID($D353,5,1)))))</f>
        <v>M(여름)</v>
      </c>
      <c r="H353" s="26" t="s">
        <v>79</v>
      </c>
      <c r="I353" s="25"/>
      <c r="J353" s="28" t="s">
        <v>1075</v>
      </c>
      <c r="K353" s="29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9" t="n">
        <f aca="false">IF($K353="","",IF(AND($K353-기준정보!$C$5&gt;=기준정보!$C$10,$K353-기준정보!$C$5&lt;=기준정보!$C$11),기준정보!$C$10-1,$K353-기준정보!$C$5))</f>
        <v>46478</v>
      </c>
      <c r="M353" s="30" t="n">
        <f aca="false">IF($L353="","",IF(OR(ISNUMBER(SEARCH("중국",$U353)),ISNUMBER(SEARCH("베트남",$U353))),MAX(0,MIN($L353,기준정보!$C$9)-MAX($L353-기준정보!$C$6,기준정보!$C$8)+1),IF(ISNUMBER(SEARCH("한국",$U353)),MAX(0,MIN($L353,기준정보!$C$11)-MAX($L353-기준정보!$C$6,기준정보!$C$10)+1),0)))</f>
        <v>0</v>
      </c>
      <c r="N353" s="29" t="n">
        <f aca="false">IF($L353="","",$L353-기준정보!$C$6-$M353)</f>
        <v>46388</v>
      </c>
      <c r="O353" s="31" t="n">
        <f aca="false">IF($N353="","",$N353-기준정보!$C$4)</f>
        <v>146</v>
      </c>
      <c r="P353" s="28" t="s">
        <v>82</v>
      </c>
      <c r="Q353" s="28" t="s">
        <v>83</v>
      </c>
      <c r="R353" s="32"/>
      <c r="S353" s="27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T353" s="27" t="s">
        <v>243</v>
      </c>
      <c r="U353" s="26" t="s">
        <v>90</v>
      </c>
      <c r="V353" s="33" t="n">
        <v>3500</v>
      </c>
      <c r="W353" s="27" t="s">
        <v>1075</v>
      </c>
      <c r="X353" s="27" t="str">
        <f aca="false">IF($K353="","출고일 미정",IF($P353="X","작지 미발행",IF($P353="부분","작지 일부 미발행",IF(AND($R353&lt;&gt;"",$R353&gt;$N353),"소재입고 마감("&amp;TEXT($N353,"MM/DD")&amp;") 초과",IF($P353="","발행여부 확인 필요",IF($R353="","소재 입고일정 확인 필요","정상"))))))</f>
        <v>소재 입고일정 확인 필요</v>
      </c>
      <c r="Y353" s="25" t="str">
        <f aca="false">IF($K353="","",IF(OR(LEFT($X353,2)="작지",LEFT($X353,4)="소재입고"),IF(LEFT($G353,1)="S","★ 납기위험(S코드)","◆ 지연주의"),IF($X353="정상","✓ 정상","? 확인필요")))</f>
        <v>? 확인필요</v>
      </c>
      <c r="Z353" s="28"/>
      <c r="AA353" s="34"/>
    </row>
    <row r="354" customFormat="false" ht="15" hidden="false" customHeight="false" outlineLevel="0" collapsed="false">
      <c r="A354" s="25" t="n">
        <v>350</v>
      </c>
      <c r="B354" s="26" t="s">
        <v>204</v>
      </c>
      <c r="C354" s="26" t="s">
        <v>225</v>
      </c>
      <c r="D354" s="27" t="s">
        <v>1085</v>
      </c>
      <c r="E354" s="26" t="s">
        <v>1083</v>
      </c>
      <c r="F354" s="27" t="s">
        <v>1086</v>
      </c>
      <c r="G354" s="25" t="str">
        <f aca="false">IF($D354="","",IF(MID($D354,5,1)="S","S(봄)",IF(MID($D354,5,1)="M","M(여름)",IF(MID($D354,5,1)="X","X(사계절)",MID($D354,5,1)))))</f>
        <v>M(여름)</v>
      </c>
      <c r="H354" s="26" t="s">
        <v>79</v>
      </c>
      <c r="I354" s="25"/>
      <c r="J354" s="28" t="s">
        <v>1075</v>
      </c>
      <c r="K354" s="29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9" t="n">
        <f aca="false">IF($K354="","",IF(AND($K354-기준정보!$C$5&gt;=기준정보!$C$10,$K354-기준정보!$C$5&lt;=기준정보!$C$11),기준정보!$C$10-1,$K354-기준정보!$C$5))</f>
        <v>46478</v>
      </c>
      <c r="M354" s="30" t="n">
        <f aca="false">IF($L354="","",IF(OR(ISNUMBER(SEARCH("중국",$U354)),ISNUMBER(SEARCH("베트남",$U354))),MAX(0,MIN($L354,기준정보!$C$9)-MAX($L354-기준정보!$C$6,기준정보!$C$8)+1),IF(ISNUMBER(SEARCH("한국",$U354)),MAX(0,MIN($L354,기준정보!$C$11)-MAX($L354-기준정보!$C$6,기준정보!$C$10)+1),0)))</f>
        <v>0</v>
      </c>
      <c r="N354" s="29" t="n">
        <f aca="false">IF($L354="","",$L354-기준정보!$C$6-$M354)</f>
        <v>46388</v>
      </c>
      <c r="O354" s="31" t="n">
        <f aca="false">IF($N354="","",$N354-기준정보!$C$4)</f>
        <v>146</v>
      </c>
      <c r="P354" s="28" t="s">
        <v>82</v>
      </c>
      <c r="Q354" s="28" t="s">
        <v>83</v>
      </c>
      <c r="R354" s="32"/>
      <c r="S354" s="27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T354" s="27" t="s">
        <v>243</v>
      </c>
      <c r="U354" s="26" t="s">
        <v>90</v>
      </c>
      <c r="V354" s="33" t="n">
        <v>2500</v>
      </c>
      <c r="W354" s="27" t="s">
        <v>1075</v>
      </c>
      <c r="X354" s="27" t="str">
        <f aca="false">IF($K354="","출고일 미정",IF($P354="X","작지 미발행",IF($P354="부분","작지 일부 미발행",IF(AND($R354&lt;&gt;"",$R354&gt;$N354),"소재입고 마감("&amp;TEXT($N354,"MM/DD")&amp;") 초과",IF($P354="","발행여부 확인 필요",IF($R354="","소재 입고일정 확인 필요","정상"))))))</f>
        <v>소재 입고일정 확인 필요</v>
      </c>
      <c r="Y354" s="25" t="str">
        <f aca="false">IF($K354="","",IF(OR(LEFT($X354,2)="작지",LEFT($X354,4)="소재입고"),IF(LEFT($G354,1)="S","★ 납기위험(S코드)","◆ 지연주의"),IF($X354="정상","✓ 정상","? 확인필요")))</f>
        <v>? 확인필요</v>
      </c>
      <c r="Z354" s="28"/>
      <c r="AA354" s="34"/>
    </row>
    <row r="355" customFormat="false" ht="15" hidden="false" customHeight="false" outlineLevel="0" collapsed="false">
      <c r="A355" s="25" t="n">
        <v>351</v>
      </c>
      <c r="B355" s="26" t="s">
        <v>204</v>
      </c>
      <c r="C355" s="26" t="s">
        <v>225</v>
      </c>
      <c r="D355" s="27" t="s">
        <v>1087</v>
      </c>
      <c r="E355" s="26" t="s">
        <v>1088</v>
      </c>
      <c r="F355" s="27" t="s">
        <v>556</v>
      </c>
      <c r="G355" s="25" t="str">
        <f aca="false">IF($D355="","",IF(MID($D355,5,1)="S","S(봄)",IF(MID($D355,5,1)="M","M(여름)",IF(MID($D355,5,1)="X","X(사계절)",MID($D355,5,1)))))</f>
        <v>M(여름)</v>
      </c>
      <c r="H355" s="26" t="s">
        <v>79</v>
      </c>
      <c r="I355" s="25"/>
      <c r="J355" s="28" t="s">
        <v>1075</v>
      </c>
      <c r="K355" s="29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9" t="n">
        <f aca="false">IF($K355="","",IF(AND($K355-기준정보!$C$5&gt;=기준정보!$C$10,$K355-기준정보!$C$5&lt;=기준정보!$C$11),기준정보!$C$10-1,$K355-기준정보!$C$5))</f>
        <v>46478</v>
      </c>
      <c r="M355" s="30" t="n">
        <f aca="false">IF($L355="","",IF(OR(ISNUMBER(SEARCH("중국",$U355)),ISNUMBER(SEARCH("베트남",$U355))),MAX(0,MIN($L355,기준정보!$C$9)-MAX($L355-기준정보!$C$6,기준정보!$C$8)+1),IF(ISNUMBER(SEARCH("한국",$U355)),MAX(0,MIN($L355,기준정보!$C$11)-MAX($L355-기준정보!$C$6,기준정보!$C$10)+1),0)))</f>
        <v>15</v>
      </c>
      <c r="N355" s="29" t="n">
        <f aca="false">IF($L355="","",$L355-기준정보!$C$6-$M355)</f>
        <v>46373</v>
      </c>
      <c r="O355" s="31" t="n">
        <f aca="false">IF($N355="","",$N355-기준정보!$C$4)</f>
        <v>131</v>
      </c>
      <c r="P355" s="28" t="s">
        <v>82</v>
      </c>
      <c r="Q355" s="28" t="s">
        <v>83</v>
      </c>
      <c r="R355" s="32"/>
      <c r="S355" s="27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T355" s="26" t="s">
        <v>311</v>
      </c>
      <c r="U355" s="26" t="s">
        <v>85</v>
      </c>
      <c r="V355" s="33" t="n">
        <v>5000</v>
      </c>
      <c r="W355" s="27" t="s">
        <v>1075</v>
      </c>
      <c r="X355" s="27" t="str">
        <f aca="false">IF($K355="","출고일 미정",IF($P355="X","작지 미발행",IF($P355="부분","작지 일부 미발행",IF(AND($R355&lt;&gt;"",$R355&gt;$N355),"소재입고 마감("&amp;TEXT($N355,"MM/DD")&amp;") 초과",IF($P355="","발행여부 확인 필요",IF($R355="","소재 입고일정 확인 필요","정상"))))))</f>
        <v>소재 입고일정 확인 필요</v>
      </c>
      <c r="Y355" s="25" t="str">
        <f aca="false">IF($K355="","",IF(OR(LEFT($X355,2)="작지",LEFT($X355,4)="소재입고"),IF(LEFT($G355,1)="S","★ 납기위험(S코드)","◆ 지연주의"),IF($X355="정상","✓ 정상","? 확인필요")))</f>
        <v>? 확인필요</v>
      </c>
      <c r="Z355" s="28"/>
      <c r="AA355" s="34"/>
    </row>
    <row r="356" customFormat="false" ht="15" hidden="false" customHeight="false" outlineLevel="0" collapsed="false">
      <c r="A356" s="25" t="n">
        <v>352</v>
      </c>
      <c r="B356" s="26" t="s">
        <v>204</v>
      </c>
      <c r="C356" s="26" t="s">
        <v>205</v>
      </c>
      <c r="D356" s="27" t="s">
        <v>1089</v>
      </c>
      <c r="E356" s="26" t="s">
        <v>1090</v>
      </c>
      <c r="F356" s="27" t="s">
        <v>1091</v>
      </c>
      <c r="G356" s="25" t="str">
        <f aca="false">IF($D356="","",IF(MID($D356,5,1)="S","S(봄)",IF(MID($D356,5,1)="M","M(여름)",IF(MID($D356,5,1)="X","X(사계절)",MID($D356,5,1)))))</f>
        <v>M(여름)</v>
      </c>
      <c r="H356" s="26" t="s">
        <v>79</v>
      </c>
      <c r="I356" s="25"/>
      <c r="J356" s="28" t="s">
        <v>1075</v>
      </c>
      <c r="K356" s="29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9" t="n">
        <f aca="false">IF($K356="","",IF(AND($K356-기준정보!$C$5&gt;=기준정보!$C$10,$K356-기준정보!$C$5&lt;=기준정보!$C$11),기준정보!$C$10-1,$K356-기준정보!$C$5))</f>
        <v>46478</v>
      </c>
      <c r="M356" s="30" t="n">
        <f aca="false">IF($L356="","",IF(OR(ISNUMBER(SEARCH("중국",$U356)),ISNUMBER(SEARCH("베트남",$U356))),MAX(0,MIN($L356,기준정보!$C$9)-MAX($L356-기준정보!$C$6,기준정보!$C$8)+1),IF(ISNUMBER(SEARCH("한국",$U356)),MAX(0,MIN($L356,기준정보!$C$11)-MAX($L356-기준정보!$C$6,기준정보!$C$10)+1),0)))</f>
        <v>15</v>
      </c>
      <c r="N356" s="29" t="n">
        <f aca="false">IF($L356="","",$L356-기준정보!$C$6-$M356)</f>
        <v>46373</v>
      </c>
      <c r="O356" s="31" t="n">
        <f aca="false">IF($N356="","",$N356-기준정보!$C$4)</f>
        <v>131</v>
      </c>
      <c r="P356" s="28" t="s">
        <v>82</v>
      </c>
      <c r="Q356" s="28" t="s">
        <v>83</v>
      </c>
      <c r="R356" s="32"/>
      <c r="S356" s="27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T356" s="26" t="s">
        <v>311</v>
      </c>
      <c r="U356" s="26" t="s">
        <v>85</v>
      </c>
      <c r="V356" s="33" t="n">
        <v>2500</v>
      </c>
      <c r="W356" s="27" t="s">
        <v>1075</v>
      </c>
      <c r="X356" s="27" t="str">
        <f aca="false">IF($K356="","출고일 미정",IF($P356="X","작지 미발행",IF($P356="부분","작지 일부 미발행",IF(AND($R356&lt;&gt;"",$R356&gt;$N356),"소재입고 마감("&amp;TEXT($N356,"MM/DD")&amp;") 초과",IF($P356="","발행여부 확인 필요",IF($R356="","소재 입고일정 확인 필요","정상"))))))</f>
        <v>소재 입고일정 확인 필요</v>
      </c>
      <c r="Y356" s="25" t="str">
        <f aca="false">IF($K356="","",IF(OR(LEFT($X356,2)="작지",LEFT($X356,4)="소재입고"),IF(LEFT($G356,1)="S","★ 납기위험(S코드)","◆ 지연주의"),IF($X356="정상","✓ 정상","? 확인필요")))</f>
        <v>? 확인필요</v>
      </c>
      <c r="Z356" s="28"/>
      <c r="AA356" s="34"/>
    </row>
    <row r="357" customFormat="false" ht="15" hidden="false" customHeight="false" outlineLevel="0" collapsed="false">
      <c r="A357" s="25" t="n">
        <v>353</v>
      </c>
      <c r="B357" s="26" t="s">
        <v>142</v>
      </c>
      <c r="C357" s="26" t="s">
        <v>143</v>
      </c>
      <c r="D357" s="27" t="s">
        <v>1092</v>
      </c>
      <c r="E357" s="27" t="s">
        <v>1093</v>
      </c>
      <c r="F357" s="27" t="s">
        <v>160</v>
      </c>
      <c r="G357" s="25" t="str">
        <f aca="false">IF($D357="","",IF(MID($D357,5,1)="S","S(봄)",IF(MID($D357,5,1)="M","M(여름)",IF(MID($D357,5,1)="X","X(사계절)",MID($D357,5,1)))))</f>
        <v>X(사계절)</v>
      </c>
      <c r="H357" s="26" t="s">
        <v>79</v>
      </c>
      <c r="I357" s="25" t="s">
        <v>147</v>
      </c>
      <c r="J357" s="28" t="s">
        <v>148</v>
      </c>
      <c r="K357" s="29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9" t="n">
        <f aca="false">IF($K357="","",IF(AND($K357-기준정보!$C$5&gt;=기준정보!$C$10,$K357-기준정보!$C$5&lt;=기준정보!$C$11),기준정보!$C$10-1,$K357-기준정보!$C$5))</f>
        <v>46388</v>
      </c>
      <c r="M357" s="30" t="n">
        <f aca="false">IF($L357="","",IF(OR(ISNUMBER(SEARCH("중국",$U357)),ISNUMBER(SEARCH("베트남",$U357))),MAX(0,MIN($L357,기준정보!$C$9)-MAX($L357-기준정보!$C$6,기준정보!$C$8)+1),IF(ISNUMBER(SEARCH("한국",$U357)),MAX(0,MIN($L357,기준정보!$C$11)-MAX($L357-기준정보!$C$6,기준정보!$C$10)+1),0)))</f>
        <v>0</v>
      </c>
      <c r="N357" s="29" t="n">
        <f aca="false">IF($L357="","",$L357-기준정보!$C$6-$M357)</f>
        <v>46298</v>
      </c>
      <c r="O357" s="31" t="n">
        <f aca="false">IF($N357="","",$N357-기준정보!$C$4)</f>
        <v>56</v>
      </c>
      <c r="P357" s="28" t="s">
        <v>83</v>
      </c>
      <c r="Q357" s="28" t="s">
        <v>83</v>
      </c>
      <c r="R357" s="32"/>
      <c r="S357" s="27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T357" s="26" t="s">
        <v>161</v>
      </c>
      <c r="U357" s="26" t="s">
        <v>85</v>
      </c>
      <c r="V357" s="33" t="n">
        <v>0</v>
      </c>
      <c r="W357" s="27"/>
      <c r="X357" s="27" t="str">
        <f aca="false">IF($K357="","출고일 미정",IF($P357="X","작지 미발행",IF($P357="부분","작지 일부 미발행",IF(AND($R357&lt;&gt;"",$R357&gt;$N357),"소재입고 마감("&amp;TEXT($N357,"MM/DD")&amp;") 초과",IF($P357="","발행여부 확인 필요",IF($R357="","소재 입고일정 확인 필요","정상"))))))</f>
        <v>작지 미발행</v>
      </c>
      <c r="Y357" s="25" t="str">
        <f aca="false">IF($K357="","",IF(OR(LEFT($X357,2)="작지",LEFT($X357,4)="소재입고"),IF(LEFT($G357,1)="S","★ 납기위험(S코드)","◆ 지연주의"),IF($X357="정상","✓ 정상","? 확인필요")))</f>
        <v>◆ 지연주의</v>
      </c>
      <c r="Z357" s="28"/>
      <c r="AA357" s="34"/>
    </row>
    <row r="358" customFormat="false" ht="15" hidden="false" customHeight="false" outlineLevel="0" collapsed="false">
      <c r="A358" s="25" t="n">
        <v>354</v>
      </c>
      <c r="B358" s="26" t="s">
        <v>142</v>
      </c>
      <c r="C358" s="26" t="s">
        <v>143</v>
      </c>
      <c r="D358" s="27" t="s">
        <v>1094</v>
      </c>
      <c r="E358" s="27" t="s">
        <v>1095</v>
      </c>
      <c r="F358" s="27" t="s">
        <v>160</v>
      </c>
      <c r="G358" s="25" t="str">
        <f aca="false">IF($D358="","",IF(MID($D358,5,1)="S","S(봄)",IF(MID($D358,5,1)="M","M(여름)",IF(MID($D358,5,1)="X","X(사계절)",MID($D358,5,1)))))</f>
        <v>X(사계절)</v>
      </c>
      <c r="H358" s="26" t="s">
        <v>79</v>
      </c>
      <c r="I358" s="25" t="s">
        <v>147</v>
      </c>
      <c r="J358" s="28" t="s">
        <v>148</v>
      </c>
      <c r="K358" s="29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9" t="n">
        <f aca="false">IF($K358="","",IF(AND($K358-기준정보!$C$5&gt;=기준정보!$C$10,$K358-기준정보!$C$5&lt;=기준정보!$C$11),기준정보!$C$10-1,$K358-기준정보!$C$5))</f>
        <v>46388</v>
      </c>
      <c r="M358" s="30" t="n">
        <f aca="false">IF($L358="","",IF(OR(ISNUMBER(SEARCH("중국",$U358)),ISNUMBER(SEARCH("베트남",$U358))),MAX(0,MIN($L358,기준정보!$C$9)-MAX($L358-기준정보!$C$6,기준정보!$C$8)+1),IF(ISNUMBER(SEARCH("한국",$U358)),MAX(0,MIN($L358,기준정보!$C$11)-MAX($L358-기준정보!$C$6,기준정보!$C$10)+1),0)))</f>
        <v>0</v>
      </c>
      <c r="N358" s="29" t="n">
        <f aca="false">IF($L358="","",$L358-기준정보!$C$6-$M358)</f>
        <v>46298</v>
      </c>
      <c r="O358" s="31" t="n">
        <f aca="false">IF($N358="","",$N358-기준정보!$C$4)</f>
        <v>56</v>
      </c>
      <c r="P358" s="28" t="s">
        <v>83</v>
      </c>
      <c r="Q358" s="28"/>
      <c r="R358" s="32"/>
      <c r="S358" s="27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T358" s="26" t="s">
        <v>1096</v>
      </c>
      <c r="U358" s="26" t="s">
        <v>131</v>
      </c>
      <c r="V358" s="33" t="n">
        <v>0</v>
      </c>
      <c r="W358" s="27"/>
      <c r="X358" s="27" t="str">
        <f aca="false">IF($K358="","출고일 미정",IF($P358="X","작지 미발행",IF($P358="부분","작지 일부 미발행",IF(AND($R358&lt;&gt;"",$R358&gt;$N358),"소재입고 마감("&amp;TEXT($N358,"MM/DD")&amp;") 초과",IF($P358="","발행여부 확인 필요",IF($R358="","소재 입고일정 확인 필요","정상"))))))</f>
        <v>작지 미발행</v>
      </c>
      <c r="Y358" s="25" t="str">
        <f aca="false">IF($K358="","",IF(OR(LEFT($X358,2)="작지",LEFT($X358,4)="소재입고"),IF(LEFT($G358,1)="S","★ 납기위험(S코드)","◆ 지연주의"),IF($X358="정상","✓ 정상","? 확인필요")))</f>
        <v>◆ 지연주의</v>
      </c>
      <c r="Z358" s="28"/>
      <c r="AA358" s="34"/>
    </row>
    <row r="359" customFormat="false" ht="15" hidden="false" customHeight="false" outlineLevel="0" collapsed="false">
      <c r="A359" s="25" t="n">
        <v>355</v>
      </c>
      <c r="B359" s="26" t="s">
        <v>142</v>
      </c>
      <c r="C359" s="26" t="s">
        <v>143</v>
      </c>
      <c r="D359" s="27" t="s">
        <v>1097</v>
      </c>
      <c r="E359" s="27" t="s">
        <v>1098</v>
      </c>
      <c r="F359" s="27" t="s">
        <v>160</v>
      </c>
      <c r="G359" s="25" t="str">
        <f aca="false">IF($D359="","",IF(MID($D359,5,1)="S","S(봄)",IF(MID($D359,5,1)="M","M(여름)",IF(MID($D359,5,1)="X","X(사계절)",MID($D359,5,1)))))</f>
        <v>X(사계절)</v>
      </c>
      <c r="H359" s="26" t="s">
        <v>79</v>
      </c>
      <c r="I359" s="25" t="s">
        <v>147</v>
      </c>
      <c r="J359" s="28" t="s">
        <v>148</v>
      </c>
      <c r="K359" s="29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9" t="n">
        <f aca="false">IF($K359="","",IF(AND($K359-기준정보!$C$5&gt;=기준정보!$C$10,$K359-기준정보!$C$5&lt;=기준정보!$C$11),기준정보!$C$10-1,$K359-기준정보!$C$5))</f>
        <v>46388</v>
      </c>
      <c r="M359" s="30" t="n">
        <f aca="false">IF($L359="","",IF(OR(ISNUMBER(SEARCH("중국",$U359)),ISNUMBER(SEARCH("베트남",$U359))),MAX(0,MIN($L359,기준정보!$C$9)-MAX($L359-기준정보!$C$6,기준정보!$C$8)+1),IF(ISNUMBER(SEARCH("한국",$U359)),MAX(0,MIN($L359,기준정보!$C$11)-MAX($L359-기준정보!$C$6,기준정보!$C$10)+1),0)))</f>
        <v>0</v>
      </c>
      <c r="N359" s="29" t="n">
        <f aca="false">IF($L359="","",$L359-기준정보!$C$6-$M359)</f>
        <v>46298</v>
      </c>
      <c r="O359" s="31" t="n">
        <f aca="false">IF($N359="","",$N359-기준정보!$C$4)</f>
        <v>56</v>
      </c>
      <c r="P359" s="28" t="s">
        <v>83</v>
      </c>
      <c r="Q359" s="28" t="s">
        <v>83</v>
      </c>
      <c r="R359" s="32"/>
      <c r="S359" s="27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T359" s="26" t="s">
        <v>1096</v>
      </c>
      <c r="U359" s="26" t="s">
        <v>131</v>
      </c>
      <c r="V359" s="33" t="n">
        <v>0</v>
      </c>
      <c r="W359" s="27"/>
      <c r="X359" s="27" t="str">
        <f aca="false">IF($K359="","출고일 미정",IF($P359="X","작지 미발행",IF($P359="부분","작지 일부 미발행",IF(AND($R359&lt;&gt;"",$R359&gt;$N359),"소재입고 마감("&amp;TEXT($N359,"MM/DD")&amp;") 초과",IF($P359="","발행여부 확인 필요",IF($R359="","소재 입고일정 확인 필요","정상"))))))</f>
        <v>작지 미발행</v>
      </c>
      <c r="Y359" s="25" t="str">
        <f aca="false">IF($K359="","",IF(OR(LEFT($X359,2)="작지",LEFT($X359,4)="소재입고"),IF(LEFT($G359,1)="S","★ 납기위험(S코드)","◆ 지연주의"),IF($X359="정상","✓ 정상","? 확인필요")))</f>
        <v>◆ 지연주의</v>
      </c>
      <c r="Z359" s="28"/>
      <c r="AA359" s="34"/>
    </row>
    <row r="360" customFormat="false" ht="15" hidden="false" customHeight="false" outlineLevel="0" collapsed="false">
      <c r="A360" s="25" t="n">
        <v>356</v>
      </c>
      <c r="B360" s="26" t="s">
        <v>142</v>
      </c>
      <c r="C360" s="26" t="s">
        <v>143</v>
      </c>
      <c r="D360" s="27" t="s">
        <v>1099</v>
      </c>
      <c r="E360" s="27" t="s">
        <v>1100</v>
      </c>
      <c r="F360" s="27" t="s">
        <v>160</v>
      </c>
      <c r="G360" s="25" t="str">
        <f aca="false">IF($D360="","",IF(MID($D360,5,1)="S","S(봄)",IF(MID($D360,5,1)="M","M(여름)",IF(MID($D360,5,1)="X","X(사계절)",MID($D360,5,1)))))</f>
        <v>X(사계절)</v>
      </c>
      <c r="H360" s="26" t="s">
        <v>79</v>
      </c>
      <c r="I360" s="25" t="s">
        <v>147</v>
      </c>
      <c r="J360" s="28" t="s">
        <v>148</v>
      </c>
      <c r="K360" s="29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9" t="n">
        <f aca="false">IF($K360="","",IF(AND($K360-기준정보!$C$5&gt;=기준정보!$C$10,$K360-기준정보!$C$5&lt;=기준정보!$C$11),기준정보!$C$10-1,$K360-기준정보!$C$5))</f>
        <v>46388</v>
      </c>
      <c r="M360" s="30" t="n">
        <f aca="false">IF($L360="","",IF(OR(ISNUMBER(SEARCH("중국",$U360)),ISNUMBER(SEARCH("베트남",$U360))),MAX(0,MIN($L360,기준정보!$C$9)-MAX($L360-기준정보!$C$6,기준정보!$C$8)+1),IF(ISNUMBER(SEARCH("한국",$U360)),MAX(0,MIN($L360,기준정보!$C$11)-MAX($L360-기준정보!$C$6,기준정보!$C$10)+1),0)))</f>
        <v>0</v>
      </c>
      <c r="N360" s="29" t="n">
        <f aca="false">IF($L360="","",$L360-기준정보!$C$6-$M360)</f>
        <v>46298</v>
      </c>
      <c r="O360" s="31" t="n">
        <f aca="false">IF($N360="","",$N360-기준정보!$C$4)</f>
        <v>56</v>
      </c>
      <c r="P360" s="28" t="s">
        <v>83</v>
      </c>
      <c r="Q360" s="28" t="s">
        <v>83</v>
      </c>
      <c r="R360" s="32"/>
      <c r="S360" s="27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T360" s="26" t="s">
        <v>704</v>
      </c>
      <c r="U360" s="26" t="s">
        <v>166</v>
      </c>
      <c r="V360" s="33" t="n">
        <v>0</v>
      </c>
      <c r="W360" s="27"/>
      <c r="X360" s="27" t="str">
        <f aca="false">IF($K360="","출고일 미정",IF($P360="X","작지 미발행",IF($P360="부분","작지 일부 미발행",IF(AND($R360&lt;&gt;"",$R360&gt;$N360),"소재입고 마감("&amp;TEXT($N360,"MM/DD")&amp;") 초과",IF($P360="","발행여부 확인 필요",IF($R360="","소재 입고일정 확인 필요","정상"))))))</f>
        <v>작지 미발행</v>
      </c>
      <c r="Y360" s="25" t="str">
        <f aca="false">IF($K360="","",IF(OR(LEFT($X360,2)="작지",LEFT($X360,4)="소재입고"),IF(LEFT($G360,1)="S","★ 납기위험(S코드)","◆ 지연주의"),IF($X360="정상","✓ 정상","? 확인필요")))</f>
        <v>◆ 지연주의</v>
      </c>
      <c r="Z360" s="28"/>
      <c r="AA360" s="34"/>
    </row>
    <row r="361" customFormat="false" ht="15" hidden="false" customHeight="false" outlineLevel="0" collapsed="false">
      <c r="A361" s="25" t="n">
        <v>357</v>
      </c>
      <c r="B361" s="26" t="s">
        <v>142</v>
      </c>
      <c r="C361" s="26" t="s">
        <v>143</v>
      </c>
      <c r="D361" s="27" t="s">
        <v>1101</v>
      </c>
      <c r="E361" s="27" t="s">
        <v>1102</v>
      </c>
      <c r="F361" s="27" t="s">
        <v>238</v>
      </c>
      <c r="G361" s="25" t="str">
        <f aca="false">IF($D361="","",IF(MID($D361,5,1)="S","S(봄)",IF(MID($D361,5,1)="M","M(여름)",IF(MID($D361,5,1)="X","X(사계절)",MID($D361,5,1)))))</f>
        <v>X(사계절)</v>
      </c>
      <c r="H361" s="26" t="s">
        <v>79</v>
      </c>
      <c r="I361" s="25" t="s">
        <v>147</v>
      </c>
      <c r="J361" s="28" t="s">
        <v>148</v>
      </c>
      <c r="K361" s="29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9" t="n">
        <f aca="false">IF($K361="","",IF(AND($K361-기준정보!$C$5&gt;=기준정보!$C$10,$K361-기준정보!$C$5&lt;=기준정보!$C$11),기준정보!$C$10-1,$K361-기준정보!$C$5))</f>
        <v>46388</v>
      </c>
      <c r="M361" s="30" t="n">
        <f aca="false">IF($L361="","",IF(OR(ISNUMBER(SEARCH("중국",$U361)),ISNUMBER(SEARCH("베트남",$U361))),MAX(0,MIN($L361,기준정보!$C$9)-MAX($L361-기준정보!$C$6,기준정보!$C$8)+1),IF(ISNUMBER(SEARCH("한국",$U361)),MAX(0,MIN($L361,기준정보!$C$11)-MAX($L361-기준정보!$C$6,기준정보!$C$10)+1),0)))</f>
        <v>0</v>
      </c>
      <c r="N361" s="29" t="n">
        <f aca="false">IF($L361="","",$L361-기준정보!$C$6-$M361)</f>
        <v>46298</v>
      </c>
      <c r="O361" s="31" t="n">
        <f aca="false">IF($N361="","",$N361-기준정보!$C$4)</f>
        <v>56</v>
      </c>
      <c r="P361" s="28" t="s">
        <v>83</v>
      </c>
      <c r="Q361" s="28" t="s">
        <v>83</v>
      </c>
      <c r="R361" s="32"/>
      <c r="S361" s="27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T361" s="26" t="s">
        <v>704</v>
      </c>
      <c r="U361" s="26" t="s">
        <v>166</v>
      </c>
      <c r="V361" s="33" t="n">
        <v>0</v>
      </c>
      <c r="W361" s="27"/>
      <c r="X361" s="27" t="str">
        <f aca="false">IF($K361="","출고일 미정",IF($P361="X","작지 미발행",IF($P361="부분","작지 일부 미발행",IF(AND($R361&lt;&gt;"",$R361&gt;$N361),"소재입고 마감("&amp;TEXT($N361,"MM/DD")&amp;") 초과",IF($P361="","발행여부 확인 필요",IF($R361="","소재 입고일정 확인 필요","정상"))))))</f>
        <v>작지 미발행</v>
      </c>
      <c r="Y361" s="25" t="str">
        <f aca="false">IF($K361="","",IF(OR(LEFT($X361,2)="작지",LEFT($X361,4)="소재입고"),IF(LEFT($G361,1)="S","★ 납기위험(S코드)","◆ 지연주의"),IF($X361="정상","✓ 정상","? 확인필요")))</f>
        <v>◆ 지연주의</v>
      </c>
      <c r="Z361" s="28"/>
      <c r="AA361" s="34"/>
    </row>
    <row r="362" customFormat="false" ht="15" hidden="false" customHeight="false" outlineLevel="0" collapsed="false">
      <c r="A362" s="25" t="n">
        <v>358</v>
      </c>
      <c r="B362" s="26" t="s">
        <v>142</v>
      </c>
      <c r="C362" s="26" t="s">
        <v>143</v>
      </c>
      <c r="D362" s="27" t="s">
        <v>1103</v>
      </c>
      <c r="E362" s="27" t="s">
        <v>1104</v>
      </c>
      <c r="F362" s="27" t="s">
        <v>160</v>
      </c>
      <c r="G362" s="25" t="str">
        <f aca="false">IF($D362="","",IF(MID($D362,5,1)="S","S(봄)",IF(MID($D362,5,1)="M","M(여름)",IF(MID($D362,5,1)="X","X(사계절)",MID($D362,5,1)))))</f>
        <v>X(사계절)</v>
      </c>
      <c r="H362" s="26" t="s">
        <v>79</v>
      </c>
      <c r="I362" s="25" t="s">
        <v>147</v>
      </c>
      <c r="J362" s="28" t="s">
        <v>148</v>
      </c>
      <c r="K362" s="29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9" t="n">
        <f aca="false">IF($K362="","",IF(AND($K362-기준정보!$C$5&gt;=기준정보!$C$10,$K362-기준정보!$C$5&lt;=기준정보!$C$11),기준정보!$C$10-1,$K362-기준정보!$C$5))</f>
        <v>46388</v>
      </c>
      <c r="M362" s="30" t="n">
        <f aca="false">IF($L362="","",IF(OR(ISNUMBER(SEARCH("중국",$U362)),ISNUMBER(SEARCH("베트남",$U362))),MAX(0,MIN($L362,기준정보!$C$9)-MAX($L362-기준정보!$C$6,기준정보!$C$8)+1),IF(ISNUMBER(SEARCH("한국",$U362)),MAX(0,MIN($L362,기준정보!$C$11)-MAX($L362-기준정보!$C$6,기준정보!$C$10)+1),0)))</f>
        <v>0</v>
      </c>
      <c r="N362" s="29" t="n">
        <f aca="false">IF($L362="","",$L362-기준정보!$C$6-$M362)</f>
        <v>46298</v>
      </c>
      <c r="O362" s="31" t="n">
        <f aca="false">IF($N362="","",$N362-기준정보!$C$4)</f>
        <v>56</v>
      </c>
      <c r="P362" s="28" t="s">
        <v>83</v>
      </c>
      <c r="Q362" s="28" t="s">
        <v>82</v>
      </c>
      <c r="R362" s="32"/>
      <c r="S362" s="27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T362" s="26" t="s">
        <v>258</v>
      </c>
      <c r="U362" s="26" t="s">
        <v>85</v>
      </c>
      <c r="V362" s="33" t="n">
        <v>0</v>
      </c>
      <c r="W362" s="27"/>
      <c r="X362" s="27" t="str">
        <f aca="false">IF($K362="","출고일 미정",IF($P362="X","작지 미발행",IF($P362="부분","작지 일부 미발행",IF(AND($R362&lt;&gt;"",$R362&gt;$N362),"소재입고 마감("&amp;TEXT($N362,"MM/DD")&amp;") 초과",IF($P362="","발행여부 확인 필요",IF($R362="","소재 입고일정 확인 필요","정상"))))))</f>
        <v>작지 미발행</v>
      </c>
      <c r="Y362" s="25" t="str">
        <f aca="false">IF($K362="","",IF(OR(LEFT($X362,2)="작지",LEFT($X362,4)="소재입고"),IF(LEFT($G362,1)="S","★ 납기위험(S코드)","◆ 지연주의"),IF($X362="정상","✓ 정상","? 확인필요")))</f>
        <v>◆ 지연주의</v>
      </c>
      <c r="Z362" s="28"/>
      <c r="AA362" s="34"/>
    </row>
    <row r="363" customFormat="false" ht="15" hidden="false" customHeight="false" outlineLevel="0" collapsed="false">
      <c r="A363" s="25" t="n">
        <v>359</v>
      </c>
      <c r="B363" s="26" t="s">
        <v>142</v>
      </c>
      <c r="C363" s="26" t="s">
        <v>143</v>
      </c>
      <c r="D363" s="27" t="s">
        <v>1105</v>
      </c>
      <c r="E363" s="27" t="s">
        <v>1106</v>
      </c>
      <c r="F363" s="27" t="s">
        <v>1107</v>
      </c>
      <c r="G363" s="25" t="str">
        <f aca="false">IF($D363="","",IF(MID($D363,5,1)="S","S(봄)",IF(MID($D363,5,1)="M","M(여름)",IF(MID($D363,5,1)="X","X(사계절)",MID($D363,5,1)))))</f>
        <v>X(사계절)</v>
      </c>
      <c r="H363" s="26" t="s">
        <v>79</v>
      </c>
      <c r="I363" s="25" t="s">
        <v>147</v>
      </c>
      <c r="J363" s="28" t="s">
        <v>148</v>
      </c>
      <c r="K363" s="29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9" t="n">
        <f aca="false">IF($K363="","",IF(AND($K363-기준정보!$C$5&gt;=기준정보!$C$10,$K363-기준정보!$C$5&lt;=기준정보!$C$11),기준정보!$C$10-1,$K363-기준정보!$C$5))</f>
        <v>46388</v>
      </c>
      <c r="M363" s="30" t="n">
        <f aca="false">IF($L363="","",IF(OR(ISNUMBER(SEARCH("중국",$U363)),ISNUMBER(SEARCH("베트남",$U363))),MAX(0,MIN($L363,기준정보!$C$9)-MAX($L363-기준정보!$C$6,기준정보!$C$8)+1),IF(ISNUMBER(SEARCH("한국",$U363)),MAX(0,MIN($L363,기준정보!$C$11)-MAX($L363-기준정보!$C$6,기준정보!$C$10)+1),0)))</f>
        <v>0</v>
      </c>
      <c r="N363" s="29" t="n">
        <f aca="false">IF($L363="","",$L363-기준정보!$C$6-$M363)</f>
        <v>46298</v>
      </c>
      <c r="O363" s="31" t="n">
        <f aca="false">IF($N363="","",$N363-기준정보!$C$4)</f>
        <v>56</v>
      </c>
      <c r="P363" s="28" t="s">
        <v>83</v>
      </c>
      <c r="Q363" s="28" t="s">
        <v>83</v>
      </c>
      <c r="R363" s="32"/>
      <c r="S363" s="27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T363" s="26" t="s">
        <v>258</v>
      </c>
      <c r="U363" s="26" t="s">
        <v>85</v>
      </c>
      <c r="V363" s="33" t="n">
        <v>0</v>
      </c>
      <c r="W363" s="27"/>
      <c r="X363" s="27" t="str">
        <f aca="false">IF($K363="","출고일 미정",IF($P363="X","작지 미발행",IF($P363="부분","작지 일부 미발행",IF(AND($R363&lt;&gt;"",$R363&gt;$N363),"소재입고 마감("&amp;TEXT($N363,"MM/DD")&amp;") 초과",IF($P363="","발행여부 확인 필요",IF($R363="","소재 입고일정 확인 필요","정상"))))))</f>
        <v>작지 미발행</v>
      </c>
      <c r="Y363" s="25" t="str">
        <f aca="false">IF($K363="","",IF(OR(LEFT($X363,2)="작지",LEFT($X363,4)="소재입고"),IF(LEFT($G363,1)="S","★ 납기위험(S코드)","◆ 지연주의"),IF($X363="정상","✓ 정상","? 확인필요")))</f>
        <v>◆ 지연주의</v>
      </c>
      <c r="Z363" s="28"/>
      <c r="AA363" s="34"/>
    </row>
    <row r="364" customFormat="false" ht="15" hidden="false" customHeight="false" outlineLevel="0" collapsed="false">
      <c r="A364" s="25" t="n">
        <v>360</v>
      </c>
      <c r="B364" s="26" t="s">
        <v>142</v>
      </c>
      <c r="C364" s="26" t="s">
        <v>152</v>
      </c>
      <c r="D364" s="27" t="s">
        <v>1108</v>
      </c>
      <c r="E364" s="27" t="s">
        <v>1109</v>
      </c>
      <c r="F364" s="27" t="s">
        <v>1110</v>
      </c>
      <c r="G364" s="25" t="str">
        <f aca="false">IF($D364="","",IF(MID($D364,5,1)="S","S(봄)",IF(MID($D364,5,1)="M","M(여름)",IF(MID($D364,5,1)="X","X(사계절)",MID($D364,5,1)))))</f>
        <v>X(사계절)</v>
      </c>
      <c r="H364" s="26" t="s">
        <v>79</v>
      </c>
      <c r="I364" s="25" t="s">
        <v>147</v>
      </c>
      <c r="J364" s="28" t="s">
        <v>148</v>
      </c>
      <c r="K364" s="29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9" t="n">
        <f aca="false">IF($K364="","",IF(AND($K364-기준정보!$C$5&gt;=기준정보!$C$10,$K364-기준정보!$C$5&lt;=기준정보!$C$11),기준정보!$C$10-1,$K364-기준정보!$C$5))</f>
        <v>46388</v>
      </c>
      <c r="M364" s="30" t="n">
        <f aca="false">IF($L364="","",IF(OR(ISNUMBER(SEARCH("중국",$U364)),ISNUMBER(SEARCH("베트남",$U364))),MAX(0,MIN($L364,기준정보!$C$9)-MAX($L364-기준정보!$C$6,기준정보!$C$8)+1),IF(ISNUMBER(SEARCH("한국",$U364)),MAX(0,MIN($L364,기준정보!$C$11)-MAX($L364-기준정보!$C$6,기준정보!$C$10)+1),0)))</f>
        <v>0</v>
      </c>
      <c r="N364" s="29" t="n">
        <f aca="false">IF($L364="","",$L364-기준정보!$C$6-$M364)</f>
        <v>46298</v>
      </c>
      <c r="O364" s="31" t="n">
        <f aca="false">IF($N364="","",$N364-기준정보!$C$4)</f>
        <v>56</v>
      </c>
      <c r="P364" s="28" t="s">
        <v>83</v>
      </c>
      <c r="Q364" s="28" t="s">
        <v>83</v>
      </c>
      <c r="R364" s="32"/>
      <c r="S364" s="27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T364" s="26" t="s">
        <v>89</v>
      </c>
      <c r="U364" s="26" t="s">
        <v>85</v>
      </c>
      <c r="V364" s="33" t="n">
        <v>0</v>
      </c>
      <c r="W364" s="27"/>
      <c r="X364" s="27" t="str">
        <f aca="false">IF($K364="","출고일 미정",IF($P364="X","작지 미발행",IF($P364="부분","작지 일부 미발행",IF(AND($R364&lt;&gt;"",$R364&gt;$N364),"소재입고 마감("&amp;TEXT($N364,"MM/DD")&amp;") 초과",IF($P364="","발행여부 확인 필요",IF($R364="","소재 입고일정 확인 필요","정상"))))))</f>
        <v>작지 미발행</v>
      </c>
      <c r="Y364" s="25" t="str">
        <f aca="false">IF($K364="","",IF(OR(LEFT($X364,2)="작지",LEFT($X364,4)="소재입고"),IF(LEFT($G364,1)="S","★ 납기위험(S코드)","◆ 지연주의"),IF($X364="정상","✓ 정상","? 확인필요")))</f>
        <v>◆ 지연주의</v>
      </c>
      <c r="Z364" s="28"/>
      <c r="AA364" s="34"/>
    </row>
    <row r="365" customFormat="false" ht="15" hidden="false" customHeight="false" outlineLevel="0" collapsed="false">
      <c r="A365" s="25" t="n">
        <v>361</v>
      </c>
      <c r="B365" s="26" t="s">
        <v>142</v>
      </c>
      <c r="C365" s="26" t="s">
        <v>143</v>
      </c>
      <c r="D365" s="27" t="s">
        <v>1111</v>
      </c>
      <c r="E365" s="27" t="s">
        <v>1112</v>
      </c>
      <c r="F365" s="27" t="s">
        <v>160</v>
      </c>
      <c r="G365" s="25" t="str">
        <f aca="false">IF($D365="","",IF(MID($D365,5,1)="S","S(봄)",IF(MID($D365,5,1)="M","M(여름)",IF(MID($D365,5,1)="X","X(사계절)",MID($D365,5,1)))))</f>
        <v>X(사계절)</v>
      </c>
      <c r="H365" s="26" t="s">
        <v>79</v>
      </c>
      <c r="I365" s="25" t="s">
        <v>147</v>
      </c>
      <c r="J365" s="28" t="s">
        <v>148</v>
      </c>
      <c r="K365" s="29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9" t="n">
        <f aca="false">IF($K365="","",IF(AND($K365-기준정보!$C$5&gt;=기준정보!$C$10,$K365-기준정보!$C$5&lt;=기준정보!$C$11),기준정보!$C$10-1,$K365-기준정보!$C$5))</f>
        <v>46388</v>
      </c>
      <c r="M365" s="30" t="n">
        <f aca="false">IF($L365="","",IF(OR(ISNUMBER(SEARCH("중국",$U365)),ISNUMBER(SEARCH("베트남",$U365))),MAX(0,MIN($L365,기준정보!$C$9)-MAX($L365-기준정보!$C$6,기준정보!$C$8)+1),IF(ISNUMBER(SEARCH("한국",$U365)),MAX(0,MIN($L365,기준정보!$C$11)-MAX($L365-기준정보!$C$6,기준정보!$C$10)+1),0)))</f>
        <v>0</v>
      </c>
      <c r="N365" s="29" t="n">
        <f aca="false">IF($L365="","",$L365-기준정보!$C$6-$M365)</f>
        <v>46298</v>
      </c>
      <c r="O365" s="31" t="n">
        <f aca="false">IF($N365="","",$N365-기준정보!$C$4)</f>
        <v>56</v>
      </c>
      <c r="P365" s="28" t="s">
        <v>83</v>
      </c>
      <c r="Q365" s="28" t="s">
        <v>83</v>
      </c>
      <c r="R365" s="32"/>
      <c r="S365" s="27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T365" s="26" t="s">
        <v>258</v>
      </c>
      <c r="U365" s="26" t="s">
        <v>85</v>
      </c>
      <c r="V365" s="33" t="n">
        <v>0</v>
      </c>
      <c r="W365" s="27"/>
      <c r="X365" s="27" t="str">
        <f aca="false">IF($K365="","출고일 미정",IF($P365="X","작지 미발행",IF($P365="부분","작지 일부 미발행",IF(AND($R365&lt;&gt;"",$R365&gt;$N365),"소재입고 마감("&amp;TEXT($N365,"MM/DD")&amp;") 초과",IF($P365="","발행여부 확인 필요",IF($R365="","소재 입고일정 확인 필요","정상"))))))</f>
        <v>작지 미발행</v>
      </c>
      <c r="Y365" s="25" t="str">
        <f aca="false">IF($K365="","",IF(OR(LEFT($X365,2)="작지",LEFT($X365,4)="소재입고"),IF(LEFT($G365,1)="S","★ 납기위험(S코드)","◆ 지연주의"),IF($X365="정상","✓ 정상","? 확인필요")))</f>
        <v>◆ 지연주의</v>
      </c>
      <c r="Z365" s="28"/>
      <c r="AA365" s="34"/>
    </row>
    <row r="366" customFormat="false" ht="15" hidden="false" customHeight="false" outlineLevel="0" collapsed="false">
      <c r="A366" s="25" t="n">
        <v>362</v>
      </c>
      <c r="B366" s="26" t="s">
        <v>142</v>
      </c>
      <c r="C366" s="26" t="s">
        <v>143</v>
      </c>
      <c r="D366" s="27" t="s">
        <v>1113</v>
      </c>
      <c r="E366" s="27" t="s">
        <v>1114</v>
      </c>
      <c r="F366" s="27" t="s">
        <v>146</v>
      </c>
      <c r="G366" s="25" t="str">
        <f aca="false">IF($D366="","",IF(MID($D366,5,1)="S","S(봄)",IF(MID($D366,5,1)="M","M(여름)",IF(MID($D366,5,1)="X","X(사계절)",MID($D366,5,1)))))</f>
        <v>X(사계절)</v>
      </c>
      <c r="H366" s="26" t="s">
        <v>79</v>
      </c>
      <c r="I366" s="25" t="s">
        <v>147</v>
      </c>
      <c r="J366" s="28" t="s">
        <v>148</v>
      </c>
      <c r="K366" s="29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9" t="n">
        <f aca="false">IF($K366="","",IF(AND($K366-기준정보!$C$5&gt;=기준정보!$C$10,$K366-기준정보!$C$5&lt;=기준정보!$C$11),기준정보!$C$10-1,$K366-기준정보!$C$5))</f>
        <v>46388</v>
      </c>
      <c r="M366" s="30" t="n">
        <f aca="false">IF($L366="","",IF(OR(ISNUMBER(SEARCH("중국",$U366)),ISNUMBER(SEARCH("베트남",$U366))),MAX(0,MIN($L366,기준정보!$C$9)-MAX($L366-기준정보!$C$6,기준정보!$C$8)+1),IF(ISNUMBER(SEARCH("한국",$U366)),MAX(0,MIN($L366,기준정보!$C$11)-MAX($L366-기준정보!$C$6,기준정보!$C$10)+1),0)))</f>
        <v>0</v>
      </c>
      <c r="N366" s="29" t="n">
        <f aca="false">IF($L366="","",$L366-기준정보!$C$6-$M366)</f>
        <v>46298</v>
      </c>
      <c r="O366" s="31" t="n">
        <f aca="false">IF($N366="","",$N366-기준정보!$C$4)</f>
        <v>56</v>
      </c>
      <c r="P366" s="28" t="s">
        <v>83</v>
      </c>
      <c r="Q366" s="28" t="s">
        <v>83</v>
      </c>
      <c r="R366" s="32"/>
      <c r="S366" s="27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T366" s="26" t="s">
        <v>258</v>
      </c>
      <c r="U366" s="26" t="s">
        <v>85</v>
      </c>
      <c r="V366" s="33" t="n">
        <v>0</v>
      </c>
      <c r="W366" s="27"/>
      <c r="X366" s="27" t="str">
        <f aca="false">IF($K366="","출고일 미정",IF($P366="X","작지 미발행",IF($P366="부분","작지 일부 미발행",IF(AND($R366&lt;&gt;"",$R366&gt;$N366),"소재입고 마감("&amp;TEXT($N366,"MM/DD")&amp;") 초과",IF($P366="","발행여부 확인 필요",IF($R366="","소재 입고일정 확인 필요","정상"))))))</f>
        <v>작지 미발행</v>
      </c>
      <c r="Y366" s="25" t="str">
        <f aca="false">IF($K366="","",IF(OR(LEFT($X366,2)="작지",LEFT($X366,4)="소재입고"),IF(LEFT($G366,1)="S","★ 납기위험(S코드)","◆ 지연주의"),IF($X366="정상","✓ 정상","? 확인필요")))</f>
        <v>◆ 지연주의</v>
      </c>
      <c r="Z366" s="28"/>
      <c r="AA366" s="34"/>
    </row>
    <row r="367" customFormat="false" ht="15" hidden="false" customHeight="false" outlineLevel="0" collapsed="false">
      <c r="A367" s="25" t="n">
        <v>363</v>
      </c>
      <c r="B367" s="26" t="s">
        <v>700</v>
      </c>
      <c r="C367" s="26" t="s">
        <v>495</v>
      </c>
      <c r="D367" s="27" t="s">
        <v>1115</v>
      </c>
      <c r="E367" s="26" t="s">
        <v>1116</v>
      </c>
      <c r="F367" s="27" t="s">
        <v>257</v>
      </c>
      <c r="G367" s="25" t="str">
        <f aca="false">IF($D367="","",IF(MID($D367,5,1)="S","S(봄)",IF(MID($D367,5,1)="M","M(여름)",IF(MID($D367,5,1)="X","X(사계절)",MID($D367,5,1)))))</f>
        <v>X(사계절)</v>
      </c>
      <c r="H367" s="26" t="s">
        <v>79</v>
      </c>
      <c r="I367" s="25"/>
      <c r="J367" s="28" t="s">
        <v>148</v>
      </c>
      <c r="K367" s="29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9" t="n">
        <f aca="false">IF($K367="","",IF(AND($K367-기준정보!$C$5&gt;=기준정보!$C$10,$K367-기준정보!$C$5&lt;=기준정보!$C$11),기준정보!$C$10-1,$K367-기준정보!$C$5))</f>
        <v>46388</v>
      </c>
      <c r="M367" s="30" t="n">
        <f aca="false">IF($L367="","",IF(OR(ISNUMBER(SEARCH("중국",$U367)),ISNUMBER(SEARCH("베트남",$U367))),MAX(0,MIN($L367,기준정보!$C$9)-MAX($L367-기준정보!$C$6,기준정보!$C$8)+1),IF(ISNUMBER(SEARCH("한국",$U367)),MAX(0,MIN($L367,기준정보!$C$11)-MAX($L367-기준정보!$C$6,기준정보!$C$10)+1),0)))</f>
        <v>0</v>
      </c>
      <c r="N367" s="29" t="n">
        <f aca="false">IF($L367="","",$L367-기준정보!$C$6-$M367)</f>
        <v>46298</v>
      </c>
      <c r="O367" s="31" t="n">
        <f aca="false">IF($N367="","",$N367-기준정보!$C$4)</f>
        <v>56</v>
      </c>
      <c r="P367" s="28" t="s">
        <v>83</v>
      </c>
      <c r="Q367" s="28" t="s">
        <v>83</v>
      </c>
      <c r="R367" s="32"/>
      <c r="S367" s="27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T367" s="26" t="s">
        <v>1117</v>
      </c>
      <c r="U367" s="26" t="s">
        <v>131</v>
      </c>
      <c r="V367" s="33" t="n">
        <v>800</v>
      </c>
      <c r="W367" s="27"/>
      <c r="X367" s="27" t="str">
        <f aca="false">IF($K367="","출고일 미정",IF($P367="X","작지 미발행",IF($P367="부분","작지 일부 미발행",IF(AND($R367&lt;&gt;"",$R367&gt;$N367),"소재입고 마감("&amp;TEXT($N367,"MM/DD")&amp;") 초과",IF($P367="","발행여부 확인 필요",IF($R367="","소재 입고일정 확인 필요","정상"))))))</f>
        <v>작지 미발행</v>
      </c>
      <c r="Y367" s="25" t="str">
        <f aca="false">IF($K367="","",IF(OR(LEFT($X367,2)="작지",LEFT($X367,4)="소재입고"),IF(LEFT($G367,1)="S","★ 납기위험(S코드)","◆ 지연주의"),IF($X367="정상","✓ 정상","? 확인필요")))</f>
        <v>◆ 지연주의</v>
      </c>
      <c r="Z367" s="28"/>
      <c r="AA367" s="34"/>
    </row>
    <row r="368" customFormat="false" ht="15" hidden="false" customHeight="false" outlineLevel="0" collapsed="false">
      <c r="A368" s="25" t="n">
        <v>364</v>
      </c>
      <c r="B368" s="26" t="s">
        <v>700</v>
      </c>
      <c r="C368" s="26" t="s">
        <v>495</v>
      </c>
      <c r="D368" s="27" t="s">
        <v>1118</v>
      </c>
      <c r="E368" s="26" t="s">
        <v>1119</v>
      </c>
      <c r="F368" s="27" t="s">
        <v>257</v>
      </c>
      <c r="G368" s="25" t="str">
        <f aca="false">IF($D368="","",IF(MID($D368,5,1)="S","S(봄)",IF(MID($D368,5,1)="M","M(여름)",IF(MID($D368,5,1)="X","X(사계절)",MID($D368,5,1)))))</f>
        <v>X(사계절)</v>
      </c>
      <c r="H368" s="26" t="s">
        <v>79</v>
      </c>
      <c r="I368" s="25"/>
      <c r="J368" s="28" t="s">
        <v>148</v>
      </c>
      <c r="K368" s="29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9" t="n">
        <f aca="false">IF($K368="","",IF(AND($K368-기준정보!$C$5&gt;=기준정보!$C$10,$K368-기준정보!$C$5&lt;=기준정보!$C$11),기준정보!$C$10-1,$K368-기준정보!$C$5))</f>
        <v>46388</v>
      </c>
      <c r="M368" s="30" t="n">
        <f aca="false">IF($L368="","",IF(OR(ISNUMBER(SEARCH("중국",$U368)),ISNUMBER(SEARCH("베트남",$U368))),MAX(0,MIN($L368,기준정보!$C$9)-MAX($L368-기준정보!$C$6,기준정보!$C$8)+1),IF(ISNUMBER(SEARCH("한국",$U368)),MAX(0,MIN($L368,기준정보!$C$11)-MAX($L368-기준정보!$C$6,기준정보!$C$10)+1),0)))</f>
        <v>0</v>
      </c>
      <c r="N368" s="29" t="n">
        <f aca="false">IF($L368="","",$L368-기준정보!$C$6-$M368)</f>
        <v>46298</v>
      </c>
      <c r="O368" s="31" t="n">
        <f aca="false">IF($N368="","",$N368-기준정보!$C$4)</f>
        <v>56</v>
      </c>
      <c r="P368" s="28" t="s">
        <v>83</v>
      </c>
      <c r="Q368" s="28" t="s">
        <v>83</v>
      </c>
      <c r="R368" s="32"/>
      <c r="S368" s="27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T368" s="26" t="s">
        <v>1117</v>
      </c>
      <c r="U368" s="26" t="s">
        <v>131</v>
      </c>
      <c r="V368" s="33" t="n">
        <v>1300</v>
      </c>
      <c r="W368" s="27"/>
      <c r="X368" s="27" t="str">
        <f aca="false">IF($K368="","출고일 미정",IF($P368="X","작지 미발행",IF($P368="부분","작지 일부 미발행",IF(AND($R368&lt;&gt;"",$R368&gt;$N368),"소재입고 마감("&amp;TEXT($N368,"MM/DD")&amp;") 초과",IF($P368="","발행여부 확인 필요",IF($R368="","소재 입고일정 확인 필요","정상"))))))</f>
        <v>작지 미발행</v>
      </c>
      <c r="Y368" s="25" t="str">
        <f aca="false">IF($K368="","",IF(OR(LEFT($X368,2)="작지",LEFT($X368,4)="소재입고"),IF(LEFT($G368,1)="S","★ 납기위험(S코드)","◆ 지연주의"),IF($X368="정상","✓ 정상","? 확인필요")))</f>
        <v>◆ 지연주의</v>
      </c>
      <c r="Z368" s="28"/>
      <c r="AA368" s="34"/>
    </row>
    <row r="369" customFormat="false" ht="15" hidden="false" customHeight="false" outlineLevel="0" collapsed="false">
      <c r="A369" s="25" t="n">
        <v>365</v>
      </c>
      <c r="B369" s="26" t="s">
        <v>700</v>
      </c>
      <c r="C369" s="26" t="s">
        <v>495</v>
      </c>
      <c r="D369" s="27" t="s">
        <v>1120</v>
      </c>
      <c r="E369" s="26" t="s">
        <v>1119</v>
      </c>
      <c r="F369" s="27" t="s">
        <v>1121</v>
      </c>
      <c r="G369" s="25" t="str">
        <f aca="false">IF($D369="","",IF(MID($D369,5,1)="S","S(봄)",IF(MID($D369,5,1)="M","M(여름)",IF(MID($D369,5,1)="X","X(사계절)",MID($D369,5,1)))))</f>
        <v>X(사계절)</v>
      </c>
      <c r="H369" s="26" t="s">
        <v>79</v>
      </c>
      <c r="I369" s="25"/>
      <c r="J369" s="28" t="s">
        <v>148</v>
      </c>
      <c r="K369" s="29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9" t="n">
        <f aca="false">IF($K369="","",IF(AND($K369-기준정보!$C$5&gt;=기준정보!$C$10,$K369-기준정보!$C$5&lt;=기준정보!$C$11),기준정보!$C$10-1,$K369-기준정보!$C$5))</f>
        <v>46388</v>
      </c>
      <c r="M369" s="30" t="n">
        <f aca="false">IF($L369="","",IF(OR(ISNUMBER(SEARCH("중국",$U369)),ISNUMBER(SEARCH("베트남",$U369))),MAX(0,MIN($L369,기준정보!$C$9)-MAX($L369-기준정보!$C$6,기준정보!$C$8)+1),IF(ISNUMBER(SEARCH("한국",$U369)),MAX(0,MIN($L369,기준정보!$C$11)-MAX($L369-기준정보!$C$6,기준정보!$C$10)+1),0)))</f>
        <v>0</v>
      </c>
      <c r="N369" s="29" t="n">
        <f aca="false">IF($L369="","",$L369-기준정보!$C$6-$M369)</f>
        <v>46298</v>
      </c>
      <c r="O369" s="31" t="n">
        <f aca="false">IF($N369="","",$N369-기준정보!$C$4)</f>
        <v>56</v>
      </c>
      <c r="P369" s="28" t="s">
        <v>83</v>
      </c>
      <c r="Q369" s="28" t="s">
        <v>83</v>
      </c>
      <c r="R369" s="32"/>
      <c r="S369" s="27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T369" s="26" t="s">
        <v>1117</v>
      </c>
      <c r="U369" s="26" t="s">
        <v>131</v>
      </c>
      <c r="V369" s="33" t="n">
        <v>8000</v>
      </c>
      <c r="W369" s="27"/>
      <c r="X369" s="27" t="str">
        <f aca="false">IF($K369="","출고일 미정",IF($P369="X","작지 미발행",IF($P369="부분","작지 일부 미발행",IF(AND($R369&lt;&gt;"",$R369&gt;$N369),"소재입고 마감("&amp;TEXT($N369,"MM/DD")&amp;") 초과",IF($P369="","발행여부 확인 필요",IF($R369="","소재 입고일정 확인 필요","정상"))))))</f>
        <v>작지 미발행</v>
      </c>
      <c r="Y369" s="25" t="str">
        <f aca="false">IF($K369="","",IF(OR(LEFT($X369,2)="작지",LEFT($X369,4)="소재입고"),IF(LEFT($G369,1)="S","★ 납기위험(S코드)","◆ 지연주의"),IF($X369="정상","✓ 정상","? 확인필요")))</f>
        <v>◆ 지연주의</v>
      </c>
      <c r="Z369" s="28"/>
      <c r="AA369" s="34"/>
    </row>
    <row r="370" customFormat="false" ht="15" hidden="false" customHeight="false" outlineLevel="0" collapsed="false">
      <c r="A370" s="25" t="n">
        <v>366</v>
      </c>
      <c r="B370" s="26" t="s">
        <v>700</v>
      </c>
      <c r="C370" s="26" t="s">
        <v>495</v>
      </c>
      <c r="D370" s="27" t="s">
        <v>1122</v>
      </c>
      <c r="E370" s="26" t="s">
        <v>1123</v>
      </c>
      <c r="F370" s="27" t="s">
        <v>257</v>
      </c>
      <c r="G370" s="25" t="str">
        <f aca="false">IF($D370="","",IF(MID($D370,5,1)="S","S(봄)",IF(MID($D370,5,1)="M","M(여름)",IF(MID($D370,5,1)="X","X(사계절)",MID($D370,5,1)))))</f>
        <v>X(사계절)</v>
      </c>
      <c r="H370" s="26" t="s">
        <v>79</v>
      </c>
      <c r="I370" s="25"/>
      <c r="J370" s="28" t="s">
        <v>148</v>
      </c>
      <c r="K370" s="29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9" t="n">
        <f aca="false">IF($K370="","",IF(AND($K370-기준정보!$C$5&gt;=기준정보!$C$10,$K370-기준정보!$C$5&lt;=기준정보!$C$11),기준정보!$C$10-1,$K370-기준정보!$C$5))</f>
        <v>46388</v>
      </c>
      <c r="M370" s="30" t="n">
        <f aca="false">IF($L370="","",IF(OR(ISNUMBER(SEARCH("중국",$U370)),ISNUMBER(SEARCH("베트남",$U370))),MAX(0,MIN($L370,기준정보!$C$9)-MAX($L370-기준정보!$C$6,기준정보!$C$8)+1),IF(ISNUMBER(SEARCH("한국",$U370)),MAX(0,MIN($L370,기준정보!$C$11)-MAX($L370-기준정보!$C$6,기준정보!$C$10)+1),0)))</f>
        <v>0</v>
      </c>
      <c r="N370" s="29" t="n">
        <f aca="false">IF($L370="","",$L370-기준정보!$C$6-$M370)</f>
        <v>46298</v>
      </c>
      <c r="O370" s="31" t="n">
        <f aca="false">IF($N370="","",$N370-기준정보!$C$4)</f>
        <v>56</v>
      </c>
      <c r="P370" s="28" t="s">
        <v>83</v>
      </c>
      <c r="Q370" s="28" t="s">
        <v>83</v>
      </c>
      <c r="R370" s="32"/>
      <c r="S370" s="27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T370" s="26" t="s">
        <v>1117</v>
      </c>
      <c r="U370" s="26" t="s">
        <v>131</v>
      </c>
      <c r="V370" s="33" t="n">
        <v>800</v>
      </c>
      <c r="W370" s="27"/>
      <c r="X370" s="27" t="str">
        <f aca="false">IF($K370="","출고일 미정",IF($P370="X","작지 미발행",IF($P370="부분","작지 일부 미발행",IF(AND($R370&lt;&gt;"",$R370&gt;$N370),"소재입고 마감("&amp;TEXT($N370,"MM/DD")&amp;") 초과",IF($P370="","발행여부 확인 필요",IF($R370="","소재 입고일정 확인 필요","정상"))))))</f>
        <v>작지 미발행</v>
      </c>
      <c r="Y370" s="25" t="str">
        <f aca="false">IF($K370="","",IF(OR(LEFT($X370,2)="작지",LEFT($X370,4)="소재입고"),IF(LEFT($G370,1)="S","★ 납기위험(S코드)","◆ 지연주의"),IF($X370="정상","✓ 정상","? 확인필요")))</f>
        <v>◆ 지연주의</v>
      </c>
      <c r="Z370" s="28"/>
      <c r="AA370" s="34"/>
    </row>
    <row r="371" customFormat="false" ht="15" hidden="false" customHeight="false" outlineLevel="0" collapsed="false">
      <c r="A371" s="25" t="n">
        <v>367</v>
      </c>
      <c r="B371" s="26" t="s">
        <v>204</v>
      </c>
      <c r="C371" s="26" t="s">
        <v>495</v>
      </c>
      <c r="D371" s="27" t="s">
        <v>1124</v>
      </c>
      <c r="E371" s="26" t="s">
        <v>1125</v>
      </c>
      <c r="F371" s="27" t="s">
        <v>238</v>
      </c>
      <c r="G371" s="25" t="str">
        <f aca="false">IF($D371="","",IF(MID($D371,5,1)="S","S(봄)",IF(MID($D371,5,1)="M","M(여름)",IF(MID($D371,5,1)="X","X(사계절)",MID($D371,5,1)))))</f>
        <v>X(사계절)</v>
      </c>
      <c r="H371" s="26" t="s">
        <v>79</v>
      </c>
      <c r="I371" s="25"/>
      <c r="J371" s="28" t="s">
        <v>148</v>
      </c>
      <c r="K371" s="29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9" t="n">
        <f aca="false">IF($K371="","",IF(AND($K371-기준정보!$C$5&gt;=기준정보!$C$10,$K371-기준정보!$C$5&lt;=기준정보!$C$11),기준정보!$C$10-1,$K371-기준정보!$C$5))</f>
        <v>46388</v>
      </c>
      <c r="M371" s="30" t="n">
        <f aca="false">IF($L371="","",IF(OR(ISNUMBER(SEARCH("중국",$U371)),ISNUMBER(SEARCH("베트남",$U371))),MAX(0,MIN($L371,기준정보!$C$9)-MAX($L371-기준정보!$C$6,기준정보!$C$8)+1),IF(ISNUMBER(SEARCH("한국",$U371)),MAX(0,MIN($L371,기준정보!$C$11)-MAX($L371-기준정보!$C$6,기준정보!$C$10)+1),0)))</f>
        <v>0</v>
      </c>
      <c r="N371" s="29" t="n">
        <f aca="false">IF($L371="","",$L371-기준정보!$C$6-$M371)</f>
        <v>46298</v>
      </c>
      <c r="O371" s="31" t="n">
        <f aca="false">IF($N371="","",$N371-기준정보!$C$4)</f>
        <v>56</v>
      </c>
      <c r="P371" s="28" t="s">
        <v>83</v>
      </c>
      <c r="Q371" s="28"/>
      <c r="R371" s="32"/>
      <c r="S371" s="27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T371" s="26" t="s">
        <v>499</v>
      </c>
      <c r="U371" s="26" t="s">
        <v>85</v>
      </c>
      <c r="V371" s="33" t="n">
        <v>3000</v>
      </c>
      <c r="W371" s="27"/>
      <c r="X371" s="27" t="str">
        <f aca="false">IF($K371="","출고일 미정",IF($P371="X","작지 미발행",IF($P371="부분","작지 일부 미발행",IF(AND($R371&lt;&gt;"",$R371&gt;$N371),"소재입고 마감("&amp;TEXT($N371,"MM/DD")&amp;") 초과",IF($P371="","발행여부 확인 필요",IF($R371="","소재 입고일정 확인 필요","정상"))))))</f>
        <v>작지 미발행</v>
      </c>
      <c r="Y371" s="25" t="str">
        <f aca="false">IF($K371="","",IF(OR(LEFT($X371,2)="작지",LEFT($X371,4)="소재입고"),IF(LEFT($G371,1)="S","★ 납기위험(S코드)","◆ 지연주의"),IF($X371="정상","✓ 정상","? 확인필요")))</f>
        <v>◆ 지연주의</v>
      </c>
      <c r="Z371" s="28"/>
      <c r="AA371" s="34"/>
    </row>
    <row r="372" customFormat="false" ht="15" hidden="false" customHeight="false" outlineLevel="0" collapsed="false">
      <c r="A372" s="25" t="n">
        <v>368</v>
      </c>
      <c r="B372" s="26" t="s">
        <v>700</v>
      </c>
      <c r="C372" s="26" t="s">
        <v>701</v>
      </c>
      <c r="D372" s="27" t="s">
        <v>1126</v>
      </c>
      <c r="E372" s="26" t="s">
        <v>1127</v>
      </c>
      <c r="F372" s="27" t="s">
        <v>1128</v>
      </c>
      <c r="G372" s="25" t="str">
        <f aca="false">IF($D372="","",IF(MID($D372,5,1)="S","S(봄)",IF(MID($D372,5,1)="M","M(여름)",IF(MID($D372,5,1)="X","X(사계절)",MID($D372,5,1)))))</f>
        <v>X(사계절)</v>
      </c>
      <c r="H372" s="26" t="s">
        <v>79</v>
      </c>
      <c r="I372" s="25"/>
      <c r="J372" s="28" t="s">
        <v>148</v>
      </c>
      <c r="K372" s="29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9" t="n">
        <f aca="false">IF($K372="","",IF(AND($K372-기준정보!$C$5&gt;=기준정보!$C$10,$K372-기준정보!$C$5&lt;=기준정보!$C$11),기준정보!$C$10-1,$K372-기준정보!$C$5))</f>
        <v>46388</v>
      </c>
      <c r="M372" s="30" t="n">
        <f aca="false">IF($L372="","",IF(OR(ISNUMBER(SEARCH("중국",$U372)),ISNUMBER(SEARCH("베트남",$U372))),MAX(0,MIN($L372,기준정보!$C$9)-MAX($L372-기준정보!$C$6,기준정보!$C$8)+1),IF(ISNUMBER(SEARCH("한국",$U372)),MAX(0,MIN($L372,기준정보!$C$11)-MAX($L372-기준정보!$C$6,기준정보!$C$10)+1),0)))</f>
        <v>0</v>
      </c>
      <c r="N372" s="29" t="n">
        <f aca="false">IF($L372="","",$L372-기준정보!$C$6-$M372)</f>
        <v>46298</v>
      </c>
      <c r="O372" s="31" t="n">
        <f aca="false">IF($N372="","",$N372-기준정보!$C$4)</f>
        <v>56</v>
      </c>
      <c r="P372" s="28" t="s">
        <v>83</v>
      </c>
      <c r="Q372" s="28" t="s">
        <v>83</v>
      </c>
      <c r="R372" s="32"/>
      <c r="S372" s="27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T372" s="26" t="s">
        <v>1129</v>
      </c>
      <c r="U372" s="26" t="s">
        <v>166</v>
      </c>
      <c r="V372" s="33" t="n">
        <v>1000</v>
      </c>
      <c r="W372" s="27"/>
      <c r="X372" s="27" t="str">
        <f aca="false">IF($K372="","출고일 미정",IF($P372="X","작지 미발행",IF($P372="부분","작지 일부 미발행",IF(AND($R372&lt;&gt;"",$R372&gt;$N372),"소재입고 마감("&amp;TEXT($N372,"MM/DD")&amp;") 초과",IF($P372="","발행여부 확인 필요",IF($R372="","소재 입고일정 확인 필요","정상"))))))</f>
        <v>작지 미발행</v>
      </c>
      <c r="Y372" s="25" t="str">
        <f aca="false">IF($K372="","",IF(OR(LEFT($X372,2)="작지",LEFT($X372,4)="소재입고"),IF(LEFT($G372,1)="S","★ 납기위험(S코드)","◆ 지연주의"),IF($X372="정상","✓ 정상","? 확인필요")))</f>
        <v>◆ 지연주의</v>
      </c>
      <c r="Z372" s="28"/>
      <c r="AA372" s="34"/>
    </row>
    <row r="373" customFormat="false" ht="15" hidden="false" customHeight="false" outlineLevel="0" collapsed="false">
      <c r="A373" s="25" t="n">
        <v>369</v>
      </c>
      <c r="B373" s="26" t="s">
        <v>700</v>
      </c>
      <c r="C373" s="26" t="s">
        <v>701</v>
      </c>
      <c r="D373" s="27" t="s">
        <v>1130</v>
      </c>
      <c r="E373" s="26" t="s">
        <v>1131</v>
      </c>
      <c r="F373" s="27" t="s">
        <v>1132</v>
      </c>
      <c r="G373" s="25" t="str">
        <f aca="false">IF($D373="","",IF(MID($D373,5,1)="S","S(봄)",IF(MID($D373,5,1)="M","M(여름)",IF(MID($D373,5,1)="X","X(사계절)",MID($D373,5,1)))))</f>
        <v>X(사계절)</v>
      </c>
      <c r="H373" s="26" t="s">
        <v>79</v>
      </c>
      <c r="I373" s="25"/>
      <c r="J373" s="28" t="s">
        <v>148</v>
      </c>
      <c r="K373" s="29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9" t="n">
        <f aca="false">IF($K373="","",IF(AND($K373-기준정보!$C$5&gt;=기준정보!$C$10,$K373-기준정보!$C$5&lt;=기준정보!$C$11),기준정보!$C$10-1,$K373-기준정보!$C$5))</f>
        <v>46388</v>
      </c>
      <c r="M373" s="30" t="n">
        <f aca="false">IF($L373="","",IF(OR(ISNUMBER(SEARCH("중국",$U373)),ISNUMBER(SEARCH("베트남",$U373))),MAX(0,MIN($L373,기준정보!$C$9)-MAX($L373-기준정보!$C$6,기준정보!$C$8)+1),IF(ISNUMBER(SEARCH("한국",$U373)),MAX(0,MIN($L373,기준정보!$C$11)-MAX($L373-기준정보!$C$6,기준정보!$C$10)+1),0)))</f>
        <v>0</v>
      </c>
      <c r="N373" s="29" t="n">
        <f aca="false">IF($L373="","",$L373-기준정보!$C$6-$M373)</f>
        <v>46298</v>
      </c>
      <c r="O373" s="31" t="n">
        <f aca="false">IF($N373="","",$N373-기준정보!$C$4)</f>
        <v>56</v>
      </c>
      <c r="P373" s="28" t="s">
        <v>83</v>
      </c>
      <c r="Q373" s="28" t="s">
        <v>83</v>
      </c>
      <c r="R373" s="32"/>
      <c r="S373" s="27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T373" s="26" t="s">
        <v>1129</v>
      </c>
      <c r="U373" s="26" t="s">
        <v>166</v>
      </c>
      <c r="V373" s="33" t="n">
        <v>4000</v>
      </c>
      <c r="W373" s="27"/>
      <c r="X373" s="27" t="str">
        <f aca="false">IF($K373="","출고일 미정",IF($P373="X","작지 미발행",IF($P373="부분","작지 일부 미발행",IF(AND($R373&lt;&gt;"",$R373&gt;$N373),"소재입고 마감("&amp;TEXT($N373,"MM/DD")&amp;") 초과",IF($P373="","발행여부 확인 필요",IF($R373="","소재 입고일정 확인 필요","정상"))))))</f>
        <v>작지 미발행</v>
      </c>
      <c r="Y373" s="25" t="str">
        <f aca="false">IF($K373="","",IF(OR(LEFT($X373,2)="작지",LEFT($X373,4)="소재입고"),IF(LEFT($G373,1)="S","★ 납기위험(S코드)","◆ 지연주의"),IF($X373="정상","✓ 정상","? 확인필요")))</f>
        <v>◆ 지연주의</v>
      </c>
      <c r="Z373" s="28"/>
      <c r="AA373" s="34"/>
    </row>
    <row r="374" customFormat="false" ht="15" hidden="false" customHeight="false" outlineLevel="0" collapsed="false">
      <c r="A374" s="25" t="n">
        <v>370</v>
      </c>
      <c r="B374" s="26" t="s">
        <v>700</v>
      </c>
      <c r="C374" s="26" t="s">
        <v>701</v>
      </c>
      <c r="D374" s="27" t="s">
        <v>1133</v>
      </c>
      <c r="E374" s="26" t="s">
        <v>1134</v>
      </c>
      <c r="F374" s="27" t="s">
        <v>1135</v>
      </c>
      <c r="G374" s="25" t="str">
        <f aca="false">IF($D374="","",IF(MID($D374,5,1)="S","S(봄)",IF(MID($D374,5,1)="M","M(여름)",IF(MID($D374,5,1)="X","X(사계절)",MID($D374,5,1)))))</f>
        <v>X(사계절)</v>
      </c>
      <c r="H374" s="26" t="s">
        <v>79</v>
      </c>
      <c r="I374" s="25"/>
      <c r="J374" s="28" t="s">
        <v>148</v>
      </c>
      <c r="K374" s="29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9" t="n">
        <f aca="false">IF($K374="","",IF(AND($K374-기준정보!$C$5&gt;=기준정보!$C$10,$K374-기준정보!$C$5&lt;=기준정보!$C$11),기준정보!$C$10-1,$K374-기준정보!$C$5))</f>
        <v>46388</v>
      </c>
      <c r="M374" s="30" t="n">
        <f aca="false">IF($L374="","",IF(OR(ISNUMBER(SEARCH("중국",$U374)),ISNUMBER(SEARCH("베트남",$U374))),MAX(0,MIN($L374,기준정보!$C$9)-MAX($L374-기준정보!$C$6,기준정보!$C$8)+1),IF(ISNUMBER(SEARCH("한국",$U374)),MAX(0,MIN($L374,기준정보!$C$11)-MAX($L374-기준정보!$C$6,기준정보!$C$10)+1),0)))</f>
        <v>0</v>
      </c>
      <c r="N374" s="29" t="n">
        <f aca="false">IF($L374="","",$L374-기준정보!$C$6-$M374)</f>
        <v>46298</v>
      </c>
      <c r="O374" s="31" t="n">
        <f aca="false">IF($N374="","",$N374-기준정보!$C$4)</f>
        <v>56</v>
      </c>
      <c r="P374" s="28" t="s">
        <v>83</v>
      </c>
      <c r="Q374" s="28" t="s">
        <v>83</v>
      </c>
      <c r="R374" s="32"/>
      <c r="S374" s="27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T374" s="26" t="s">
        <v>1129</v>
      </c>
      <c r="U374" s="26" t="s">
        <v>166</v>
      </c>
      <c r="V374" s="33" t="n">
        <v>1500</v>
      </c>
      <c r="W374" s="27"/>
      <c r="X374" s="27" t="str">
        <f aca="false">IF($K374="","출고일 미정",IF($P374="X","작지 미발행",IF($P374="부분","작지 일부 미발행",IF(AND($R374&lt;&gt;"",$R374&gt;$N374),"소재입고 마감("&amp;TEXT($N374,"MM/DD")&amp;") 초과",IF($P374="","발행여부 확인 필요",IF($R374="","소재 입고일정 확인 필요","정상"))))))</f>
        <v>작지 미발행</v>
      </c>
      <c r="Y374" s="25" t="str">
        <f aca="false">IF($K374="","",IF(OR(LEFT($X374,2)="작지",LEFT($X374,4)="소재입고"),IF(LEFT($G374,1)="S","★ 납기위험(S코드)","◆ 지연주의"),IF($X374="정상","✓ 정상","? 확인필요")))</f>
        <v>◆ 지연주의</v>
      </c>
      <c r="Z374" s="28"/>
      <c r="AA374" s="34"/>
    </row>
    <row r="375" customFormat="false" ht="15" hidden="false" customHeight="false" outlineLevel="0" collapsed="false">
      <c r="A375" s="25" t="n">
        <v>371</v>
      </c>
      <c r="B375" s="26" t="s">
        <v>700</v>
      </c>
      <c r="C375" s="26" t="s">
        <v>701</v>
      </c>
      <c r="D375" s="27" t="s">
        <v>1136</v>
      </c>
      <c r="E375" s="26" t="s">
        <v>1137</v>
      </c>
      <c r="F375" s="27" t="s">
        <v>1138</v>
      </c>
      <c r="G375" s="25" t="str">
        <f aca="false">IF($D375="","",IF(MID($D375,5,1)="S","S(봄)",IF(MID($D375,5,1)="M","M(여름)",IF(MID($D375,5,1)="X","X(사계절)",MID($D375,5,1)))))</f>
        <v>X(사계절)</v>
      </c>
      <c r="H375" s="26" t="s">
        <v>79</v>
      </c>
      <c r="I375" s="25"/>
      <c r="J375" s="28" t="s">
        <v>148</v>
      </c>
      <c r="K375" s="29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9" t="n">
        <f aca="false">IF($K375="","",IF(AND($K375-기준정보!$C$5&gt;=기준정보!$C$10,$K375-기준정보!$C$5&lt;=기준정보!$C$11),기준정보!$C$10-1,$K375-기준정보!$C$5))</f>
        <v>46388</v>
      </c>
      <c r="M375" s="30" t="n">
        <f aca="false">IF($L375="","",IF(OR(ISNUMBER(SEARCH("중국",$U375)),ISNUMBER(SEARCH("베트남",$U375))),MAX(0,MIN($L375,기준정보!$C$9)-MAX($L375-기준정보!$C$6,기준정보!$C$8)+1),IF(ISNUMBER(SEARCH("한국",$U375)),MAX(0,MIN($L375,기준정보!$C$11)-MAX($L375-기준정보!$C$6,기준정보!$C$10)+1),0)))</f>
        <v>0</v>
      </c>
      <c r="N375" s="29" t="n">
        <f aca="false">IF($L375="","",$L375-기준정보!$C$6-$M375)</f>
        <v>46298</v>
      </c>
      <c r="O375" s="31" t="n">
        <f aca="false">IF($N375="","",$N375-기준정보!$C$4)</f>
        <v>56</v>
      </c>
      <c r="P375" s="28" t="s">
        <v>83</v>
      </c>
      <c r="Q375" s="28" t="s">
        <v>83</v>
      </c>
      <c r="R375" s="32"/>
      <c r="S375" s="27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T375" s="26" t="s">
        <v>1129</v>
      </c>
      <c r="U375" s="26" t="s">
        <v>166</v>
      </c>
      <c r="V375" s="33" t="n">
        <v>1600</v>
      </c>
      <c r="W375" s="27"/>
      <c r="X375" s="27" t="str">
        <f aca="false">IF($K375="","출고일 미정",IF($P375="X","작지 미발행",IF($P375="부분","작지 일부 미발행",IF(AND($R375&lt;&gt;"",$R375&gt;$N375),"소재입고 마감("&amp;TEXT($N375,"MM/DD")&amp;") 초과",IF($P375="","발행여부 확인 필요",IF($R375="","소재 입고일정 확인 필요","정상"))))))</f>
        <v>작지 미발행</v>
      </c>
      <c r="Y375" s="25" t="str">
        <f aca="false">IF($K375="","",IF(OR(LEFT($X375,2)="작지",LEFT($X375,4)="소재입고"),IF(LEFT($G375,1)="S","★ 납기위험(S코드)","◆ 지연주의"),IF($X375="정상","✓ 정상","? 확인필요")))</f>
        <v>◆ 지연주의</v>
      </c>
      <c r="Z375" s="28"/>
      <c r="AA375" s="34"/>
    </row>
    <row r="376" customFormat="false" ht="15" hidden="false" customHeight="false" outlineLevel="0" collapsed="false">
      <c r="A376" s="25" t="n">
        <v>372</v>
      </c>
      <c r="B376" s="26" t="s">
        <v>700</v>
      </c>
      <c r="C376" s="26" t="s">
        <v>701</v>
      </c>
      <c r="D376" s="27" t="s">
        <v>1139</v>
      </c>
      <c r="E376" s="26" t="s">
        <v>1140</v>
      </c>
      <c r="F376" s="27" t="s">
        <v>1141</v>
      </c>
      <c r="G376" s="25" t="str">
        <f aca="false">IF($D376="","",IF(MID($D376,5,1)="S","S(봄)",IF(MID($D376,5,1)="M","M(여름)",IF(MID($D376,5,1)="X","X(사계절)",MID($D376,5,1)))))</f>
        <v>X(사계절)</v>
      </c>
      <c r="H376" s="26" t="s">
        <v>79</v>
      </c>
      <c r="I376" s="25"/>
      <c r="J376" s="28" t="s">
        <v>148</v>
      </c>
      <c r="K376" s="29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9" t="n">
        <f aca="false">IF($K376="","",IF(AND($K376-기준정보!$C$5&gt;=기준정보!$C$10,$K376-기준정보!$C$5&lt;=기준정보!$C$11),기준정보!$C$10-1,$K376-기준정보!$C$5))</f>
        <v>46388</v>
      </c>
      <c r="M376" s="30" t="n">
        <f aca="false">IF($L376="","",IF(OR(ISNUMBER(SEARCH("중국",$U376)),ISNUMBER(SEARCH("베트남",$U376))),MAX(0,MIN($L376,기준정보!$C$9)-MAX($L376-기준정보!$C$6,기준정보!$C$8)+1),IF(ISNUMBER(SEARCH("한국",$U376)),MAX(0,MIN($L376,기준정보!$C$11)-MAX($L376-기준정보!$C$6,기준정보!$C$10)+1),0)))</f>
        <v>0</v>
      </c>
      <c r="N376" s="29" t="n">
        <f aca="false">IF($L376="","",$L376-기준정보!$C$6-$M376)</f>
        <v>46298</v>
      </c>
      <c r="O376" s="31" t="n">
        <f aca="false">IF($N376="","",$N376-기준정보!$C$4)</f>
        <v>56</v>
      </c>
      <c r="P376" s="28" t="s">
        <v>83</v>
      </c>
      <c r="Q376" s="28" t="s">
        <v>83</v>
      </c>
      <c r="R376" s="32"/>
      <c r="S376" s="27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T376" s="26" t="s">
        <v>165</v>
      </c>
      <c r="U376" s="26" t="s">
        <v>166</v>
      </c>
      <c r="V376" s="33" t="n">
        <v>2000</v>
      </c>
      <c r="W376" s="27"/>
      <c r="X376" s="27" t="str">
        <f aca="false">IF($K376="","출고일 미정",IF($P376="X","작지 미발행",IF($P376="부분","작지 일부 미발행",IF(AND($R376&lt;&gt;"",$R376&gt;$N376),"소재입고 마감("&amp;TEXT($N376,"MM/DD")&amp;") 초과",IF($P376="","발행여부 확인 필요",IF($R376="","소재 입고일정 확인 필요","정상"))))))</f>
        <v>작지 미발행</v>
      </c>
      <c r="Y376" s="25" t="str">
        <f aca="false">IF($K376="","",IF(OR(LEFT($X376,2)="작지",LEFT($X376,4)="소재입고"),IF(LEFT($G376,1)="S","★ 납기위험(S코드)","◆ 지연주의"),IF($X376="정상","✓ 정상","? 확인필요")))</f>
        <v>◆ 지연주의</v>
      </c>
      <c r="Z376" s="28"/>
      <c r="AA376" s="34"/>
    </row>
    <row r="377" customFormat="false" ht="15" hidden="false" customHeight="false" outlineLevel="0" collapsed="false">
      <c r="A377" s="25" t="n">
        <v>373</v>
      </c>
      <c r="B377" s="26" t="s">
        <v>700</v>
      </c>
      <c r="C377" s="26" t="s">
        <v>701</v>
      </c>
      <c r="D377" s="27" t="s">
        <v>1142</v>
      </c>
      <c r="E377" s="26" t="s">
        <v>1143</v>
      </c>
      <c r="F377" s="27" t="s">
        <v>1144</v>
      </c>
      <c r="G377" s="25" t="str">
        <f aca="false">IF($D377="","",IF(MID($D377,5,1)="S","S(봄)",IF(MID($D377,5,1)="M","M(여름)",IF(MID($D377,5,1)="X","X(사계절)",MID($D377,5,1)))))</f>
        <v>X(사계절)</v>
      </c>
      <c r="H377" s="27" t="s">
        <v>209</v>
      </c>
      <c r="I377" s="25" t="s">
        <v>228</v>
      </c>
      <c r="J377" s="28" t="s">
        <v>148</v>
      </c>
      <c r="K377" s="29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9" t="n">
        <f aca="false">IF($K377="","",IF(AND($K377-기준정보!$C$5&gt;=기준정보!$C$10,$K377-기준정보!$C$5&lt;=기준정보!$C$11),기준정보!$C$10-1,$K377-기준정보!$C$5))</f>
        <v>46388</v>
      </c>
      <c r="M377" s="30" t="n">
        <f aca="false">IF($L377="","",IF(OR(ISNUMBER(SEARCH("중국",$U377)),ISNUMBER(SEARCH("베트남",$U377))),MAX(0,MIN($L377,기준정보!$C$9)-MAX($L377-기준정보!$C$6,기준정보!$C$8)+1),IF(ISNUMBER(SEARCH("한국",$U377)),MAX(0,MIN($L377,기준정보!$C$11)-MAX($L377-기준정보!$C$6,기준정보!$C$10)+1),0)))</f>
        <v>0</v>
      </c>
      <c r="N377" s="29" t="n">
        <f aca="false">IF($L377="","",$L377-기준정보!$C$6-$M377)</f>
        <v>46298</v>
      </c>
      <c r="O377" s="31" t="n">
        <f aca="false">IF($N377="","",$N377-기준정보!$C$4)</f>
        <v>56</v>
      </c>
      <c r="P377" s="28" t="s">
        <v>83</v>
      </c>
      <c r="Q377" s="28" t="s">
        <v>82</v>
      </c>
      <c r="R377" s="32"/>
      <c r="S377" s="27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T377" s="26" t="s">
        <v>704</v>
      </c>
      <c r="U377" s="26" t="s">
        <v>166</v>
      </c>
      <c r="V377" s="33" t="n">
        <v>7000</v>
      </c>
      <c r="W377" s="27"/>
      <c r="X377" s="27" t="str">
        <f aca="false">IF($K377="","출고일 미정",IF($P377="X","작지 미발행",IF($P377="부분","작지 일부 미발행",IF(AND($R377&lt;&gt;"",$R377&gt;$N377),"소재입고 마감("&amp;TEXT($N377,"MM/DD")&amp;") 초과",IF($P377="","발행여부 확인 필요",IF($R377="","소재 입고일정 확인 필요","정상"))))))</f>
        <v>작지 미발행</v>
      </c>
      <c r="Y377" s="25" t="str">
        <f aca="false">IF($K377="","",IF(OR(LEFT($X377,2)="작지",LEFT($X377,4)="소재입고"),IF(LEFT($G377,1)="S","★ 납기위험(S코드)","◆ 지연주의"),IF($X377="정상","✓ 정상","? 확인필요")))</f>
        <v>◆ 지연주의</v>
      </c>
      <c r="Z377" s="28"/>
      <c r="AA377" s="34"/>
    </row>
    <row r="378" customFormat="false" ht="15" hidden="false" customHeight="false" outlineLevel="0" collapsed="false">
      <c r="A378" s="25" t="n">
        <v>374</v>
      </c>
      <c r="B378" s="26" t="s">
        <v>700</v>
      </c>
      <c r="C378" s="26" t="s">
        <v>701</v>
      </c>
      <c r="D378" s="27" t="s">
        <v>1145</v>
      </c>
      <c r="E378" s="26" t="s">
        <v>1146</v>
      </c>
      <c r="F378" s="27" t="s">
        <v>1147</v>
      </c>
      <c r="G378" s="25" t="str">
        <f aca="false">IF($D378="","",IF(MID($D378,5,1)="S","S(봄)",IF(MID($D378,5,1)="M","M(여름)",IF(MID($D378,5,1)="X","X(사계절)",MID($D378,5,1)))))</f>
        <v>X(사계절)</v>
      </c>
      <c r="H378" s="27" t="s">
        <v>209</v>
      </c>
      <c r="I378" s="25" t="s">
        <v>228</v>
      </c>
      <c r="J378" s="28" t="s">
        <v>148</v>
      </c>
      <c r="K378" s="29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9" t="n">
        <f aca="false">IF($K378="","",IF(AND($K378-기준정보!$C$5&gt;=기준정보!$C$10,$K378-기준정보!$C$5&lt;=기준정보!$C$11),기준정보!$C$10-1,$K378-기준정보!$C$5))</f>
        <v>46388</v>
      </c>
      <c r="M378" s="30" t="n">
        <f aca="false">IF($L378="","",IF(OR(ISNUMBER(SEARCH("중국",$U378)),ISNUMBER(SEARCH("베트남",$U378))),MAX(0,MIN($L378,기준정보!$C$9)-MAX($L378-기준정보!$C$6,기준정보!$C$8)+1),IF(ISNUMBER(SEARCH("한국",$U378)),MAX(0,MIN($L378,기준정보!$C$11)-MAX($L378-기준정보!$C$6,기준정보!$C$10)+1),0)))</f>
        <v>0</v>
      </c>
      <c r="N378" s="29" t="n">
        <f aca="false">IF($L378="","",$L378-기준정보!$C$6-$M378)</f>
        <v>46298</v>
      </c>
      <c r="O378" s="31" t="n">
        <f aca="false">IF($N378="","",$N378-기준정보!$C$4)</f>
        <v>56</v>
      </c>
      <c r="P378" s="28" t="s">
        <v>83</v>
      </c>
      <c r="Q378" s="28" t="s">
        <v>82</v>
      </c>
      <c r="R378" s="32"/>
      <c r="S378" s="27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T378" s="26" t="s">
        <v>704</v>
      </c>
      <c r="U378" s="26" t="s">
        <v>166</v>
      </c>
      <c r="V378" s="33" t="n">
        <v>6000</v>
      </c>
      <c r="W378" s="27"/>
      <c r="X378" s="27" t="str">
        <f aca="false">IF($K378="","출고일 미정",IF($P378="X","작지 미발행",IF($P378="부분","작지 일부 미발행",IF(AND($R378&lt;&gt;"",$R378&gt;$N378),"소재입고 마감("&amp;TEXT($N378,"MM/DD")&amp;") 초과",IF($P378="","발행여부 확인 필요",IF($R378="","소재 입고일정 확인 필요","정상"))))))</f>
        <v>작지 미발행</v>
      </c>
      <c r="Y378" s="25" t="str">
        <f aca="false">IF($K378="","",IF(OR(LEFT($X378,2)="작지",LEFT($X378,4)="소재입고"),IF(LEFT($G378,1)="S","★ 납기위험(S코드)","◆ 지연주의"),IF($X378="정상","✓ 정상","? 확인필요")))</f>
        <v>◆ 지연주의</v>
      </c>
      <c r="Z378" s="28"/>
      <c r="AA378" s="34"/>
    </row>
    <row r="379" customFormat="false" ht="15" hidden="false" customHeight="false" outlineLevel="0" collapsed="false">
      <c r="A379" s="25" t="n">
        <v>375</v>
      </c>
      <c r="B379" s="26" t="s">
        <v>700</v>
      </c>
      <c r="C379" s="26" t="s">
        <v>701</v>
      </c>
      <c r="D379" s="27" t="s">
        <v>1148</v>
      </c>
      <c r="E379" s="26" t="s">
        <v>1149</v>
      </c>
      <c r="F379" s="27" t="s">
        <v>1150</v>
      </c>
      <c r="G379" s="25" t="str">
        <f aca="false">IF($D379="","",IF(MID($D379,5,1)="S","S(봄)",IF(MID($D379,5,1)="M","M(여름)",IF(MID($D379,5,1)="X","X(사계절)",MID($D379,5,1)))))</f>
        <v>X(사계절)</v>
      </c>
      <c r="H379" s="27" t="s">
        <v>209</v>
      </c>
      <c r="I379" s="25" t="s">
        <v>228</v>
      </c>
      <c r="J379" s="28" t="s">
        <v>148</v>
      </c>
      <c r="K379" s="29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9" t="n">
        <f aca="false">IF($K379="","",IF(AND($K379-기준정보!$C$5&gt;=기준정보!$C$10,$K379-기준정보!$C$5&lt;=기준정보!$C$11),기준정보!$C$10-1,$K379-기준정보!$C$5))</f>
        <v>46388</v>
      </c>
      <c r="M379" s="30" t="n">
        <f aca="false">IF($L379="","",IF(OR(ISNUMBER(SEARCH("중국",$U379)),ISNUMBER(SEARCH("베트남",$U379))),MAX(0,MIN($L379,기준정보!$C$9)-MAX($L379-기준정보!$C$6,기준정보!$C$8)+1),IF(ISNUMBER(SEARCH("한국",$U379)),MAX(0,MIN($L379,기준정보!$C$11)-MAX($L379-기준정보!$C$6,기준정보!$C$10)+1),0)))</f>
        <v>0</v>
      </c>
      <c r="N379" s="29" t="n">
        <f aca="false">IF($L379="","",$L379-기준정보!$C$6-$M379)</f>
        <v>46298</v>
      </c>
      <c r="O379" s="31" t="n">
        <f aca="false">IF($N379="","",$N379-기준정보!$C$4)</f>
        <v>56</v>
      </c>
      <c r="P379" s="28" t="s">
        <v>83</v>
      </c>
      <c r="Q379" s="28" t="s">
        <v>82</v>
      </c>
      <c r="R379" s="32"/>
      <c r="S379" s="27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T379" s="26" t="s">
        <v>704</v>
      </c>
      <c r="U379" s="26" t="s">
        <v>166</v>
      </c>
      <c r="V379" s="33" t="n">
        <v>10000</v>
      </c>
      <c r="W379" s="27"/>
      <c r="X379" s="27" t="str">
        <f aca="false">IF($K379="","출고일 미정",IF($P379="X","작지 미발행",IF($P379="부분","작지 일부 미발행",IF(AND($R379&lt;&gt;"",$R379&gt;$N379),"소재입고 마감("&amp;TEXT($N379,"MM/DD")&amp;") 초과",IF($P379="","발행여부 확인 필요",IF($R379="","소재 입고일정 확인 필요","정상"))))))</f>
        <v>작지 미발행</v>
      </c>
      <c r="Y379" s="25" t="str">
        <f aca="false">IF($K379="","",IF(OR(LEFT($X379,2)="작지",LEFT($X379,4)="소재입고"),IF(LEFT($G379,1)="S","★ 납기위험(S코드)","◆ 지연주의"),IF($X379="정상","✓ 정상","? 확인필요")))</f>
        <v>◆ 지연주의</v>
      </c>
      <c r="Z379" s="28"/>
      <c r="AA379" s="34"/>
    </row>
    <row r="380" customFormat="false" ht="15" hidden="false" customHeight="false" outlineLevel="0" collapsed="false">
      <c r="A380" s="25" t="n">
        <v>376</v>
      </c>
      <c r="B380" s="26" t="s">
        <v>700</v>
      </c>
      <c r="C380" s="26" t="s">
        <v>701</v>
      </c>
      <c r="D380" s="27" t="s">
        <v>1151</v>
      </c>
      <c r="E380" s="26" t="s">
        <v>1152</v>
      </c>
      <c r="F380" s="27" t="s">
        <v>1153</v>
      </c>
      <c r="G380" s="25" t="str">
        <f aca="false">IF($D380="","",IF(MID($D380,5,1)="S","S(봄)",IF(MID($D380,5,1)="M","M(여름)",IF(MID($D380,5,1)="X","X(사계절)",MID($D380,5,1)))))</f>
        <v>X(사계절)</v>
      </c>
      <c r="H380" s="27" t="s">
        <v>209</v>
      </c>
      <c r="I380" s="25" t="s">
        <v>228</v>
      </c>
      <c r="J380" s="28" t="s">
        <v>148</v>
      </c>
      <c r="K380" s="29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9" t="n">
        <f aca="false">IF($K380="","",IF(AND($K380-기준정보!$C$5&gt;=기준정보!$C$10,$K380-기준정보!$C$5&lt;=기준정보!$C$11),기준정보!$C$10-1,$K380-기준정보!$C$5))</f>
        <v>46388</v>
      </c>
      <c r="M380" s="30" t="n">
        <f aca="false">IF($L380="","",IF(OR(ISNUMBER(SEARCH("중국",$U380)),ISNUMBER(SEARCH("베트남",$U380))),MAX(0,MIN($L380,기준정보!$C$9)-MAX($L380-기준정보!$C$6,기준정보!$C$8)+1),IF(ISNUMBER(SEARCH("한국",$U380)),MAX(0,MIN($L380,기준정보!$C$11)-MAX($L380-기준정보!$C$6,기준정보!$C$10)+1),0)))</f>
        <v>0</v>
      </c>
      <c r="N380" s="29" t="n">
        <f aca="false">IF($L380="","",$L380-기준정보!$C$6-$M380)</f>
        <v>46298</v>
      </c>
      <c r="O380" s="31" t="n">
        <f aca="false">IF($N380="","",$N380-기준정보!$C$4)</f>
        <v>56</v>
      </c>
      <c r="P380" s="28" t="s">
        <v>83</v>
      </c>
      <c r="Q380" s="28" t="s">
        <v>82</v>
      </c>
      <c r="R380" s="32"/>
      <c r="S380" s="27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T380" s="26" t="s">
        <v>704</v>
      </c>
      <c r="U380" s="26" t="s">
        <v>166</v>
      </c>
      <c r="V380" s="33" t="n">
        <v>5500</v>
      </c>
      <c r="W380" s="27"/>
      <c r="X380" s="27" t="str">
        <f aca="false">IF($K380="","출고일 미정",IF($P380="X","작지 미발행",IF($P380="부분","작지 일부 미발행",IF(AND($R380&lt;&gt;"",$R380&gt;$N380),"소재입고 마감("&amp;TEXT($N380,"MM/DD")&amp;") 초과",IF($P380="","발행여부 확인 필요",IF($R380="","소재 입고일정 확인 필요","정상"))))))</f>
        <v>작지 미발행</v>
      </c>
      <c r="Y380" s="25" t="str">
        <f aca="false">IF($K380="","",IF(OR(LEFT($X380,2)="작지",LEFT($X380,4)="소재입고"),IF(LEFT($G380,1)="S","★ 납기위험(S코드)","◆ 지연주의"),IF($X380="정상","✓ 정상","? 확인필요")))</f>
        <v>◆ 지연주의</v>
      </c>
      <c r="Z380" s="28"/>
      <c r="AA380" s="34"/>
    </row>
    <row r="381" customFormat="false" ht="15" hidden="false" customHeight="false" outlineLevel="0" collapsed="false">
      <c r="A381" s="25" t="n">
        <v>377</v>
      </c>
      <c r="B381" s="26" t="s">
        <v>224</v>
      </c>
      <c r="C381" s="26" t="s">
        <v>495</v>
      </c>
      <c r="D381" s="27" t="s">
        <v>1154</v>
      </c>
      <c r="E381" s="26" t="s">
        <v>1155</v>
      </c>
      <c r="F381" s="27" t="s">
        <v>160</v>
      </c>
      <c r="G381" s="25" t="str">
        <f aca="false">IF($D381="","",IF(MID($D381,5,1)="S","S(봄)",IF(MID($D381,5,1)="M","M(여름)",IF(MID($D381,5,1)="X","X(사계절)",MID($D381,5,1)))))</f>
        <v>X(사계절)</v>
      </c>
      <c r="H381" s="26" t="s">
        <v>79</v>
      </c>
      <c r="I381" s="25"/>
      <c r="J381" s="28" t="s">
        <v>308</v>
      </c>
      <c r="K381" s="29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9" t="n">
        <f aca="false">IF($K381="","",IF(AND($K381-기준정보!$C$5&gt;=기준정보!$C$10,$K381-기준정보!$C$5&lt;=기준정보!$C$11),기준정보!$C$10-1,$K381-기준정보!$C$5))</f>
        <v>46395</v>
      </c>
      <c r="M381" s="30" t="n">
        <f aca="false">IF($L381="","",IF(OR(ISNUMBER(SEARCH("중국",$U381)),ISNUMBER(SEARCH("베트남",$U381))),MAX(0,MIN($L381,기준정보!$C$9)-MAX($L381-기준정보!$C$6,기준정보!$C$8)+1),IF(ISNUMBER(SEARCH("한국",$U381)),MAX(0,MIN($L381,기준정보!$C$11)-MAX($L381-기준정보!$C$6,기준정보!$C$10)+1),0)))</f>
        <v>0</v>
      </c>
      <c r="N381" s="29" t="n">
        <f aca="false">IF($L381="","",$L381-기준정보!$C$6-$M381)</f>
        <v>46305</v>
      </c>
      <c r="O381" s="31" t="n">
        <f aca="false">IF($N381="","",$N381-기준정보!$C$4)</f>
        <v>63</v>
      </c>
      <c r="P381" s="28" t="s">
        <v>83</v>
      </c>
      <c r="Q381" s="28" t="s">
        <v>82</v>
      </c>
      <c r="R381" s="32"/>
      <c r="S381" s="27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T381" s="26" t="s">
        <v>1156</v>
      </c>
      <c r="U381" s="26" t="s">
        <v>85</v>
      </c>
      <c r="V381" s="33" t="n">
        <v>440</v>
      </c>
      <c r="W381" s="27" t="s">
        <v>308</v>
      </c>
      <c r="X381" s="27" t="str">
        <f aca="false">IF($K381="","출고일 미정",IF($P381="X","작지 미발행",IF($P381="부분","작지 일부 미발행",IF(AND($R381&lt;&gt;"",$R381&gt;$N381),"소재입고 마감("&amp;TEXT($N381,"MM/DD")&amp;") 초과",IF($P381="","발행여부 확인 필요",IF($R381="","소재 입고일정 확인 필요","정상"))))))</f>
        <v>작지 미발행</v>
      </c>
      <c r="Y381" s="25" t="str">
        <f aca="false">IF($K381="","",IF(OR(LEFT($X381,2)="작지",LEFT($X381,4)="소재입고"),IF(LEFT($G381,1)="S","★ 납기위험(S코드)","◆ 지연주의"),IF($X381="정상","✓ 정상","? 확인필요")))</f>
        <v>◆ 지연주의</v>
      </c>
      <c r="Z381" s="28"/>
      <c r="AA381" s="34"/>
    </row>
    <row r="382" customFormat="false" ht="15" hidden="false" customHeight="false" outlineLevel="0" collapsed="false">
      <c r="A382" s="25" t="n">
        <v>378</v>
      </c>
      <c r="B382" s="26" t="s">
        <v>224</v>
      </c>
      <c r="C382" s="26" t="s">
        <v>495</v>
      </c>
      <c r="D382" s="27" t="s">
        <v>1157</v>
      </c>
      <c r="E382" s="26" t="s">
        <v>1158</v>
      </c>
      <c r="F382" s="27" t="s">
        <v>160</v>
      </c>
      <c r="G382" s="25" t="str">
        <f aca="false">IF($D382="","",IF(MID($D382,5,1)="S","S(봄)",IF(MID($D382,5,1)="M","M(여름)",IF(MID($D382,5,1)="X","X(사계절)",MID($D382,5,1)))))</f>
        <v>X(사계절)</v>
      </c>
      <c r="H382" s="26" t="s">
        <v>79</v>
      </c>
      <c r="I382" s="25"/>
      <c r="J382" s="28" t="s">
        <v>308</v>
      </c>
      <c r="K382" s="29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9" t="n">
        <f aca="false">IF($K382="","",IF(AND($K382-기준정보!$C$5&gt;=기준정보!$C$10,$K382-기준정보!$C$5&lt;=기준정보!$C$11),기준정보!$C$10-1,$K382-기준정보!$C$5))</f>
        <v>46395</v>
      </c>
      <c r="M382" s="30" t="n">
        <f aca="false">IF($L382="","",IF(OR(ISNUMBER(SEARCH("중국",$U382)),ISNUMBER(SEARCH("베트남",$U382))),MAX(0,MIN($L382,기준정보!$C$9)-MAX($L382-기준정보!$C$6,기준정보!$C$8)+1),IF(ISNUMBER(SEARCH("한국",$U382)),MAX(0,MIN($L382,기준정보!$C$11)-MAX($L382-기준정보!$C$6,기준정보!$C$10)+1),0)))</f>
        <v>0</v>
      </c>
      <c r="N382" s="29" t="n">
        <f aca="false">IF($L382="","",$L382-기준정보!$C$6-$M382)</f>
        <v>46305</v>
      </c>
      <c r="O382" s="31" t="n">
        <f aca="false">IF($N382="","",$N382-기준정보!$C$4)</f>
        <v>63</v>
      </c>
      <c r="P382" s="28" t="s">
        <v>83</v>
      </c>
      <c r="Q382" s="28" t="s">
        <v>82</v>
      </c>
      <c r="R382" s="32"/>
      <c r="S382" s="27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T382" s="26" t="s">
        <v>1156</v>
      </c>
      <c r="U382" s="26" t="s">
        <v>85</v>
      </c>
      <c r="V382" s="33" t="n">
        <v>300</v>
      </c>
      <c r="W382" s="27" t="s">
        <v>308</v>
      </c>
      <c r="X382" s="27" t="str">
        <f aca="false">IF($K382="","출고일 미정",IF($P382="X","작지 미발행",IF($P382="부분","작지 일부 미발행",IF(AND($R382&lt;&gt;"",$R382&gt;$N382),"소재입고 마감("&amp;TEXT($N382,"MM/DD")&amp;") 초과",IF($P382="","발행여부 확인 필요",IF($R382="","소재 입고일정 확인 필요","정상"))))))</f>
        <v>작지 미발행</v>
      </c>
      <c r="Y382" s="25" t="str">
        <f aca="false">IF($K382="","",IF(OR(LEFT($X382,2)="작지",LEFT($X382,4)="소재입고"),IF(LEFT($G382,1)="S","★ 납기위험(S코드)","◆ 지연주의"),IF($X382="정상","✓ 정상","? 확인필요")))</f>
        <v>◆ 지연주의</v>
      </c>
      <c r="Z382" s="28"/>
      <c r="AA382" s="34"/>
    </row>
    <row r="383" customFormat="false" ht="15" hidden="false" customHeight="false" outlineLevel="0" collapsed="false">
      <c r="A383" s="25" t="n">
        <v>379</v>
      </c>
      <c r="B383" s="26" t="s">
        <v>224</v>
      </c>
      <c r="C383" s="26" t="s">
        <v>495</v>
      </c>
      <c r="D383" s="27" t="s">
        <v>1159</v>
      </c>
      <c r="E383" s="26" t="s">
        <v>1160</v>
      </c>
      <c r="F383" s="27" t="s">
        <v>1161</v>
      </c>
      <c r="G383" s="25" t="str">
        <f aca="false">IF($D383="","",IF(MID($D383,5,1)="S","S(봄)",IF(MID($D383,5,1)="M","M(여름)",IF(MID($D383,5,1)="X","X(사계절)",MID($D383,5,1)))))</f>
        <v>X(사계절)</v>
      </c>
      <c r="H383" s="26" t="s">
        <v>79</v>
      </c>
      <c r="I383" s="25"/>
      <c r="J383" s="28" t="s">
        <v>308</v>
      </c>
      <c r="K383" s="29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9" t="n">
        <f aca="false">IF($K383="","",IF(AND($K383-기준정보!$C$5&gt;=기준정보!$C$10,$K383-기준정보!$C$5&lt;=기준정보!$C$11),기준정보!$C$10-1,$K383-기준정보!$C$5))</f>
        <v>46395</v>
      </c>
      <c r="M383" s="30" t="n">
        <f aca="false">IF($L383="","",IF(OR(ISNUMBER(SEARCH("중국",$U383)),ISNUMBER(SEARCH("베트남",$U383))),MAX(0,MIN($L383,기준정보!$C$9)-MAX($L383-기준정보!$C$6,기준정보!$C$8)+1),IF(ISNUMBER(SEARCH("한국",$U383)),MAX(0,MIN($L383,기준정보!$C$11)-MAX($L383-기준정보!$C$6,기준정보!$C$10)+1),0)))</f>
        <v>0</v>
      </c>
      <c r="N383" s="29" t="n">
        <f aca="false">IF($L383="","",$L383-기준정보!$C$6-$M383)</f>
        <v>46305</v>
      </c>
      <c r="O383" s="31" t="n">
        <f aca="false">IF($N383="","",$N383-기준정보!$C$4)</f>
        <v>63</v>
      </c>
      <c r="P383" s="28" t="s">
        <v>83</v>
      </c>
      <c r="Q383" s="28" t="s">
        <v>83</v>
      </c>
      <c r="R383" s="32"/>
      <c r="S383" s="27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T383" s="26" t="s">
        <v>1117</v>
      </c>
      <c r="U383" s="26" t="s">
        <v>131</v>
      </c>
      <c r="V383" s="33" t="n">
        <v>1800</v>
      </c>
      <c r="W383" s="27"/>
      <c r="X383" s="27" t="str">
        <f aca="false">IF($K383="","출고일 미정",IF($P383="X","작지 미발행",IF($P383="부분","작지 일부 미발행",IF(AND($R383&lt;&gt;"",$R383&gt;$N383),"소재입고 마감("&amp;TEXT($N383,"MM/DD")&amp;") 초과",IF($P383="","발행여부 확인 필요",IF($R383="","소재 입고일정 확인 필요","정상"))))))</f>
        <v>작지 미발행</v>
      </c>
      <c r="Y383" s="25" t="str">
        <f aca="false">IF($K383="","",IF(OR(LEFT($X383,2)="작지",LEFT($X383,4)="소재입고"),IF(LEFT($G383,1)="S","★ 납기위험(S코드)","◆ 지연주의"),IF($X383="정상","✓ 정상","? 확인필요")))</f>
        <v>◆ 지연주의</v>
      </c>
      <c r="Z383" s="28"/>
      <c r="AA383" s="34"/>
    </row>
    <row r="384" customFormat="false" ht="15" hidden="false" customHeight="false" outlineLevel="0" collapsed="false">
      <c r="A384" s="25" t="n">
        <v>380</v>
      </c>
      <c r="B384" s="26" t="s">
        <v>224</v>
      </c>
      <c r="C384" s="26" t="s">
        <v>495</v>
      </c>
      <c r="D384" s="27" t="s">
        <v>1162</v>
      </c>
      <c r="E384" s="26" t="s">
        <v>1163</v>
      </c>
      <c r="F384" s="27" t="s">
        <v>1164</v>
      </c>
      <c r="G384" s="25" t="str">
        <f aca="false">IF($D384="","",IF(MID($D384,5,1)="S","S(봄)",IF(MID($D384,5,1)="M","M(여름)",IF(MID($D384,5,1)="X","X(사계절)",MID($D384,5,1)))))</f>
        <v>X(사계절)</v>
      </c>
      <c r="H384" s="26" t="s">
        <v>79</v>
      </c>
      <c r="I384" s="25"/>
      <c r="J384" s="28" t="s">
        <v>308</v>
      </c>
      <c r="K384" s="29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9" t="n">
        <f aca="false">IF($K384="","",IF(AND($K384-기준정보!$C$5&gt;=기준정보!$C$10,$K384-기준정보!$C$5&lt;=기준정보!$C$11),기준정보!$C$10-1,$K384-기준정보!$C$5))</f>
        <v>46395</v>
      </c>
      <c r="M384" s="30" t="n">
        <f aca="false">IF($L384="","",IF(OR(ISNUMBER(SEARCH("중국",$U384)),ISNUMBER(SEARCH("베트남",$U384))),MAX(0,MIN($L384,기준정보!$C$9)-MAX($L384-기준정보!$C$6,기준정보!$C$8)+1),IF(ISNUMBER(SEARCH("한국",$U384)),MAX(0,MIN($L384,기준정보!$C$11)-MAX($L384-기준정보!$C$6,기준정보!$C$10)+1),0)))</f>
        <v>0</v>
      </c>
      <c r="N384" s="29" t="n">
        <f aca="false">IF($L384="","",$L384-기준정보!$C$6-$M384)</f>
        <v>46305</v>
      </c>
      <c r="O384" s="31" t="n">
        <f aca="false">IF($N384="","",$N384-기준정보!$C$4)</f>
        <v>63</v>
      </c>
      <c r="P384" s="28" t="s">
        <v>83</v>
      </c>
      <c r="Q384" s="28" t="s">
        <v>83</v>
      </c>
      <c r="R384" s="32"/>
      <c r="S384" s="27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T384" s="26" t="s">
        <v>1117</v>
      </c>
      <c r="U384" s="26" t="s">
        <v>131</v>
      </c>
      <c r="V384" s="33" t="n">
        <v>1000</v>
      </c>
      <c r="W384" s="27"/>
      <c r="X384" s="27" t="str">
        <f aca="false">IF($K384="","출고일 미정",IF($P384="X","작지 미발행",IF($P384="부분","작지 일부 미발행",IF(AND($R384&lt;&gt;"",$R384&gt;$N384),"소재입고 마감("&amp;TEXT($N384,"MM/DD")&amp;") 초과",IF($P384="","발행여부 확인 필요",IF($R384="","소재 입고일정 확인 필요","정상"))))))</f>
        <v>작지 미발행</v>
      </c>
      <c r="Y384" s="25" t="str">
        <f aca="false">IF($K384="","",IF(OR(LEFT($X384,2)="작지",LEFT($X384,4)="소재입고"),IF(LEFT($G384,1)="S","★ 납기위험(S코드)","◆ 지연주의"),IF($X384="정상","✓ 정상","? 확인필요")))</f>
        <v>◆ 지연주의</v>
      </c>
      <c r="Z384" s="28"/>
      <c r="AA384" s="34"/>
    </row>
    <row r="385" customFormat="false" ht="15" hidden="false" customHeight="false" outlineLevel="0" collapsed="false">
      <c r="A385" s="25" t="n">
        <v>381</v>
      </c>
      <c r="B385" s="26" t="s">
        <v>224</v>
      </c>
      <c r="C385" s="26" t="s">
        <v>495</v>
      </c>
      <c r="D385" s="27" t="s">
        <v>1165</v>
      </c>
      <c r="E385" s="26" t="s">
        <v>1166</v>
      </c>
      <c r="F385" s="27" t="s">
        <v>1167</v>
      </c>
      <c r="G385" s="25" t="str">
        <f aca="false">IF($D385="","",IF(MID($D385,5,1)="S","S(봄)",IF(MID($D385,5,1)="M","M(여름)",IF(MID($D385,5,1)="X","X(사계절)",MID($D385,5,1)))))</f>
        <v>X(사계절)</v>
      </c>
      <c r="H385" s="26" t="s">
        <v>79</v>
      </c>
      <c r="I385" s="25"/>
      <c r="J385" s="28" t="s">
        <v>308</v>
      </c>
      <c r="K385" s="29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9" t="n">
        <f aca="false">IF($K385="","",IF(AND($K385-기준정보!$C$5&gt;=기준정보!$C$10,$K385-기준정보!$C$5&lt;=기준정보!$C$11),기준정보!$C$10-1,$K385-기준정보!$C$5))</f>
        <v>46395</v>
      </c>
      <c r="M385" s="30" t="n">
        <f aca="false">IF($L385="","",IF(OR(ISNUMBER(SEARCH("중국",$U385)),ISNUMBER(SEARCH("베트남",$U385))),MAX(0,MIN($L385,기준정보!$C$9)-MAX($L385-기준정보!$C$6,기준정보!$C$8)+1),IF(ISNUMBER(SEARCH("한국",$U385)),MAX(0,MIN($L385,기준정보!$C$11)-MAX($L385-기준정보!$C$6,기준정보!$C$10)+1),0)))</f>
        <v>0</v>
      </c>
      <c r="N385" s="29" t="n">
        <f aca="false">IF($L385="","",$L385-기준정보!$C$6-$M385)</f>
        <v>46305</v>
      </c>
      <c r="O385" s="31" t="n">
        <f aca="false">IF($N385="","",$N385-기준정보!$C$4)</f>
        <v>63</v>
      </c>
      <c r="P385" s="28" t="s">
        <v>83</v>
      </c>
      <c r="Q385" s="28" t="s">
        <v>83</v>
      </c>
      <c r="R385" s="32"/>
      <c r="S385" s="27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T385" s="26" t="s">
        <v>1117</v>
      </c>
      <c r="U385" s="26" t="s">
        <v>131</v>
      </c>
      <c r="V385" s="33" t="n">
        <v>1600</v>
      </c>
      <c r="W385" s="27" t="s">
        <v>308</v>
      </c>
      <c r="X385" s="27" t="str">
        <f aca="false">IF($K385="","출고일 미정",IF($P385="X","작지 미발행",IF($P385="부분","작지 일부 미발행",IF(AND($R385&lt;&gt;"",$R385&gt;$N385),"소재입고 마감("&amp;TEXT($N385,"MM/DD")&amp;") 초과",IF($P385="","발행여부 확인 필요",IF($R385="","소재 입고일정 확인 필요","정상"))))))</f>
        <v>작지 미발행</v>
      </c>
      <c r="Y385" s="25" t="str">
        <f aca="false">IF($K385="","",IF(OR(LEFT($X385,2)="작지",LEFT($X385,4)="소재입고"),IF(LEFT($G385,1)="S","★ 납기위험(S코드)","◆ 지연주의"),IF($X385="정상","✓ 정상","? 확인필요")))</f>
        <v>◆ 지연주의</v>
      </c>
      <c r="Z385" s="28"/>
      <c r="AA385" s="34"/>
    </row>
    <row r="386" customFormat="false" ht="15" hidden="false" customHeight="false" outlineLevel="0" collapsed="false">
      <c r="A386" s="25" t="n">
        <v>382</v>
      </c>
      <c r="B386" s="26" t="s">
        <v>224</v>
      </c>
      <c r="C386" s="26" t="s">
        <v>495</v>
      </c>
      <c r="D386" s="27" t="s">
        <v>1168</v>
      </c>
      <c r="E386" s="26" t="s">
        <v>1169</v>
      </c>
      <c r="F386" s="27" t="s">
        <v>1170</v>
      </c>
      <c r="G386" s="25" t="str">
        <f aca="false">IF($D386="","",IF(MID($D386,5,1)="S","S(봄)",IF(MID($D386,5,1)="M","M(여름)",IF(MID($D386,5,1)="X","X(사계절)",MID($D386,5,1)))))</f>
        <v>X(사계절)</v>
      </c>
      <c r="H386" s="26" t="s">
        <v>79</v>
      </c>
      <c r="I386" s="25"/>
      <c r="J386" s="28" t="s">
        <v>308</v>
      </c>
      <c r="K386" s="29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9" t="n">
        <f aca="false">IF($K386="","",IF(AND($K386-기준정보!$C$5&gt;=기준정보!$C$10,$K386-기준정보!$C$5&lt;=기준정보!$C$11),기준정보!$C$10-1,$K386-기준정보!$C$5))</f>
        <v>46395</v>
      </c>
      <c r="M386" s="30" t="n">
        <f aca="false">IF($L386="","",IF(OR(ISNUMBER(SEARCH("중국",$U386)),ISNUMBER(SEARCH("베트남",$U386))),MAX(0,MIN($L386,기준정보!$C$9)-MAX($L386-기준정보!$C$6,기준정보!$C$8)+1),IF(ISNUMBER(SEARCH("한국",$U386)),MAX(0,MIN($L386,기준정보!$C$11)-MAX($L386-기준정보!$C$6,기준정보!$C$10)+1),0)))</f>
        <v>0</v>
      </c>
      <c r="N386" s="29" t="n">
        <f aca="false">IF($L386="","",$L386-기준정보!$C$6-$M386)</f>
        <v>46305</v>
      </c>
      <c r="O386" s="31" t="n">
        <f aca="false">IF($N386="","",$N386-기준정보!$C$4)</f>
        <v>63</v>
      </c>
      <c r="P386" s="28" t="s">
        <v>83</v>
      </c>
      <c r="Q386" s="28" t="s">
        <v>83</v>
      </c>
      <c r="R386" s="32"/>
      <c r="S386" s="27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T386" s="26" t="s">
        <v>1117</v>
      </c>
      <c r="U386" s="26" t="s">
        <v>131</v>
      </c>
      <c r="V386" s="33" t="n">
        <v>400</v>
      </c>
      <c r="W386" s="27" t="s">
        <v>308</v>
      </c>
      <c r="X386" s="27" t="str">
        <f aca="false">IF($K386="","출고일 미정",IF($P386="X","작지 미발행",IF($P386="부분","작지 일부 미발행",IF(AND($R386&lt;&gt;"",$R386&gt;$N386),"소재입고 마감("&amp;TEXT($N386,"MM/DD")&amp;") 초과",IF($P386="","발행여부 확인 필요",IF($R386="","소재 입고일정 확인 필요","정상"))))))</f>
        <v>작지 미발행</v>
      </c>
      <c r="Y386" s="25" t="str">
        <f aca="false">IF($K386="","",IF(OR(LEFT($X386,2)="작지",LEFT($X386,4)="소재입고"),IF(LEFT($G386,1)="S","★ 납기위험(S코드)","◆ 지연주의"),IF($X386="정상","✓ 정상","? 확인필요")))</f>
        <v>◆ 지연주의</v>
      </c>
      <c r="Z386" s="28"/>
      <c r="AA386" s="34"/>
    </row>
    <row r="387" customFormat="false" ht="15" hidden="false" customHeight="false" outlineLevel="0" collapsed="false">
      <c r="A387" s="25" t="n">
        <v>383</v>
      </c>
      <c r="B387" s="26" t="s">
        <v>224</v>
      </c>
      <c r="C387" s="26" t="s">
        <v>495</v>
      </c>
      <c r="D387" s="27" t="s">
        <v>1171</v>
      </c>
      <c r="E387" s="26" t="s">
        <v>1172</v>
      </c>
      <c r="F387" s="27" t="s">
        <v>1173</v>
      </c>
      <c r="G387" s="25" t="str">
        <f aca="false">IF($D387="","",IF(MID($D387,5,1)="S","S(봄)",IF(MID($D387,5,1)="M","M(여름)",IF(MID($D387,5,1)="X","X(사계절)",MID($D387,5,1)))))</f>
        <v>X(사계절)</v>
      </c>
      <c r="H387" s="26" t="s">
        <v>79</v>
      </c>
      <c r="I387" s="25"/>
      <c r="J387" s="28" t="s">
        <v>308</v>
      </c>
      <c r="K387" s="29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9" t="n">
        <f aca="false">IF($K387="","",IF(AND($K387-기준정보!$C$5&gt;=기준정보!$C$10,$K387-기준정보!$C$5&lt;=기준정보!$C$11),기준정보!$C$10-1,$K387-기준정보!$C$5))</f>
        <v>46395</v>
      </c>
      <c r="M387" s="30" t="n">
        <f aca="false">IF($L387="","",IF(OR(ISNUMBER(SEARCH("중국",$U387)),ISNUMBER(SEARCH("베트남",$U387))),MAX(0,MIN($L387,기준정보!$C$9)-MAX($L387-기준정보!$C$6,기준정보!$C$8)+1),IF(ISNUMBER(SEARCH("한국",$U387)),MAX(0,MIN($L387,기준정보!$C$11)-MAX($L387-기준정보!$C$6,기준정보!$C$10)+1),0)))</f>
        <v>0</v>
      </c>
      <c r="N387" s="29" t="n">
        <f aca="false">IF($L387="","",$L387-기준정보!$C$6-$M387)</f>
        <v>46305</v>
      </c>
      <c r="O387" s="31" t="n">
        <f aca="false">IF($N387="","",$N387-기준정보!$C$4)</f>
        <v>63</v>
      </c>
      <c r="P387" s="28" t="s">
        <v>83</v>
      </c>
      <c r="Q387" s="28" t="s">
        <v>83</v>
      </c>
      <c r="R387" s="32"/>
      <c r="S387" s="27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T387" s="26" t="s">
        <v>1117</v>
      </c>
      <c r="U387" s="26" t="s">
        <v>131</v>
      </c>
      <c r="V387" s="33" t="n">
        <v>3700</v>
      </c>
      <c r="W387" s="27" t="s">
        <v>308</v>
      </c>
      <c r="X387" s="27" t="str">
        <f aca="false">IF($K387="","출고일 미정",IF($P387="X","작지 미발행",IF($P387="부분","작지 일부 미발행",IF(AND($R387&lt;&gt;"",$R387&gt;$N387),"소재입고 마감("&amp;TEXT($N387,"MM/DD")&amp;") 초과",IF($P387="","발행여부 확인 필요",IF($R387="","소재 입고일정 확인 필요","정상"))))))</f>
        <v>작지 미발행</v>
      </c>
      <c r="Y387" s="25" t="str">
        <f aca="false">IF($K387="","",IF(OR(LEFT($X387,2)="작지",LEFT($X387,4)="소재입고"),IF(LEFT($G387,1)="S","★ 납기위험(S코드)","◆ 지연주의"),IF($X387="정상","✓ 정상","? 확인필요")))</f>
        <v>◆ 지연주의</v>
      </c>
      <c r="Z387" s="28"/>
      <c r="AA387" s="34"/>
    </row>
    <row r="388" customFormat="false" ht="15" hidden="false" customHeight="false" outlineLevel="0" collapsed="false">
      <c r="A388" s="25" t="n">
        <v>384</v>
      </c>
      <c r="B388" s="26" t="s">
        <v>224</v>
      </c>
      <c r="C388" s="26" t="s">
        <v>495</v>
      </c>
      <c r="D388" s="27" t="s">
        <v>1174</v>
      </c>
      <c r="E388" s="26" t="s">
        <v>1175</v>
      </c>
      <c r="F388" s="27" t="s">
        <v>1176</v>
      </c>
      <c r="G388" s="25" t="str">
        <f aca="false">IF($D388="","",IF(MID($D388,5,1)="S","S(봄)",IF(MID($D388,5,1)="M","M(여름)",IF(MID($D388,5,1)="X","X(사계절)",MID($D388,5,1)))))</f>
        <v>X(사계절)</v>
      </c>
      <c r="H388" s="26" t="s">
        <v>79</v>
      </c>
      <c r="I388" s="25" t="s">
        <v>83</v>
      </c>
      <c r="J388" s="28" t="s">
        <v>308</v>
      </c>
      <c r="K388" s="29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9" t="n">
        <f aca="false">IF($K388="","",IF(AND($K388-기준정보!$C$5&gt;=기준정보!$C$10,$K388-기준정보!$C$5&lt;=기준정보!$C$11),기준정보!$C$10-1,$K388-기준정보!$C$5))</f>
        <v>46395</v>
      </c>
      <c r="M388" s="30" t="n">
        <f aca="false">IF($L388="","",IF(OR(ISNUMBER(SEARCH("중국",$U388)),ISNUMBER(SEARCH("베트남",$U388))),MAX(0,MIN($L388,기준정보!$C$9)-MAX($L388-기준정보!$C$6,기준정보!$C$8)+1),IF(ISNUMBER(SEARCH("한국",$U388)),MAX(0,MIN($L388,기준정보!$C$11)-MAX($L388-기준정보!$C$6,기준정보!$C$10)+1),0)))</f>
        <v>0</v>
      </c>
      <c r="N388" s="29" t="n">
        <f aca="false">IF($L388="","",$L388-기준정보!$C$6-$M388)</f>
        <v>46305</v>
      </c>
      <c r="O388" s="31" t="n">
        <f aca="false">IF($N388="","",$N388-기준정보!$C$4)</f>
        <v>63</v>
      </c>
      <c r="P388" s="28" t="s">
        <v>83</v>
      </c>
      <c r="Q388" s="28" t="s">
        <v>83</v>
      </c>
      <c r="R388" s="32"/>
      <c r="S388" s="27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T388" s="26" t="s">
        <v>1117</v>
      </c>
      <c r="U388" s="26" t="s">
        <v>131</v>
      </c>
      <c r="V388" s="33" t="n">
        <v>4300</v>
      </c>
      <c r="W388" s="27" t="s">
        <v>308</v>
      </c>
      <c r="X388" s="27" t="str">
        <f aca="false">IF($K388="","출고일 미정",IF($P388="X","작지 미발행",IF($P388="부분","작지 일부 미발행",IF(AND($R388&lt;&gt;"",$R388&gt;$N388),"소재입고 마감("&amp;TEXT($N388,"MM/DD")&amp;") 초과",IF($P388="","발행여부 확인 필요",IF($R388="","소재 입고일정 확인 필요","정상"))))))</f>
        <v>작지 미발행</v>
      </c>
      <c r="Y388" s="25" t="str">
        <f aca="false">IF($K388="","",IF(OR(LEFT($X388,2)="작지",LEFT($X388,4)="소재입고"),IF(LEFT($G388,1)="S","★ 납기위험(S코드)","◆ 지연주의"),IF($X388="정상","✓ 정상","? 확인필요")))</f>
        <v>◆ 지연주의</v>
      </c>
      <c r="Z388" s="28"/>
      <c r="AA388" s="34"/>
    </row>
    <row r="389" customFormat="false" ht="15" hidden="false" customHeight="false" outlineLevel="0" collapsed="false">
      <c r="A389" s="25" t="n">
        <v>385</v>
      </c>
      <c r="B389" s="26" t="s">
        <v>224</v>
      </c>
      <c r="C389" s="26" t="s">
        <v>495</v>
      </c>
      <c r="D389" s="27" t="s">
        <v>1177</v>
      </c>
      <c r="E389" s="26" t="s">
        <v>1178</v>
      </c>
      <c r="F389" s="27" t="s">
        <v>1179</v>
      </c>
      <c r="G389" s="25" t="str">
        <f aca="false">IF($D389="","",IF(MID($D389,5,1)="S","S(봄)",IF(MID($D389,5,1)="M","M(여름)",IF(MID($D389,5,1)="X","X(사계절)",MID($D389,5,1)))))</f>
        <v>X(사계절)</v>
      </c>
      <c r="H389" s="26" t="s">
        <v>79</v>
      </c>
      <c r="I389" s="25" t="s">
        <v>83</v>
      </c>
      <c r="J389" s="28" t="s">
        <v>308</v>
      </c>
      <c r="K389" s="29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9" t="n">
        <f aca="false">IF($K389="","",IF(AND($K389-기준정보!$C$5&gt;=기준정보!$C$10,$K389-기준정보!$C$5&lt;=기준정보!$C$11),기준정보!$C$10-1,$K389-기준정보!$C$5))</f>
        <v>46395</v>
      </c>
      <c r="M389" s="30" t="n">
        <f aca="false">IF($L389="","",IF(OR(ISNUMBER(SEARCH("중국",$U389)),ISNUMBER(SEARCH("베트남",$U389))),MAX(0,MIN($L389,기준정보!$C$9)-MAX($L389-기준정보!$C$6,기준정보!$C$8)+1),IF(ISNUMBER(SEARCH("한국",$U389)),MAX(0,MIN($L389,기준정보!$C$11)-MAX($L389-기준정보!$C$6,기준정보!$C$10)+1),0)))</f>
        <v>0</v>
      </c>
      <c r="N389" s="29" t="n">
        <f aca="false">IF($L389="","",$L389-기준정보!$C$6-$M389)</f>
        <v>46305</v>
      </c>
      <c r="O389" s="31" t="n">
        <f aca="false">IF($N389="","",$N389-기준정보!$C$4)</f>
        <v>63</v>
      </c>
      <c r="P389" s="28" t="s">
        <v>83</v>
      </c>
      <c r="Q389" s="28" t="s">
        <v>83</v>
      </c>
      <c r="R389" s="32"/>
      <c r="S389" s="27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T389" s="26" t="s">
        <v>1117</v>
      </c>
      <c r="U389" s="26" t="s">
        <v>131</v>
      </c>
      <c r="V389" s="33" t="n">
        <v>4100</v>
      </c>
      <c r="W389" s="27" t="s">
        <v>308</v>
      </c>
      <c r="X389" s="27" t="str">
        <f aca="false">IF($K389="","출고일 미정",IF($P389="X","작지 미발행",IF($P389="부분","작지 일부 미발행",IF(AND($R389&lt;&gt;"",$R389&gt;$N389),"소재입고 마감("&amp;TEXT($N389,"MM/DD")&amp;") 초과",IF($P389="","발행여부 확인 필요",IF($R389="","소재 입고일정 확인 필요","정상"))))))</f>
        <v>작지 미발행</v>
      </c>
      <c r="Y389" s="25" t="str">
        <f aca="false">IF($K389="","",IF(OR(LEFT($X389,2)="작지",LEFT($X389,4)="소재입고"),IF(LEFT($G389,1)="S","★ 납기위험(S코드)","◆ 지연주의"),IF($X389="정상","✓ 정상","? 확인필요")))</f>
        <v>◆ 지연주의</v>
      </c>
      <c r="Z389" s="28"/>
      <c r="AA389" s="34"/>
    </row>
    <row r="390" customFormat="false" ht="15" hidden="false" customHeight="false" outlineLevel="0" collapsed="false">
      <c r="A390" s="25" t="n">
        <v>386</v>
      </c>
      <c r="B390" s="26" t="s">
        <v>224</v>
      </c>
      <c r="C390" s="26" t="s">
        <v>495</v>
      </c>
      <c r="D390" s="27" t="s">
        <v>1180</v>
      </c>
      <c r="E390" s="26" t="s">
        <v>1181</v>
      </c>
      <c r="F390" s="27" t="s">
        <v>1167</v>
      </c>
      <c r="G390" s="25" t="str">
        <f aca="false">IF($D390="","",IF(MID($D390,5,1)="S","S(봄)",IF(MID($D390,5,1)="M","M(여름)",IF(MID($D390,5,1)="X","X(사계절)",MID($D390,5,1)))))</f>
        <v>X(사계절)</v>
      </c>
      <c r="H390" s="26" t="s">
        <v>79</v>
      </c>
      <c r="I390" s="25" t="s">
        <v>83</v>
      </c>
      <c r="J390" s="28" t="s">
        <v>308</v>
      </c>
      <c r="K390" s="29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9" t="n">
        <f aca="false">IF($K390="","",IF(AND($K390-기준정보!$C$5&gt;=기준정보!$C$10,$K390-기준정보!$C$5&lt;=기준정보!$C$11),기준정보!$C$10-1,$K390-기준정보!$C$5))</f>
        <v>46395</v>
      </c>
      <c r="M390" s="30" t="n">
        <f aca="false">IF($L390="","",IF(OR(ISNUMBER(SEARCH("중국",$U390)),ISNUMBER(SEARCH("베트남",$U390))),MAX(0,MIN($L390,기준정보!$C$9)-MAX($L390-기준정보!$C$6,기준정보!$C$8)+1),IF(ISNUMBER(SEARCH("한국",$U390)),MAX(0,MIN($L390,기준정보!$C$11)-MAX($L390-기준정보!$C$6,기준정보!$C$10)+1),0)))</f>
        <v>0</v>
      </c>
      <c r="N390" s="29" t="n">
        <f aca="false">IF($L390="","",$L390-기준정보!$C$6-$M390)</f>
        <v>46305</v>
      </c>
      <c r="O390" s="31" t="n">
        <f aca="false">IF($N390="","",$N390-기준정보!$C$4)</f>
        <v>63</v>
      </c>
      <c r="P390" s="28" t="s">
        <v>83</v>
      </c>
      <c r="Q390" s="28" t="s">
        <v>83</v>
      </c>
      <c r="R390" s="32"/>
      <c r="S390" s="27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T390" s="26" t="s">
        <v>1117</v>
      </c>
      <c r="U390" s="26" t="s">
        <v>131</v>
      </c>
      <c r="V390" s="33" t="n">
        <v>1600</v>
      </c>
      <c r="W390" s="27" t="s">
        <v>308</v>
      </c>
      <c r="X390" s="27" t="str">
        <f aca="false">IF($K390="","출고일 미정",IF($P390="X","작지 미발행",IF($P390="부분","작지 일부 미발행",IF(AND($R390&lt;&gt;"",$R390&gt;$N390),"소재입고 마감("&amp;TEXT($N390,"MM/DD")&amp;") 초과",IF($P390="","발행여부 확인 필요",IF($R390="","소재 입고일정 확인 필요","정상"))))))</f>
        <v>작지 미발행</v>
      </c>
      <c r="Y390" s="25" t="str">
        <f aca="false">IF($K390="","",IF(OR(LEFT($X390,2)="작지",LEFT($X390,4)="소재입고"),IF(LEFT($G390,1)="S","★ 납기위험(S코드)","◆ 지연주의"),IF($X390="정상","✓ 정상","? 확인필요")))</f>
        <v>◆ 지연주의</v>
      </c>
      <c r="Z390" s="28"/>
      <c r="AA390" s="34"/>
    </row>
    <row r="391" customFormat="false" ht="15" hidden="false" customHeight="false" outlineLevel="0" collapsed="false">
      <c r="A391" s="25" t="n">
        <v>387</v>
      </c>
      <c r="B391" s="26" t="s">
        <v>224</v>
      </c>
      <c r="C391" s="26" t="s">
        <v>495</v>
      </c>
      <c r="D391" s="27" t="s">
        <v>1182</v>
      </c>
      <c r="E391" s="26" t="s">
        <v>1183</v>
      </c>
      <c r="F391" s="27" t="s">
        <v>160</v>
      </c>
      <c r="G391" s="25" t="str">
        <f aca="false">IF($D391="","",IF(MID($D391,5,1)="S","S(봄)",IF(MID($D391,5,1)="M","M(여름)",IF(MID($D391,5,1)="X","X(사계절)",MID($D391,5,1)))))</f>
        <v>X(사계절)</v>
      </c>
      <c r="H391" s="26" t="s">
        <v>79</v>
      </c>
      <c r="I391" s="25" t="s">
        <v>83</v>
      </c>
      <c r="J391" s="28" t="s">
        <v>308</v>
      </c>
      <c r="K391" s="29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9" t="n">
        <f aca="false">IF($K391="","",IF(AND($K391-기준정보!$C$5&gt;=기준정보!$C$10,$K391-기준정보!$C$5&lt;=기준정보!$C$11),기준정보!$C$10-1,$K391-기준정보!$C$5))</f>
        <v>46395</v>
      </c>
      <c r="M391" s="30" t="n">
        <f aca="false">IF($L391="","",IF(OR(ISNUMBER(SEARCH("중국",$U391)),ISNUMBER(SEARCH("베트남",$U391))),MAX(0,MIN($L391,기준정보!$C$9)-MAX($L391-기준정보!$C$6,기준정보!$C$8)+1),IF(ISNUMBER(SEARCH("한국",$U391)),MAX(0,MIN($L391,기준정보!$C$11)-MAX($L391-기준정보!$C$6,기준정보!$C$10)+1),0)))</f>
        <v>0</v>
      </c>
      <c r="N391" s="29" t="n">
        <f aca="false">IF($L391="","",$L391-기준정보!$C$6-$M391)</f>
        <v>46305</v>
      </c>
      <c r="O391" s="31" t="n">
        <f aca="false">IF($N391="","",$N391-기준정보!$C$4)</f>
        <v>63</v>
      </c>
      <c r="P391" s="28" t="s">
        <v>83</v>
      </c>
      <c r="Q391" s="28" t="s">
        <v>83</v>
      </c>
      <c r="R391" s="32"/>
      <c r="S391" s="27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T391" s="26" t="s">
        <v>1117</v>
      </c>
      <c r="U391" s="26" t="s">
        <v>131</v>
      </c>
      <c r="V391" s="33" t="n">
        <v>1000</v>
      </c>
      <c r="W391" s="27" t="s">
        <v>308</v>
      </c>
      <c r="X391" s="27" t="str">
        <f aca="false">IF($K391="","출고일 미정",IF($P391="X","작지 미발행",IF($P391="부분","작지 일부 미발행",IF(AND($R391&lt;&gt;"",$R391&gt;$N391),"소재입고 마감("&amp;TEXT($N391,"MM/DD")&amp;") 초과",IF($P391="","발행여부 확인 필요",IF($R391="","소재 입고일정 확인 필요","정상"))))))</f>
        <v>작지 미발행</v>
      </c>
      <c r="Y391" s="25" t="str">
        <f aca="false">IF($K391="","",IF(OR(LEFT($X391,2)="작지",LEFT($X391,4)="소재입고"),IF(LEFT($G391,1)="S","★ 납기위험(S코드)","◆ 지연주의"),IF($X391="정상","✓ 정상","? 확인필요")))</f>
        <v>◆ 지연주의</v>
      </c>
      <c r="Z391" s="28"/>
      <c r="AA391" s="34"/>
    </row>
    <row r="392" customFormat="false" ht="15" hidden="false" customHeight="false" outlineLevel="0" collapsed="false">
      <c r="A392" s="25" t="n">
        <v>388</v>
      </c>
      <c r="B392" s="26" t="s">
        <v>224</v>
      </c>
      <c r="C392" s="26" t="s">
        <v>495</v>
      </c>
      <c r="D392" s="27" t="s">
        <v>1184</v>
      </c>
      <c r="E392" s="26" t="s">
        <v>1185</v>
      </c>
      <c r="F392" s="27" t="s">
        <v>1186</v>
      </c>
      <c r="G392" s="25" t="str">
        <f aca="false">IF($D392="","",IF(MID($D392,5,1)="S","S(봄)",IF(MID($D392,5,1)="M","M(여름)",IF(MID($D392,5,1)="X","X(사계절)",MID($D392,5,1)))))</f>
        <v>X(사계절)</v>
      </c>
      <c r="H392" s="26" t="s">
        <v>79</v>
      </c>
      <c r="I392" s="25" t="s">
        <v>83</v>
      </c>
      <c r="J392" s="28" t="s">
        <v>308</v>
      </c>
      <c r="K392" s="29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9" t="n">
        <f aca="false">IF($K392="","",IF(AND($K392-기준정보!$C$5&gt;=기준정보!$C$10,$K392-기준정보!$C$5&lt;=기준정보!$C$11),기준정보!$C$10-1,$K392-기준정보!$C$5))</f>
        <v>46395</v>
      </c>
      <c r="M392" s="30" t="n">
        <f aca="false">IF($L392="","",IF(OR(ISNUMBER(SEARCH("중국",$U392)),ISNUMBER(SEARCH("베트남",$U392))),MAX(0,MIN($L392,기준정보!$C$9)-MAX($L392-기준정보!$C$6,기준정보!$C$8)+1),IF(ISNUMBER(SEARCH("한국",$U392)),MAX(0,MIN($L392,기준정보!$C$11)-MAX($L392-기준정보!$C$6,기준정보!$C$10)+1),0)))</f>
        <v>0</v>
      </c>
      <c r="N392" s="29" t="n">
        <f aca="false">IF($L392="","",$L392-기준정보!$C$6-$M392)</f>
        <v>46305</v>
      </c>
      <c r="O392" s="31" t="n">
        <f aca="false">IF($N392="","",$N392-기준정보!$C$4)</f>
        <v>63</v>
      </c>
      <c r="P392" s="28" t="s">
        <v>83</v>
      </c>
      <c r="Q392" s="28" t="s">
        <v>83</v>
      </c>
      <c r="R392" s="32"/>
      <c r="S392" s="27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T392" s="26" t="s">
        <v>1117</v>
      </c>
      <c r="U392" s="26" t="s">
        <v>131</v>
      </c>
      <c r="V392" s="33" t="n">
        <v>1000</v>
      </c>
      <c r="W392" s="27" t="s">
        <v>308</v>
      </c>
      <c r="X392" s="27" t="str">
        <f aca="false">IF($K392="","출고일 미정",IF($P392="X","작지 미발행",IF($P392="부분","작지 일부 미발행",IF(AND($R392&lt;&gt;"",$R392&gt;$N392),"소재입고 마감("&amp;TEXT($N392,"MM/DD")&amp;") 초과",IF($P392="","발행여부 확인 필요",IF($R392="","소재 입고일정 확인 필요","정상"))))))</f>
        <v>작지 미발행</v>
      </c>
      <c r="Y392" s="25" t="str">
        <f aca="false">IF($K392="","",IF(OR(LEFT($X392,2)="작지",LEFT($X392,4)="소재입고"),IF(LEFT($G392,1)="S","★ 납기위험(S코드)","◆ 지연주의"),IF($X392="정상","✓ 정상","? 확인필요")))</f>
        <v>◆ 지연주의</v>
      </c>
      <c r="Z392" s="28"/>
      <c r="AA392" s="34"/>
    </row>
    <row r="393" customFormat="false" ht="15" hidden="false" customHeight="false" outlineLevel="0" collapsed="false">
      <c r="A393" s="25" t="n">
        <v>389</v>
      </c>
      <c r="B393" s="26" t="s">
        <v>224</v>
      </c>
      <c r="C393" s="26" t="s">
        <v>495</v>
      </c>
      <c r="D393" s="27" t="s">
        <v>1187</v>
      </c>
      <c r="E393" s="26" t="s">
        <v>1188</v>
      </c>
      <c r="F393" s="27" t="s">
        <v>1164</v>
      </c>
      <c r="G393" s="25" t="str">
        <f aca="false">IF($D393="","",IF(MID($D393,5,1)="S","S(봄)",IF(MID($D393,5,1)="M","M(여름)",IF(MID($D393,5,1)="X","X(사계절)",MID($D393,5,1)))))</f>
        <v>X(사계절)</v>
      </c>
      <c r="H393" s="26" t="s">
        <v>79</v>
      </c>
      <c r="I393" s="25"/>
      <c r="J393" s="28" t="s">
        <v>308</v>
      </c>
      <c r="K393" s="29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9" t="n">
        <f aca="false">IF($K393="","",IF(AND($K393-기준정보!$C$5&gt;=기준정보!$C$10,$K393-기준정보!$C$5&lt;=기준정보!$C$11),기준정보!$C$10-1,$K393-기준정보!$C$5))</f>
        <v>46395</v>
      </c>
      <c r="M393" s="30" t="n">
        <f aca="false">IF($L393="","",IF(OR(ISNUMBER(SEARCH("중국",$U393)),ISNUMBER(SEARCH("베트남",$U393))),MAX(0,MIN($L393,기준정보!$C$9)-MAX($L393-기준정보!$C$6,기준정보!$C$8)+1),IF(ISNUMBER(SEARCH("한국",$U393)),MAX(0,MIN($L393,기준정보!$C$11)-MAX($L393-기준정보!$C$6,기준정보!$C$10)+1),0)))</f>
        <v>0</v>
      </c>
      <c r="N393" s="29" t="n">
        <f aca="false">IF($L393="","",$L393-기준정보!$C$6-$M393)</f>
        <v>46305</v>
      </c>
      <c r="O393" s="31" t="n">
        <f aca="false">IF($N393="","",$N393-기준정보!$C$4)</f>
        <v>63</v>
      </c>
      <c r="P393" s="28" t="s">
        <v>83</v>
      </c>
      <c r="Q393" s="28" t="s">
        <v>83</v>
      </c>
      <c r="R393" s="32"/>
      <c r="S393" s="27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T393" s="26" t="s">
        <v>1117</v>
      </c>
      <c r="U393" s="26" t="s">
        <v>131</v>
      </c>
      <c r="V393" s="33" t="n">
        <v>2500</v>
      </c>
      <c r="W393" s="27"/>
      <c r="X393" s="27" t="str">
        <f aca="false">IF($K393="","출고일 미정",IF($P393="X","작지 미발행",IF($P393="부분","작지 일부 미발행",IF(AND($R393&lt;&gt;"",$R393&gt;$N393),"소재입고 마감("&amp;TEXT($N393,"MM/DD")&amp;") 초과",IF($P393="","발행여부 확인 필요",IF($R393="","소재 입고일정 확인 필요","정상"))))))</f>
        <v>작지 미발행</v>
      </c>
      <c r="Y393" s="25" t="str">
        <f aca="false">IF($K393="","",IF(OR(LEFT($X393,2)="작지",LEFT($X393,4)="소재입고"),IF(LEFT($G393,1)="S","★ 납기위험(S코드)","◆ 지연주의"),IF($X393="정상","✓ 정상","? 확인필요")))</f>
        <v>◆ 지연주의</v>
      </c>
      <c r="Z393" s="28"/>
      <c r="AA393" s="34"/>
    </row>
    <row r="394" customFormat="false" ht="15" hidden="false" customHeight="false" outlineLevel="0" collapsed="false">
      <c r="A394" s="25" t="n">
        <v>390</v>
      </c>
      <c r="B394" s="26" t="s">
        <v>224</v>
      </c>
      <c r="C394" s="26" t="s">
        <v>495</v>
      </c>
      <c r="D394" s="27" t="s">
        <v>1189</v>
      </c>
      <c r="E394" s="26" t="s">
        <v>1190</v>
      </c>
      <c r="F394" s="27" t="s">
        <v>735</v>
      </c>
      <c r="G394" s="25" t="str">
        <f aca="false">IF($D394="","",IF(MID($D394,5,1)="S","S(봄)",IF(MID($D394,5,1)="M","M(여름)",IF(MID($D394,5,1)="X","X(사계절)",MID($D394,5,1)))))</f>
        <v>X(사계절)</v>
      </c>
      <c r="H394" s="26" t="s">
        <v>79</v>
      </c>
      <c r="I394" s="25" t="s">
        <v>1191</v>
      </c>
      <c r="J394" s="28" t="s">
        <v>308</v>
      </c>
      <c r="K394" s="29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9" t="n">
        <f aca="false">IF($K394="","",IF(AND($K394-기준정보!$C$5&gt;=기준정보!$C$10,$K394-기준정보!$C$5&lt;=기준정보!$C$11),기준정보!$C$10-1,$K394-기준정보!$C$5))</f>
        <v>46395</v>
      </c>
      <c r="M394" s="30" t="n">
        <f aca="false">IF($L394="","",IF(OR(ISNUMBER(SEARCH("중국",$U394)),ISNUMBER(SEARCH("베트남",$U394))),MAX(0,MIN($L394,기준정보!$C$9)-MAX($L394-기준정보!$C$6,기준정보!$C$8)+1),IF(ISNUMBER(SEARCH("한국",$U394)),MAX(0,MIN($L394,기준정보!$C$11)-MAX($L394-기준정보!$C$6,기준정보!$C$10)+1),0)))</f>
        <v>0</v>
      </c>
      <c r="N394" s="29" t="n">
        <f aca="false">IF($L394="","",$L394-기준정보!$C$6-$M394)</f>
        <v>46305</v>
      </c>
      <c r="O394" s="31" t="n">
        <f aca="false">IF($N394="","",$N394-기준정보!$C$4)</f>
        <v>63</v>
      </c>
      <c r="P394" s="28" t="s">
        <v>83</v>
      </c>
      <c r="Q394" s="28"/>
      <c r="R394" s="32"/>
      <c r="S394" s="27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T394" s="26" t="s">
        <v>1156</v>
      </c>
      <c r="U394" s="26" t="s">
        <v>85</v>
      </c>
      <c r="V394" s="33" t="n">
        <v>2000</v>
      </c>
      <c r="W394" s="27"/>
      <c r="X394" s="27" t="str">
        <f aca="false">IF($K394="","출고일 미정",IF($P394="X","작지 미발행",IF($P394="부분","작지 일부 미발행",IF(AND($R394&lt;&gt;"",$R394&gt;$N394),"소재입고 마감("&amp;TEXT($N394,"MM/DD")&amp;") 초과",IF($P394="","발행여부 확인 필요",IF($R394="","소재 입고일정 확인 필요","정상"))))))</f>
        <v>작지 미발행</v>
      </c>
      <c r="Y394" s="25" t="str">
        <f aca="false">IF($K394="","",IF(OR(LEFT($X394,2)="작지",LEFT($X394,4)="소재입고"),IF(LEFT($G394,1)="S","★ 납기위험(S코드)","◆ 지연주의"),IF($X394="정상","✓ 정상","? 확인필요")))</f>
        <v>◆ 지연주의</v>
      </c>
      <c r="Z394" s="28"/>
      <c r="AA394" s="34"/>
    </row>
    <row r="395" customFormat="false" ht="15" hidden="false" customHeight="false" outlineLevel="0" collapsed="false">
      <c r="A395" s="25" t="n">
        <v>391</v>
      </c>
      <c r="B395" s="26" t="s">
        <v>204</v>
      </c>
      <c r="C395" s="26" t="s">
        <v>495</v>
      </c>
      <c r="D395" s="27" t="s">
        <v>1192</v>
      </c>
      <c r="E395" s="26" t="s">
        <v>1193</v>
      </c>
      <c r="F395" s="27" t="s">
        <v>1194</v>
      </c>
      <c r="G395" s="25" t="str">
        <f aca="false">IF($D395="","",IF(MID($D395,5,1)="S","S(봄)",IF(MID($D395,5,1)="M","M(여름)",IF(MID($D395,5,1)="X","X(사계절)",MID($D395,5,1)))))</f>
        <v>X(사계절)</v>
      </c>
      <c r="H395" s="26" t="s">
        <v>79</v>
      </c>
      <c r="I395" s="25"/>
      <c r="J395" s="28" t="s">
        <v>308</v>
      </c>
      <c r="K395" s="29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9" t="n">
        <f aca="false">IF($K395="","",IF(AND($K395-기준정보!$C$5&gt;=기준정보!$C$10,$K395-기준정보!$C$5&lt;=기준정보!$C$11),기준정보!$C$10-1,$K395-기준정보!$C$5))</f>
        <v>46395</v>
      </c>
      <c r="M395" s="30" t="n">
        <f aca="false">IF($L395="","",IF(OR(ISNUMBER(SEARCH("중국",$U395)),ISNUMBER(SEARCH("베트남",$U395))),MAX(0,MIN($L395,기준정보!$C$9)-MAX($L395-기준정보!$C$6,기준정보!$C$8)+1),IF(ISNUMBER(SEARCH("한국",$U395)),MAX(0,MIN($L395,기준정보!$C$11)-MAX($L395-기준정보!$C$6,기준정보!$C$10)+1),0)))</f>
        <v>0</v>
      </c>
      <c r="N395" s="29" t="n">
        <f aca="false">IF($L395="","",$L395-기준정보!$C$6-$M395)</f>
        <v>46305</v>
      </c>
      <c r="O395" s="31" t="n">
        <f aca="false">IF($N395="","",$N395-기준정보!$C$4)</f>
        <v>63</v>
      </c>
      <c r="P395" s="28" t="s">
        <v>83</v>
      </c>
      <c r="Q395" s="28" t="s">
        <v>83</v>
      </c>
      <c r="R395" s="32"/>
      <c r="S395" s="27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T395" s="26" t="s">
        <v>499</v>
      </c>
      <c r="U395" s="26" t="s">
        <v>85</v>
      </c>
      <c r="V395" s="33" t="n">
        <v>5500</v>
      </c>
      <c r="W395" s="27"/>
      <c r="X395" s="27" t="str">
        <f aca="false">IF($K395="","출고일 미정",IF($P395="X","작지 미발행",IF($P395="부분","작지 일부 미발행",IF(AND($R395&lt;&gt;"",$R395&gt;$N395),"소재입고 마감("&amp;TEXT($N395,"MM/DD")&amp;") 초과",IF($P395="","발행여부 확인 필요",IF($R395="","소재 입고일정 확인 필요","정상"))))))</f>
        <v>작지 미발행</v>
      </c>
      <c r="Y395" s="25" t="str">
        <f aca="false">IF($K395="","",IF(OR(LEFT($X395,2)="작지",LEFT($X395,4)="소재입고"),IF(LEFT($G395,1)="S","★ 납기위험(S코드)","◆ 지연주의"),IF($X395="정상","✓ 정상","? 확인필요")))</f>
        <v>◆ 지연주의</v>
      </c>
      <c r="Z395" s="28"/>
      <c r="AA395" s="34"/>
    </row>
    <row r="396" customFormat="false" ht="15" hidden="false" customHeight="false" outlineLevel="0" collapsed="false">
      <c r="A396" s="25" t="n">
        <v>392</v>
      </c>
      <c r="B396" s="26" t="s">
        <v>204</v>
      </c>
      <c r="C396" s="26" t="s">
        <v>495</v>
      </c>
      <c r="D396" s="27" t="s">
        <v>1195</v>
      </c>
      <c r="E396" s="26" t="s">
        <v>1196</v>
      </c>
      <c r="F396" s="27" t="s">
        <v>1197</v>
      </c>
      <c r="G396" s="25" t="str">
        <f aca="false">IF($D396="","",IF(MID($D396,5,1)="S","S(봄)",IF(MID($D396,5,1)="M","M(여름)",IF(MID($D396,5,1)="X","X(사계절)",MID($D396,5,1)))))</f>
        <v>X(사계절)</v>
      </c>
      <c r="H396" s="26" t="s">
        <v>79</v>
      </c>
      <c r="I396" s="25"/>
      <c r="J396" s="28" t="s">
        <v>308</v>
      </c>
      <c r="K396" s="29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9" t="n">
        <f aca="false">IF($K396="","",IF(AND($K396-기준정보!$C$5&gt;=기준정보!$C$10,$K396-기준정보!$C$5&lt;=기준정보!$C$11),기준정보!$C$10-1,$K396-기준정보!$C$5))</f>
        <v>46395</v>
      </c>
      <c r="M396" s="30" t="n">
        <f aca="false">IF($L396="","",IF(OR(ISNUMBER(SEARCH("중국",$U396)),ISNUMBER(SEARCH("베트남",$U396))),MAX(0,MIN($L396,기준정보!$C$9)-MAX($L396-기준정보!$C$6,기준정보!$C$8)+1),IF(ISNUMBER(SEARCH("한국",$U396)),MAX(0,MIN($L396,기준정보!$C$11)-MAX($L396-기준정보!$C$6,기준정보!$C$10)+1),0)))</f>
        <v>0</v>
      </c>
      <c r="N396" s="29" t="n">
        <f aca="false">IF($L396="","",$L396-기준정보!$C$6-$M396)</f>
        <v>46305</v>
      </c>
      <c r="O396" s="31" t="n">
        <f aca="false">IF($N396="","",$N396-기준정보!$C$4)</f>
        <v>63</v>
      </c>
      <c r="P396" s="28" t="s">
        <v>83</v>
      </c>
      <c r="Q396" s="28"/>
      <c r="R396" s="32"/>
      <c r="S396" s="27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T396" s="26" t="s">
        <v>499</v>
      </c>
      <c r="U396" s="26" t="s">
        <v>85</v>
      </c>
      <c r="V396" s="33" t="n">
        <v>5100</v>
      </c>
      <c r="W396" s="27"/>
      <c r="X396" s="27" t="str">
        <f aca="false">IF($K396="","출고일 미정",IF($P396="X","작지 미발행",IF($P396="부분","작지 일부 미발행",IF(AND($R396&lt;&gt;"",$R396&gt;$N396),"소재입고 마감("&amp;TEXT($N396,"MM/DD")&amp;") 초과",IF($P396="","발행여부 확인 필요",IF($R396="","소재 입고일정 확인 필요","정상"))))))</f>
        <v>작지 미발행</v>
      </c>
      <c r="Y396" s="25" t="str">
        <f aca="false">IF($K396="","",IF(OR(LEFT($X396,2)="작지",LEFT($X396,4)="소재입고"),IF(LEFT($G396,1)="S","★ 납기위험(S코드)","◆ 지연주의"),IF($X396="정상","✓ 정상","? 확인필요")))</f>
        <v>◆ 지연주의</v>
      </c>
      <c r="Z396" s="28"/>
      <c r="AA396" s="34"/>
    </row>
    <row r="397" customFormat="false" ht="15" hidden="false" customHeight="false" outlineLevel="0" collapsed="false">
      <c r="A397" s="25" t="n">
        <v>393</v>
      </c>
      <c r="B397" s="26" t="s">
        <v>700</v>
      </c>
      <c r="C397" s="27"/>
      <c r="D397" s="27" t="s">
        <v>1198</v>
      </c>
      <c r="E397" s="26" t="s">
        <v>1199</v>
      </c>
      <c r="F397" s="27" t="s">
        <v>1200</v>
      </c>
      <c r="G397" s="25" t="str">
        <f aca="false">IF($D397="","",IF(MID($D397,5,1)="S","S(봄)",IF(MID($D397,5,1)="M","M(여름)",IF(MID($D397,5,1)="X","X(사계절)",MID($D397,5,1)))))</f>
        <v>X(사계절)</v>
      </c>
      <c r="H397" s="26" t="s">
        <v>79</v>
      </c>
      <c r="I397" s="25"/>
      <c r="J397" s="28" t="s">
        <v>459</v>
      </c>
      <c r="K397" s="29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9" t="n">
        <f aca="false">IF($K397="","",IF(AND($K397-기준정보!$C$5&gt;=기준정보!$C$10,$K397-기준정보!$C$5&lt;=기준정보!$C$11),기준정보!$C$10-1,$K397-기준정보!$C$5))</f>
        <v>46422</v>
      </c>
      <c r="M397" s="30" t="n">
        <f aca="false">IF($L397="","",IF(OR(ISNUMBER(SEARCH("중국",$U397)),ISNUMBER(SEARCH("베트남",$U397))),MAX(0,MIN($L397,기준정보!$C$9)-MAX($L397-기준정보!$C$6,기준정보!$C$8)+1),IF(ISNUMBER(SEARCH("한국",$U397)),MAX(0,MIN($L397,기준정보!$C$11)-MAX($L397-기준정보!$C$6,기준정보!$C$10)+1),0)))</f>
        <v>0</v>
      </c>
      <c r="N397" s="29" t="n">
        <f aca="false">IF($L397="","",$L397-기준정보!$C$6-$M397)</f>
        <v>46332</v>
      </c>
      <c r="O397" s="31" t="n">
        <f aca="false">IF($N397="","",$N397-기준정보!$C$4)</f>
        <v>90</v>
      </c>
      <c r="P397" s="28" t="s">
        <v>83</v>
      </c>
      <c r="Q397" s="28"/>
      <c r="R397" s="32"/>
      <c r="S397" s="27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T397" s="27"/>
      <c r="U397" s="27"/>
      <c r="V397" s="33" t="n">
        <v>2000</v>
      </c>
      <c r="W397" s="27"/>
      <c r="X397" s="27" t="str">
        <f aca="false">IF($K397="","출고일 미정",IF($P397="X","작지 미발행",IF($P397="부분","작지 일부 미발행",IF(AND($R397&lt;&gt;"",$R397&gt;$N397),"소재입고 마감("&amp;TEXT($N397,"MM/DD")&amp;") 초과",IF($P397="","발행여부 확인 필요",IF($R397="","소재 입고일정 확인 필요","정상"))))))</f>
        <v>작지 미발행</v>
      </c>
      <c r="Y397" s="25" t="str">
        <f aca="false">IF($K397="","",IF(OR(LEFT($X397,2)="작지",LEFT($X397,4)="소재입고"),IF(LEFT($G397,1)="S","★ 납기위험(S코드)","◆ 지연주의"),IF($X397="정상","✓ 정상","? 확인필요")))</f>
        <v>◆ 지연주의</v>
      </c>
      <c r="Z397" s="28"/>
      <c r="AA397" s="34"/>
    </row>
    <row r="398" customFormat="false" ht="15" hidden="false" customHeight="false" outlineLevel="0" collapsed="false">
      <c r="A398" s="25" t="n">
        <v>394</v>
      </c>
      <c r="B398" s="26" t="s">
        <v>700</v>
      </c>
      <c r="C398" s="27"/>
      <c r="D398" s="27" t="s">
        <v>1201</v>
      </c>
      <c r="E398" s="26" t="s">
        <v>1202</v>
      </c>
      <c r="F398" s="27" t="s">
        <v>735</v>
      </c>
      <c r="G398" s="25" t="str">
        <f aca="false">IF($D398="","",IF(MID($D398,5,1)="S","S(봄)",IF(MID($D398,5,1)="M","M(여름)",IF(MID($D398,5,1)="X","X(사계절)",MID($D398,5,1)))))</f>
        <v>X(사계절)</v>
      </c>
      <c r="H398" s="26" t="s">
        <v>79</v>
      </c>
      <c r="I398" s="25"/>
      <c r="J398" s="28" t="s">
        <v>459</v>
      </c>
      <c r="K398" s="29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9" t="n">
        <f aca="false">IF($K398="","",IF(AND($K398-기준정보!$C$5&gt;=기준정보!$C$10,$K398-기준정보!$C$5&lt;=기준정보!$C$11),기준정보!$C$10-1,$K398-기준정보!$C$5))</f>
        <v>46422</v>
      </c>
      <c r="M398" s="30" t="n">
        <f aca="false">IF($L398="","",IF(OR(ISNUMBER(SEARCH("중국",$U398)),ISNUMBER(SEARCH("베트남",$U398))),MAX(0,MIN($L398,기준정보!$C$9)-MAX($L398-기준정보!$C$6,기준정보!$C$8)+1),IF(ISNUMBER(SEARCH("한국",$U398)),MAX(0,MIN($L398,기준정보!$C$11)-MAX($L398-기준정보!$C$6,기준정보!$C$10)+1),0)))</f>
        <v>0</v>
      </c>
      <c r="N398" s="29" t="n">
        <f aca="false">IF($L398="","",$L398-기준정보!$C$6-$M398)</f>
        <v>46332</v>
      </c>
      <c r="O398" s="31" t="n">
        <f aca="false">IF($N398="","",$N398-기준정보!$C$4)</f>
        <v>90</v>
      </c>
      <c r="P398" s="28" t="s">
        <v>83</v>
      </c>
      <c r="Q398" s="28"/>
      <c r="R398" s="32"/>
      <c r="S398" s="27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T398" s="27"/>
      <c r="U398" s="27"/>
      <c r="V398" s="33" t="n">
        <v>3500</v>
      </c>
      <c r="W398" s="27"/>
      <c r="X398" s="27" t="str">
        <f aca="false">IF($K398="","출고일 미정",IF($P398="X","작지 미발행",IF($P398="부분","작지 일부 미발행",IF(AND($R398&lt;&gt;"",$R398&gt;$N398),"소재입고 마감("&amp;TEXT($N398,"MM/DD")&amp;") 초과",IF($P398="","발행여부 확인 필요",IF($R398="","소재 입고일정 확인 필요","정상"))))))</f>
        <v>작지 미발행</v>
      </c>
      <c r="Y398" s="25" t="str">
        <f aca="false">IF($K398="","",IF(OR(LEFT($X398,2)="작지",LEFT($X398,4)="소재입고"),IF(LEFT($G398,1)="S","★ 납기위험(S코드)","◆ 지연주의"),IF($X398="정상","✓ 정상","? 확인필요")))</f>
        <v>◆ 지연주의</v>
      </c>
      <c r="Z398" s="28"/>
      <c r="AA398" s="34"/>
    </row>
    <row r="399" customFormat="false" ht="15" hidden="false" customHeight="false" outlineLevel="0" collapsed="false">
      <c r="A399" s="25" t="n">
        <v>395</v>
      </c>
      <c r="B399" s="26" t="s">
        <v>700</v>
      </c>
      <c r="C399" s="27"/>
      <c r="D399" s="27" t="s">
        <v>1203</v>
      </c>
      <c r="E399" s="26" t="s">
        <v>1204</v>
      </c>
      <c r="F399" s="27" t="s">
        <v>735</v>
      </c>
      <c r="G399" s="25" t="str">
        <f aca="false">IF($D399="","",IF(MID($D399,5,1)="S","S(봄)",IF(MID($D399,5,1)="M","M(여름)",IF(MID($D399,5,1)="X","X(사계절)",MID($D399,5,1)))))</f>
        <v>X(사계절)</v>
      </c>
      <c r="H399" s="26" t="s">
        <v>79</v>
      </c>
      <c r="I399" s="25"/>
      <c r="J399" s="28" t="s">
        <v>459</v>
      </c>
      <c r="K399" s="29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9" t="n">
        <f aca="false">IF($K399="","",IF(AND($K399-기준정보!$C$5&gt;=기준정보!$C$10,$K399-기준정보!$C$5&lt;=기준정보!$C$11),기준정보!$C$10-1,$K399-기준정보!$C$5))</f>
        <v>46422</v>
      </c>
      <c r="M399" s="30" t="n">
        <f aca="false">IF($L399="","",IF(OR(ISNUMBER(SEARCH("중국",$U399)),ISNUMBER(SEARCH("베트남",$U399))),MAX(0,MIN($L399,기준정보!$C$9)-MAX($L399-기준정보!$C$6,기준정보!$C$8)+1),IF(ISNUMBER(SEARCH("한국",$U399)),MAX(0,MIN($L399,기준정보!$C$11)-MAX($L399-기준정보!$C$6,기준정보!$C$10)+1),0)))</f>
        <v>0</v>
      </c>
      <c r="N399" s="29" t="n">
        <f aca="false">IF($L399="","",$L399-기준정보!$C$6-$M399)</f>
        <v>46332</v>
      </c>
      <c r="O399" s="31" t="n">
        <f aca="false">IF($N399="","",$N399-기준정보!$C$4)</f>
        <v>90</v>
      </c>
      <c r="P399" s="28" t="s">
        <v>83</v>
      </c>
      <c r="Q399" s="28"/>
      <c r="R399" s="32"/>
      <c r="S399" s="27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T399" s="27"/>
      <c r="U399" s="27"/>
      <c r="V399" s="33" t="n">
        <v>2000</v>
      </c>
      <c r="W399" s="27"/>
      <c r="X399" s="27" t="str">
        <f aca="false">IF($K399="","출고일 미정",IF($P399="X","작지 미발행",IF($P399="부분","작지 일부 미발행",IF(AND($R399&lt;&gt;"",$R399&gt;$N399),"소재입고 마감("&amp;TEXT($N399,"MM/DD")&amp;") 초과",IF($P399="","발행여부 확인 필요",IF($R399="","소재 입고일정 확인 필요","정상"))))))</f>
        <v>작지 미발행</v>
      </c>
      <c r="Y399" s="25" t="str">
        <f aca="false">IF($K399="","",IF(OR(LEFT($X399,2)="작지",LEFT($X399,4)="소재입고"),IF(LEFT($G399,1)="S","★ 납기위험(S코드)","◆ 지연주의"),IF($X399="정상","✓ 정상","? 확인필요")))</f>
        <v>◆ 지연주의</v>
      </c>
      <c r="Z399" s="28"/>
      <c r="AA399" s="34"/>
    </row>
    <row r="400" customFormat="false" ht="15" hidden="false" customHeight="false" outlineLevel="0" collapsed="false">
      <c r="A400" s="25" t="n">
        <v>396</v>
      </c>
      <c r="B400" s="26" t="s">
        <v>700</v>
      </c>
      <c r="C400" s="27"/>
      <c r="D400" s="27" t="s">
        <v>1205</v>
      </c>
      <c r="E400" s="26" t="s">
        <v>1206</v>
      </c>
      <c r="F400" s="27" t="s">
        <v>735</v>
      </c>
      <c r="G400" s="25" t="str">
        <f aca="false">IF($D400="","",IF(MID($D400,5,1)="S","S(봄)",IF(MID($D400,5,1)="M","M(여름)",IF(MID($D400,5,1)="X","X(사계절)",MID($D400,5,1)))))</f>
        <v>X(사계절)</v>
      </c>
      <c r="H400" s="26" t="s">
        <v>79</v>
      </c>
      <c r="I400" s="25"/>
      <c r="J400" s="28" t="s">
        <v>459</v>
      </c>
      <c r="K400" s="29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9" t="n">
        <f aca="false">IF($K400="","",IF(AND($K400-기준정보!$C$5&gt;=기준정보!$C$10,$K400-기준정보!$C$5&lt;=기준정보!$C$11),기준정보!$C$10-1,$K400-기준정보!$C$5))</f>
        <v>46422</v>
      </c>
      <c r="M400" s="30" t="n">
        <f aca="false">IF($L400="","",IF(OR(ISNUMBER(SEARCH("중국",$U400)),ISNUMBER(SEARCH("베트남",$U400))),MAX(0,MIN($L400,기준정보!$C$9)-MAX($L400-기준정보!$C$6,기준정보!$C$8)+1),IF(ISNUMBER(SEARCH("한국",$U400)),MAX(0,MIN($L400,기준정보!$C$11)-MAX($L400-기준정보!$C$6,기준정보!$C$10)+1),0)))</f>
        <v>0</v>
      </c>
      <c r="N400" s="29" t="n">
        <f aca="false">IF($L400="","",$L400-기준정보!$C$6-$M400)</f>
        <v>46332</v>
      </c>
      <c r="O400" s="31" t="n">
        <f aca="false">IF($N400="","",$N400-기준정보!$C$4)</f>
        <v>90</v>
      </c>
      <c r="P400" s="28" t="s">
        <v>83</v>
      </c>
      <c r="Q400" s="28"/>
      <c r="R400" s="32"/>
      <c r="S400" s="27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T400" s="27"/>
      <c r="U400" s="27"/>
      <c r="V400" s="33" t="n">
        <v>1500</v>
      </c>
      <c r="W400" s="27"/>
      <c r="X400" s="27" t="str">
        <f aca="false">IF($K400="","출고일 미정",IF($P400="X","작지 미발행",IF($P400="부분","작지 일부 미발행",IF(AND($R400&lt;&gt;"",$R400&gt;$N400),"소재입고 마감("&amp;TEXT($N400,"MM/DD")&amp;") 초과",IF($P400="","발행여부 확인 필요",IF($R400="","소재 입고일정 확인 필요","정상"))))))</f>
        <v>작지 미발행</v>
      </c>
      <c r="Y400" s="25" t="str">
        <f aca="false">IF($K400="","",IF(OR(LEFT($X400,2)="작지",LEFT($X400,4)="소재입고"),IF(LEFT($G400,1)="S","★ 납기위험(S코드)","◆ 지연주의"),IF($X400="정상","✓ 정상","? 확인필요")))</f>
        <v>◆ 지연주의</v>
      </c>
      <c r="Z400" s="28"/>
      <c r="AA400" s="34"/>
    </row>
    <row r="401" customFormat="false" ht="15" hidden="false" customHeight="false" outlineLevel="0" collapsed="false">
      <c r="A401" s="25" t="n">
        <v>397</v>
      </c>
      <c r="B401" s="26" t="s">
        <v>700</v>
      </c>
      <c r="C401" s="27"/>
      <c r="D401" s="27" t="s">
        <v>1207</v>
      </c>
      <c r="E401" s="26" t="s">
        <v>1208</v>
      </c>
      <c r="F401" s="27" t="s">
        <v>1200</v>
      </c>
      <c r="G401" s="25" t="str">
        <f aca="false">IF($D401="","",IF(MID($D401,5,1)="S","S(봄)",IF(MID($D401,5,1)="M","M(여름)",IF(MID($D401,5,1)="X","X(사계절)",MID($D401,5,1)))))</f>
        <v>X(사계절)</v>
      </c>
      <c r="H401" s="26" t="s">
        <v>79</v>
      </c>
      <c r="I401" s="25"/>
      <c r="J401" s="28" t="s">
        <v>459</v>
      </c>
      <c r="K401" s="29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9" t="n">
        <f aca="false">IF($K401="","",IF(AND($K401-기준정보!$C$5&gt;=기준정보!$C$10,$K401-기준정보!$C$5&lt;=기준정보!$C$11),기준정보!$C$10-1,$K401-기준정보!$C$5))</f>
        <v>46422</v>
      </c>
      <c r="M401" s="30" t="n">
        <f aca="false">IF($L401="","",IF(OR(ISNUMBER(SEARCH("중국",$U401)),ISNUMBER(SEARCH("베트남",$U401))),MAX(0,MIN($L401,기준정보!$C$9)-MAX($L401-기준정보!$C$6,기준정보!$C$8)+1),IF(ISNUMBER(SEARCH("한국",$U401)),MAX(0,MIN($L401,기준정보!$C$11)-MAX($L401-기준정보!$C$6,기준정보!$C$10)+1),0)))</f>
        <v>0</v>
      </c>
      <c r="N401" s="29" t="n">
        <f aca="false">IF($L401="","",$L401-기준정보!$C$6-$M401)</f>
        <v>46332</v>
      </c>
      <c r="O401" s="31" t="n">
        <f aca="false">IF($N401="","",$N401-기준정보!$C$4)</f>
        <v>90</v>
      </c>
      <c r="P401" s="28" t="s">
        <v>83</v>
      </c>
      <c r="Q401" s="28"/>
      <c r="R401" s="32"/>
      <c r="S401" s="27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T401" s="27"/>
      <c r="U401" s="27"/>
      <c r="V401" s="33" t="n">
        <v>2000</v>
      </c>
      <c r="W401" s="27"/>
      <c r="X401" s="27" t="str">
        <f aca="false">IF($K401="","출고일 미정",IF($P401="X","작지 미발행",IF($P401="부분","작지 일부 미발행",IF(AND($R401&lt;&gt;"",$R401&gt;$N401),"소재입고 마감("&amp;TEXT($N401,"MM/DD")&amp;") 초과",IF($P401="","발행여부 확인 필요",IF($R401="","소재 입고일정 확인 필요","정상"))))))</f>
        <v>작지 미발행</v>
      </c>
      <c r="Y401" s="25" t="str">
        <f aca="false">IF($K401="","",IF(OR(LEFT($X401,2)="작지",LEFT($X401,4)="소재입고"),IF(LEFT($G401,1)="S","★ 납기위험(S코드)","◆ 지연주의"),IF($X401="정상","✓ 정상","? 확인필요")))</f>
        <v>◆ 지연주의</v>
      </c>
      <c r="Z401" s="28"/>
      <c r="AA401" s="34"/>
    </row>
    <row r="402" customFormat="false" ht="15" hidden="false" customHeight="false" outlineLevel="0" collapsed="false">
      <c r="A402" s="25" t="n">
        <v>398</v>
      </c>
      <c r="B402" s="26" t="s">
        <v>700</v>
      </c>
      <c r="C402" s="27"/>
      <c r="D402" s="27" t="s">
        <v>1209</v>
      </c>
      <c r="E402" s="26" t="s">
        <v>1210</v>
      </c>
      <c r="F402" s="27" t="s">
        <v>1211</v>
      </c>
      <c r="G402" s="25" t="str">
        <f aca="false">IF($D402="","",IF(MID($D402,5,1)="S","S(봄)",IF(MID($D402,5,1)="M","M(여름)",IF(MID($D402,5,1)="X","X(사계절)",MID($D402,5,1)))))</f>
        <v>X(사계절)</v>
      </c>
      <c r="H402" s="26" t="s">
        <v>79</v>
      </c>
      <c r="I402" s="25"/>
      <c r="J402" s="28" t="s">
        <v>459</v>
      </c>
      <c r="K402" s="29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9" t="n">
        <f aca="false">IF($K402="","",IF(AND($K402-기준정보!$C$5&gt;=기준정보!$C$10,$K402-기준정보!$C$5&lt;=기준정보!$C$11),기준정보!$C$10-1,$K402-기준정보!$C$5))</f>
        <v>46422</v>
      </c>
      <c r="M402" s="30" t="n">
        <f aca="false">IF($L402="","",IF(OR(ISNUMBER(SEARCH("중국",$U402)),ISNUMBER(SEARCH("베트남",$U402))),MAX(0,MIN($L402,기준정보!$C$9)-MAX($L402-기준정보!$C$6,기준정보!$C$8)+1),IF(ISNUMBER(SEARCH("한국",$U402)),MAX(0,MIN($L402,기준정보!$C$11)-MAX($L402-기준정보!$C$6,기준정보!$C$10)+1),0)))</f>
        <v>0</v>
      </c>
      <c r="N402" s="29" t="n">
        <f aca="false">IF($L402="","",$L402-기준정보!$C$6-$M402)</f>
        <v>46332</v>
      </c>
      <c r="O402" s="31" t="n">
        <f aca="false">IF($N402="","",$N402-기준정보!$C$4)</f>
        <v>90</v>
      </c>
      <c r="P402" s="28" t="s">
        <v>83</v>
      </c>
      <c r="Q402" s="28"/>
      <c r="R402" s="32"/>
      <c r="S402" s="27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T402" s="27"/>
      <c r="U402" s="27"/>
      <c r="V402" s="33" t="n">
        <v>3000</v>
      </c>
      <c r="W402" s="27"/>
      <c r="X402" s="27" t="str">
        <f aca="false">IF($K402="","출고일 미정",IF($P402="X","작지 미발행",IF($P402="부분","작지 일부 미발행",IF(AND($R402&lt;&gt;"",$R402&gt;$N402),"소재입고 마감("&amp;TEXT($N402,"MM/DD")&amp;") 초과",IF($P402="","발행여부 확인 필요",IF($R402="","소재 입고일정 확인 필요","정상"))))))</f>
        <v>작지 미발행</v>
      </c>
      <c r="Y402" s="25" t="str">
        <f aca="false">IF($K402="","",IF(OR(LEFT($X402,2)="작지",LEFT($X402,4)="소재입고"),IF(LEFT($G402,1)="S","★ 납기위험(S코드)","◆ 지연주의"),IF($X402="정상","✓ 정상","? 확인필요")))</f>
        <v>◆ 지연주의</v>
      </c>
      <c r="Z402" s="28"/>
      <c r="AA402" s="34"/>
    </row>
    <row r="403" customFormat="false" ht="15" hidden="false" customHeight="false" outlineLevel="0" collapsed="false">
      <c r="A403" s="25" t="n">
        <v>399</v>
      </c>
      <c r="B403" s="26" t="s">
        <v>700</v>
      </c>
      <c r="C403" s="27"/>
      <c r="D403" s="27" t="s">
        <v>1212</v>
      </c>
      <c r="E403" s="26" t="s">
        <v>1213</v>
      </c>
      <c r="F403" s="27" t="s">
        <v>1214</v>
      </c>
      <c r="G403" s="25" t="str">
        <f aca="false">IF($D403="","",IF(MID($D403,5,1)="S","S(봄)",IF(MID($D403,5,1)="M","M(여름)",IF(MID($D403,5,1)="X","X(사계절)",MID($D403,5,1)))))</f>
        <v>X(사계절)</v>
      </c>
      <c r="H403" s="26" t="s">
        <v>79</v>
      </c>
      <c r="I403" s="25"/>
      <c r="J403" s="28" t="s">
        <v>459</v>
      </c>
      <c r="K403" s="29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9" t="n">
        <f aca="false">IF($K403="","",IF(AND($K403-기준정보!$C$5&gt;=기준정보!$C$10,$K403-기준정보!$C$5&lt;=기준정보!$C$11),기준정보!$C$10-1,$K403-기준정보!$C$5))</f>
        <v>46422</v>
      </c>
      <c r="M403" s="30" t="n">
        <f aca="false">IF($L403="","",IF(OR(ISNUMBER(SEARCH("중국",$U403)),ISNUMBER(SEARCH("베트남",$U403))),MAX(0,MIN($L403,기준정보!$C$9)-MAX($L403-기준정보!$C$6,기준정보!$C$8)+1),IF(ISNUMBER(SEARCH("한국",$U403)),MAX(0,MIN($L403,기준정보!$C$11)-MAX($L403-기준정보!$C$6,기준정보!$C$10)+1),0)))</f>
        <v>0</v>
      </c>
      <c r="N403" s="29" t="n">
        <f aca="false">IF($L403="","",$L403-기준정보!$C$6-$M403)</f>
        <v>46332</v>
      </c>
      <c r="O403" s="31" t="n">
        <f aca="false">IF($N403="","",$N403-기준정보!$C$4)</f>
        <v>90</v>
      </c>
      <c r="P403" s="28" t="s">
        <v>83</v>
      </c>
      <c r="Q403" s="28"/>
      <c r="R403" s="32"/>
      <c r="S403" s="27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T403" s="27"/>
      <c r="U403" s="27"/>
      <c r="V403" s="33" t="n">
        <v>4000</v>
      </c>
      <c r="W403" s="27"/>
      <c r="X403" s="27" t="str">
        <f aca="false">IF($K403="","출고일 미정",IF($P403="X","작지 미발행",IF($P403="부분","작지 일부 미발행",IF(AND($R403&lt;&gt;"",$R403&gt;$N403),"소재입고 마감("&amp;TEXT($N403,"MM/DD")&amp;") 초과",IF($P403="","발행여부 확인 필요",IF($R403="","소재 입고일정 확인 필요","정상"))))))</f>
        <v>작지 미발행</v>
      </c>
      <c r="Y403" s="25" t="str">
        <f aca="false">IF($K403="","",IF(OR(LEFT($X403,2)="작지",LEFT($X403,4)="소재입고"),IF(LEFT($G403,1)="S","★ 납기위험(S코드)","◆ 지연주의"),IF($X403="정상","✓ 정상","? 확인필요")))</f>
        <v>◆ 지연주의</v>
      </c>
      <c r="Z403" s="28"/>
      <c r="AA403" s="34"/>
    </row>
    <row r="404" customFormat="false" ht="15" hidden="false" customHeight="false" outlineLevel="0" collapsed="false">
      <c r="A404" s="25" t="n">
        <v>400</v>
      </c>
      <c r="B404" s="26" t="s">
        <v>700</v>
      </c>
      <c r="C404" s="27"/>
      <c r="D404" s="27" t="s">
        <v>1215</v>
      </c>
      <c r="E404" s="26" t="s">
        <v>1216</v>
      </c>
      <c r="F404" s="27" t="s">
        <v>532</v>
      </c>
      <c r="G404" s="25" t="str">
        <f aca="false">IF($D404="","",IF(MID($D404,5,1)="S","S(봄)",IF(MID($D404,5,1)="M","M(여름)",IF(MID($D404,5,1)="X","X(사계절)",MID($D404,5,1)))))</f>
        <v>X(사계절)</v>
      </c>
      <c r="H404" s="26" t="s">
        <v>79</v>
      </c>
      <c r="I404" s="25"/>
      <c r="J404" s="28" t="s">
        <v>459</v>
      </c>
      <c r="K404" s="29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9" t="n">
        <f aca="false">IF($K404="","",IF(AND($K404-기준정보!$C$5&gt;=기준정보!$C$10,$K404-기준정보!$C$5&lt;=기준정보!$C$11),기준정보!$C$10-1,$K404-기준정보!$C$5))</f>
        <v>46422</v>
      </c>
      <c r="M404" s="30" t="n">
        <f aca="false">IF($L404="","",IF(OR(ISNUMBER(SEARCH("중국",$U404)),ISNUMBER(SEARCH("베트남",$U404))),MAX(0,MIN($L404,기준정보!$C$9)-MAX($L404-기준정보!$C$6,기준정보!$C$8)+1),IF(ISNUMBER(SEARCH("한국",$U404)),MAX(0,MIN($L404,기준정보!$C$11)-MAX($L404-기준정보!$C$6,기준정보!$C$10)+1),0)))</f>
        <v>0</v>
      </c>
      <c r="N404" s="29" t="n">
        <f aca="false">IF($L404="","",$L404-기준정보!$C$6-$M404)</f>
        <v>46332</v>
      </c>
      <c r="O404" s="31" t="n">
        <f aca="false">IF($N404="","",$N404-기준정보!$C$4)</f>
        <v>90</v>
      </c>
      <c r="P404" s="28" t="s">
        <v>83</v>
      </c>
      <c r="Q404" s="28"/>
      <c r="R404" s="32"/>
      <c r="S404" s="27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T404" s="27"/>
      <c r="U404" s="27"/>
      <c r="V404" s="33" t="n">
        <v>2000</v>
      </c>
      <c r="W404" s="27"/>
      <c r="X404" s="27" t="str">
        <f aca="false">IF($K404="","출고일 미정",IF($P404="X","작지 미발행",IF($P404="부분","작지 일부 미발행",IF(AND($R404&lt;&gt;"",$R404&gt;$N404),"소재입고 마감("&amp;TEXT($N404,"MM/DD")&amp;") 초과",IF($P404="","발행여부 확인 필요",IF($R404="","소재 입고일정 확인 필요","정상"))))))</f>
        <v>작지 미발행</v>
      </c>
      <c r="Y404" s="25" t="str">
        <f aca="false">IF($K404="","",IF(OR(LEFT($X404,2)="작지",LEFT($X404,4)="소재입고"),IF(LEFT($G404,1)="S","★ 납기위험(S코드)","◆ 지연주의"),IF($X404="정상","✓ 정상","? 확인필요")))</f>
        <v>◆ 지연주의</v>
      </c>
      <c r="Z404" s="28"/>
      <c r="AA404" s="34"/>
    </row>
    <row r="405" customFormat="false" ht="15" hidden="false" customHeight="false" outlineLevel="0" collapsed="false">
      <c r="A405" s="25" t="n">
        <v>401</v>
      </c>
      <c r="B405" s="26" t="s">
        <v>700</v>
      </c>
      <c r="C405" s="27"/>
      <c r="D405" s="27" t="s">
        <v>1217</v>
      </c>
      <c r="E405" s="26" t="s">
        <v>1218</v>
      </c>
      <c r="F405" s="27" t="s">
        <v>735</v>
      </c>
      <c r="G405" s="25" t="str">
        <f aca="false">IF($D405="","",IF(MID($D405,5,1)="S","S(봄)",IF(MID($D405,5,1)="M","M(여름)",IF(MID($D405,5,1)="X","X(사계절)",MID($D405,5,1)))))</f>
        <v>X(사계절)</v>
      </c>
      <c r="H405" s="26" t="s">
        <v>79</v>
      </c>
      <c r="I405" s="25"/>
      <c r="J405" s="28" t="s">
        <v>459</v>
      </c>
      <c r="K405" s="29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9" t="n">
        <f aca="false">IF($K405="","",IF(AND($K405-기준정보!$C$5&gt;=기준정보!$C$10,$K405-기준정보!$C$5&lt;=기준정보!$C$11),기준정보!$C$10-1,$K405-기준정보!$C$5))</f>
        <v>46422</v>
      </c>
      <c r="M405" s="30" t="n">
        <f aca="false">IF($L405="","",IF(OR(ISNUMBER(SEARCH("중국",$U405)),ISNUMBER(SEARCH("베트남",$U405))),MAX(0,MIN($L405,기준정보!$C$9)-MAX($L405-기준정보!$C$6,기준정보!$C$8)+1),IF(ISNUMBER(SEARCH("한국",$U405)),MAX(0,MIN($L405,기준정보!$C$11)-MAX($L405-기준정보!$C$6,기준정보!$C$10)+1),0)))</f>
        <v>0</v>
      </c>
      <c r="N405" s="29" t="n">
        <f aca="false">IF($L405="","",$L405-기준정보!$C$6-$M405)</f>
        <v>46332</v>
      </c>
      <c r="O405" s="31" t="n">
        <f aca="false">IF($N405="","",$N405-기준정보!$C$4)</f>
        <v>90</v>
      </c>
      <c r="P405" s="28" t="s">
        <v>83</v>
      </c>
      <c r="Q405" s="28"/>
      <c r="R405" s="32"/>
      <c r="S405" s="27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T405" s="27"/>
      <c r="U405" s="27"/>
      <c r="V405" s="33" t="n">
        <v>3000</v>
      </c>
      <c r="W405" s="27"/>
      <c r="X405" s="27" t="str">
        <f aca="false">IF($K405="","출고일 미정",IF($P405="X","작지 미발행",IF($P405="부분","작지 일부 미발행",IF(AND($R405&lt;&gt;"",$R405&gt;$N405),"소재입고 마감("&amp;TEXT($N405,"MM/DD")&amp;") 초과",IF($P405="","발행여부 확인 필요",IF($R405="","소재 입고일정 확인 필요","정상"))))))</f>
        <v>작지 미발행</v>
      </c>
      <c r="Y405" s="25" t="str">
        <f aca="false">IF($K405="","",IF(OR(LEFT($X405,2)="작지",LEFT($X405,4)="소재입고"),IF(LEFT($G405,1)="S","★ 납기위험(S코드)","◆ 지연주의"),IF($X405="정상","✓ 정상","? 확인필요")))</f>
        <v>◆ 지연주의</v>
      </c>
      <c r="Z405" s="28"/>
      <c r="AA405" s="34"/>
    </row>
    <row r="406" customFormat="false" ht="15" hidden="false" customHeight="false" outlineLevel="0" collapsed="false">
      <c r="A406" s="25" t="n">
        <v>402</v>
      </c>
      <c r="B406" s="26" t="s">
        <v>700</v>
      </c>
      <c r="C406" s="27"/>
      <c r="D406" s="27" t="s">
        <v>1219</v>
      </c>
      <c r="E406" s="26" t="s">
        <v>1220</v>
      </c>
      <c r="F406" s="27" t="s">
        <v>1214</v>
      </c>
      <c r="G406" s="25" t="str">
        <f aca="false">IF($D406="","",IF(MID($D406,5,1)="S","S(봄)",IF(MID($D406,5,1)="M","M(여름)",IF(MID($D406,5,1)="X","X(사계절)",MID($D406,5,1)))))</f>
        <v>X(사계절)</v>
      </c>
      <c r="H406" s="26" t="s">
        <v>79</v>
      </c>
      <c r="I406" s="25"/>
      <c r="J406" s="28" t="s">
        <v>459</v>
      </c>
      <c r="K406" s="29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9" t="n">
        <f aca="false">IF($K406="","",IF(AND($K406-기준정보!$C$5&gt;=기준정보!$C$10,$K406-기준정보!$C$5&lt;=기준정보!$C$11),기준정보!$C$10-1,$K406-기준정보!$C$5))</f>
        <v>46422</v>
      </c>
      <c r="M406" s="30" t="n">
        <f aca="false">IF($L406="","",IF(OR(ISNUMBER(SEARCH("중국",$U406)),ISNUMBER(SEARCH("베트남",$U406))),MAX(0,MIN($L406,기준정보!$C$9)-MAX($L406-기준정보!$C$6,기준정보!$C$8)+1),IF(ISNUMBER(SEARCH("한국",$U406)),MAX(0,MIN($L406,기준정보!$C$11)-MAX($L406-기준정보!$C$6,기준정보!$C$10)+1),0)))</f>
        <v>0</v>
      </c>
      <c r="N406" s="29" t="n">
        <f aca="false">IF($L406="","",$L406-기준정보!$C$6-$M406)</f>
        <v>46332</v>
      </c>
      <c r="O406" s="31" t="n">
        <f aca="false">IF($N406="","",$N406-기준정보!$C$4)</f>
        <v>90</v>
      </c>
      <c r="P406" s="28" t="s">
        <v>83</v>
      </c>
      <c r="Q406" s="28"/>
      <c r="R406" s="32"/>
      <c r="S406" s="27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T406" s="27"/>
      <c r="U406" s="27"/>
      <c r="V406" s="33" t="n">
        <v>4000</v>
      </c>
      <c r="W406" s="27"/>
      <c r="X406" s="27" t="str">
        <f aca="false">IF($K406="","출고일 미정",IF($P406="X","작지 미발행",IF($P406="부분","작지 일부 미발행",IF(AND($R406&lt;&gt;"",$R406&gt;$N406),"소재입고 마감("&amp;TEXT($N406,"MM/DD")&amp;") 초과",IF($P406="","발행여부 확인 필요",IF($R406="","소재 입고일정 확인 필요","정상"))))))</f>
        <v>작지 미발행</v>
      </c>
      <c r="Y406" s="25" t="str">
        <f aca="false">IF($K406="","",IF(OR(LEFT($X406,2)="작지",LEFT($X406,4)="소재입고"),IF(LEFT($G406,1)="S","★ 납기위험(S코드)","◆ 지연주의"),IF($X406="정상","✓ 정상","? 확인필요")))</f>
        <v>◆ 지연주의</v>
      </c>
      <c r="Z406" s="28"/>
      <c r="AA406" s="34"/>
    </row>
    <row r="407" customFormat="false" ht="15" hidden="false" customHeight="false" outlineLevel="0" collapsed="false">
      <c r="A407" s="25" t="n">
        <v>403</v>
      </c>
      <c r="B407" s="26" t="s">
        <v>700</v>
      </c>
      <c r="C407" s="26" t="s">
        <v>495</v>
      </c>
      <c r="D407" s="27" t="s">
        <v>1221</v>
      </c>
      <c r="E407" s="26" t="s">
        <v>1222</v>
      </c>
      <c r="F407" s="27" t="s">
        <v>1223</v>
      </c>
      <c r="G407" s="25" t="str">
        <f aca="false">IF($D407="","",IF(MID($D407,5,1)="S","S(봄)",IF(MID($D407,5,1)="M","M(여름)",IF(MID($D407,5,1)="X","X(사계절)",MID($D407,5,1)))))</f>
        <v>X(사계절)</v>
      </c>
      <c r="H407" s="26" t="s">
        <v>79</v>
      </c>
      <c r="I407" s="25"/>
      <c r="J407" s="28" t="s">
        <v>459</v>
      </c>
      <c r="K407" s="29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9" t="n">
        <f aca="false">IF($K407="","",IF(AND($K407-기준정보!$C$5&gt;=기준정보!$C$10,$K407-기준정보!$C$5&lt;=기준정보!$C$11),기준정보!$C$10-1,$K407-기준정보!$C$5))</f>
        <v>46422</v>
      </c>
      <c r="M407" s="30" t="n">
        <f aca="false">IF($L407="","",IF(OR(ISNUMBER(SEARCH("중국",$U407)),ISNUMBER(SEARCH("베트남",$U407))),MAX(0,MIN($L407,기준정보!$C$9)-MAX($L407-기준정보!$C$6,기준정보!$C$8)+1),IF(ISNUMBER(SEARCH("한국",$U407)),MAX(0,MIN($L407,기준정보!$C$11)-MAX($L407-기준정보!$C$6,기준정보!$C$10)+1),0)))</f>
        <v>0</v>
      </c>
      <c r="N407" s="29" t="n">
        <f aca="false">IF($L407="","",$L407-기준정보!$C$6-$M407)</f>
        <v>46332</v>
      </c>
      <c r="O407" s="31" t="n">
        <f aca="false">IF($N407="","",$N407-기준정보!$C$4)</f>
        <v>90</v>
      </c>
      <c r="P407" s="28" t="s">
        <v>83</v>
      </c>
      <c r="Q407" s="28" t="s">
        <v>83</v>
      </c>
      <c r="R407" s="32"/>
      <c r="S407" s="27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T407" s="26" t="s">
        <v>900</v>
      </c>
      <c r="U407" s="26" t="s">
        <v>901</v>
      </c>
      <c r="V407" s="33" t="n">
        <v>7000</v>
      </c>
      <c r="W407" s="27"/>
      <c r="X407" s="27" t="str">
        <f aca="false">IF($K407="","출고일 미정",IF($P407="X","작지 미발행",IF($P407="부분","작지 일부 미발행",IF(AND($R407&lt;&gt;"",$R407&gt;$N407),"소재입고 마감("&amp;TEXT($N407,"MM/DD")&amp;") 초과",IF($P407="","발행여부 확인 필요",IF($R407="","소재 입고일정 확인 필요","정상"))))))</f>
        <v>작지 미발행</v>
      </c>
      <c r="Y407" s="25" t="str">
        <f aca="false">IF($K407="","",IF(OR(LEFT($X407,2)="작지",LEFT($X407,4)="소재입고"),IF(LEFT($G407,1)="S","★ 납기위험(S코드)","◆ 지연주의"),IF($X407="정상","✓ 정상","? 확인필요")))</f>
        <v>◆ 지연주의</v>
      </c>
      <c r="Z407" s="28"/>
      <c r="AA407" s="34"/>
    </row>
    <row r="408" customFormat="false" ht="15" hidden="false" customHeight="false" outlineLevel="0" collapsed="false">
      <c r="A408" s="25" t="n">
        <v>404</v>
      </c>
      <c r="B408" s="26" t="s">
        <v>700</v>
      </c>
      <c r="C408" s="26" t="s">
        <v>495</v>
      </c>
      <c r="D408" s="27" t="s">
        <v>1224</v>
      </c>
      <c r="E408" s="26" t="s">
        <v>1225</v>
      </c>
      <c r="F408" s="27" t="s">
        <v>1226</v>
      </c>
      <c r="G408" s="25" t="str">
        <f aca="false">IF($D408="","",IF(MID($D408,5,1)="S","S(봄)",IF(MID($D408,5,1)="M","M(여름)",IF(MID($D408,5,1)="X","X(사계절)",MID($D408,5,1)))))</f>
        <v>X(사계절)</v>
      </c>
      <c r="H408" s="26" t="s">
        <v>79</v>
      </c>
      <c r="I408" s="25"/>
      <c r="J408" s="28" t="s">
        <v>459</v>
      </c>
      <c r="K408" s="29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9" t="n">
        <f aca="false">IF($K408="","",IF(AND($K408-기준정보!$C$5&gt;=기준정보!$C$10,$K408-기준정보!$C$5&lt;=기준정보!$C$11),기준정보!$C$10-1,$K408-기준정보!$C$5))</f>
        <v>46422</v>
      </c>
      <c r="M408" s="30" t="n">
        <f aca="false">IF($L408="","",IF(OR(ISNUMBER(SEARCH("중국",$U408)),ISNUMBER(SEARCH("베트남",$U408))),MAX(0,MIN($L408,기준정보!$C$9)-MAX($L408-기준정보!$C$6,기준정보!$C$8)+1),IF(ISNUMBER(SEARCH("한국",$U408)),MAX(0,MIN($L408,기준정보!$C$11)-MAX($L408-기준정보!$C$6,기준정보!$C$10)+1),0)))</f>
        <v>0</v>
      </c>
      <c r="N408" s="29" t="n">
        <f aca="false">IF($L408="","",$L408-기준정보!$C$6-$M408)</f>
        <v>46332</v>
      </c>
      <c r="O408" s="31" t="n">
        <f aca="false">IF($N408="","",$N408-기준정보!$C$4)</f>
        <v>90</v>
      </c>
      <c r="P408" s="28" t="s">
        <v>83</v>
      </c>
      <c r="Q408" s="28" t="s">
        <v>83</v>
      </c>
      <c r="R408" s="32"/>
      <c r="S408" s="27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T408" s="26" t="s">
        <v>900</v>
      </c>
      <c r="U408" s="26" t="s">
        <v>901</v>
      </c>
      <c r="V408" s="33" t="n">
        <v>1400</v>
      </c>
      <c r="W408" s="27"/>
      <c r="X408" s="27" t="str">
        <f aca="false">IF($K408="","출고일 미정",IF($P408="X","작지 미발행",IF($P408="부분","작지 일부 미발행",IF(AND($R408&lt;&gt;"",$R408&gt;$N408),"소재입고 마감("&amp;TEXT($N408,"MM/DD")&amp;") 초과",IF($P408="","발행여부 확인 필요",IF($R408="","소재 입고일정 확인 필요","정상"))))))</f>
        <v>작지 미발행</v>
      </c>
      <c r="Y408" s="25" t="str">
        <f aca="false">IF($K408="","",IF(OR(LEFT($X408,2)="작지",LEFT($X408,4)="소재입고"),IF(LEFT($G408,1)="S","★ 납기위험(S코드)","◆ 지연주의"),IF($X408="정상","✓ 정상","? 확인필요")))</f>
        <v>◆ 지연주의</v>
      </c>
      <c r="Z408" s="28"/>
      <c r="AA408" s="34"/>
    </row>
    <row r="409" customFormat="false" ht="15" hidden="false" customHeight="false" outlineLevel="0" collapsed="false">
      <c r="A409" s="25" t="n">
        <v>405</v>
      </c>
      <c r="B409" s="26" t="s">
        <v>700</v>
      </c>
      <c r="C409" s="26" t="s">
        <v>701</v>
      </c>
      <c r="D409" s="27" t="s">
        <v>1227</v>
      </c>
      <c r="E409" s="26" t="s">
        <v>1228</v>
      </c>
      <c r="F409" s="27" t="s">
        <v>1229</v>
      </c>
      <c r="G409" s="25" t="str">
        <f aca="false">IF($D409="","",IF(MID($D409,5,1)="S","S(봄)",IF(MID($D409,5,1)="M","M(여름)",IF(MID($D409,5,1)="X","X(사계절)",MID($D409,5,1)))))</f>
        <v>X(사계절)</v>
      </c>
      <c r="H409" s="26" t="s">
        <v>79</v>
      </c>
      <c r="I409" s="25"/>
      <c r="J409" s="28" t="s">
        <v>459</v>
      </c>
      <c r="K409" s="29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9" t="n">
        <f aca="false">IF($K409="","",IF(AND($K409-기준정보!$C$5&gt;=기준정보!$C$10,$K409-기준정보!$C$5&lt;=기준정보!$C$11),기준정보!$C$10-1,$K409-기준정보!$C$5))</f>
        <v>46422</v>
      </c>
      <c r="M409" s="30" t="n">
        <f aca="false">IF($L409="","",IF(OR(ISNUMBER(SEARCH("중국",$U409)),ISNUMBER(SEARCH("베트남",$U409))),MAX(0,MIN($L409,기준정보!$C$9)-MAX($L409-기준정보!$C$6,기준정보!$C$8)+1),IF(ISNUMBER(SEARCH("한국",$U409)),MAX(0,MIN($L409,기준정보!$C$11)-MAX($L409-기준정보!$C$6,기준정보!$C$10)+1),0)))</f>
        <v>0</v>
      </c>
      <c r="N409" s="29" t="n">
        <f aca="false">IF($L409="","",$L409-기준정보!$C$6-$M409)</f>
        <v>46332</v>
      </c>
      <c r="O409" s="31" t="n">
        <f aca="false">IF($N409="","",$N409-기준정보!$C$4)</f>
        <v>90</v>
      </c>
      <c r="P409" s="28" t="s">
        <v>83</v>
      </c>
      <c r="Q409" s="28" t="s">
        <v>83</v>
      </c>
      <c r="R409" s="32"/>
      <c r="S409" s="27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T409" s="26" t="s">
        <v>165</v>
      </c>
      <c r="U409" s="26" t="s">
        <v>166</v>
      </c>
      <c r="V409" s="33" t="n">
        <v>4700</v>
      </c>
      <c r="W409" s="27"/>
      <c r="X409" s="27" t="str">
        <f aca="false">IF($K409="","출고일 미정",IF($P409="X","작지 미발행",IF($P409="부분","작지 일부 미발행",IF(AND($R409&lt;&gt;"",$R409&gt;$N409),"소재입고 마감("&amp;TEXT($N409,"MM/DD")&amp;") 초과",IF($P409="","발행여부 확인 필요",IF($R409="","소재 입고일정 확인 필요","정상"))))))</f>
        <v>작지 미발행</v>
      </c>
      <c r="Y409" s="25" t="str">
        <f aca="false">IF($K409="","",IF(OR(LEFT($X409,2)="작지",LEFT($X409,4)="소재입고"),IF(LEFT($G409,1)="S","★ 납기위험(S코드)","◆ 지연주의"),IF($X409="정상","✓ 정상","? 확인필요")))</f>
        <v>◆ 지연주의</v>
      </c>
      <c r="Z409" s="28"/>
      <c r="AA409" s="34"/>
    </row>
    <row r="410" customFormat="false" ht="15" hidden="false" customHeight="false" outlineLevel="0" collapsed="false">
      <c r="A410" s="25" t="n">
        <v>406</v>
      </c>
      <c r="B410" s="26" t="s">
        <v>700</v>
      </c>
      <c r="C410" s="26" t="s">
        <v>701</v>
      </c>
      <c r="D410" s="27" t="s">
        <v>1230</v>
      </c>
      <c r="E410" s="26" t="s">
        <v>1231</v>
      </c>
      <c r="F410" s="27" t="s">
        <v>1232</v>
      </c>
      <c r="G410" s="25" t="str">
        <f aca="false">IF($D410="","",IF(MID($D410,5,1)="S","S(봄)",IF(MID($D410,5,1)="M","M(여름)",IF(MID($D410,5,1)="X","X(사계절)",MID($D410,5,1)))))</f>
        <v>X(사계절)</v>
      </c>
      <c r="H410" s="26" t="s">
        <v>79</v>
      </c>
      <c r="I410" s="25"/>
      <c r="J410" s="28" t="s">
        <v>459</v>
      </c>
      <c r="K410" s="29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9" t="n">
        <f aca="false">IF($K410="","",IF(AND($K410-기준정보!$C$5&gt;=기준정보!$C$10,$K410-기준정보!$C$5&lt;=기준정보!$C$11),기준정보!$C$10-1,$K410-기준정보!$C$5))</f>
        <v>46422</v>
      </c>
      <c r="M410" s="30" t="n">
        <f aca="false">IF($L410="","",IF(OR(ISNUMBER(SEARCH("중국",$U410)),ISNUMBER(SEARCH("베트남",$U410))),MAX(0,MIN($L410,기준정보!$C$9)-MAX($L410-기준정보!$C$6,기준정보!$C$8)+1),IF(ISNUMBER(SEARCH("한국",$U410)),MAX(0,MIN($L410,기준정보!$C$11)-MAX($L410-기준정보!$C$6,기준정보!$C$10)+1),0)))</f>
        <v>0</v>
      </c>
      <c r="N410" s="29" t="n">
        <f aca="false">IF($L410="","",$L410-기준정보!$C$6-$M410)</f>
        <v>46332</v>
      </c>
      <c r="O410" s="31" t="n">
        <f aca="false">IF($N410="","",$N410-기준정보!$C$4)</f>
        <v>90</v>
      </c>
      <c r="P410" s="28" t="s">
        <v>83</v>
      </c>
      <c r="Q410" s="28" t="s">
        <v>83</v>
      </c>
      <c r="R410" s="32"/>
      <c r="S410" s="27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T410" s="26" t="s">
        <v>165</v>
      </c>
      <c r="U410" s="26" t="s">
        <v>166</v>
      </c>
      <c r="V410" s="33" t="n">
        <v>6000</v>
      </c>
      <c r="W410" s="27"/>
      <c r="X410" s="27" t="str">
        <f aca="false">IF($K410="","출고일 미정",IF($P410="X","작지 미발행",IF($P410="부분","작지 일부 미발행",IF(AND($R410&lt;&gt;"",$R410&gt;$N410),"소재입고 마감("&amp;TEXT($N410,"MM/DD")&amp;") 초과",IF($P410="","발행여부 확인 필요",IF($R410="","소재 입고일정 확인 필요","정상"))))))</f>
        <v>작지 미발행</v>
      </c>
      <c r="Y410" s="25" t="str">
        <f aca="false">IF($K410="","",IF(OR(LEFT($X410,2)="작지",LEFT($X410,4)="소재입고"),IF(LEFT($G410,1)="S","★ 납기위험(S코드)","◆ 지연주의"),IF($X410="정상","✓ 정상","? 확인필요")))</f>
        <v>◆ 지연주의</v>
      </c>
      <c r="Z410" s="28"/>
      <c r="AA410" s="34"/>
    </row>
    <row r="411" customFormat="false" ht="15" hidden="false" customHeight="false" outlineLevel="0" collapsed="false">
      <c r="A411" s="25" t="n">
        <v>407</v>
      </c>
      <c r="B411" s="26" t="s">
        <v>700</v>
      </c>
      <c r="C411" s="26" t="s">
        <v>701</v>
      </c>
      <c r="D411" s="27" t="s">
        <v>1233</v>
      </c>
      <c r="E411" s="26" t="s">
        <v>1234</v>
      </c>
      <c r="F411" s="27" t="s">
        <v>1141</v>
      </c>
      <c r="G411" s="25" t="str">
        <f aca="false">IF($D411="","",IF(MID($D411,5,1)="S","S(봄)",IF(MID($D411,5,1)="M","M(여름)",IF(MID($D411,5,1)="X","X(사계절)",MID($D411,5,1)))))</f>
        <v>X(사계절)</v>
      </c>
      <c r="H411" s="26" t="s">
        <v>79</v>
      </c>
      <c r="I411" s="25"/>
      <c r="J411" s="28" t="s">
        <v>459</v>
      </c>
      <c r="K411" s="29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9" t="n">
        <f aca="false">IF($K411="","",IF(AND($K411-기준정보!$C$5&gt;=기준정보!$C$10,$K411-기준정보!$C$5&lt;=기준정보!$C$11),기준정보!$C$10-1,$K411-기준정보!$C$5))</f>
        <v>46422</v>
      </c>
      <c r="M411" s="30" t="n">
        <f aca="false">IF($L411="","",IF(OR(ISNUMBER(SEARCH("중국",$U411)),ISNUMBER(SEARCH("베트남",$U411))),MAX(0,MIN($L411,기준정보!$C$9)-MAX($L411-기준정보!$C$6,기준정보!$C$8)+1),IF(ISNUMBER(SEARCH("한국",$U411)),MAX(0,MIN($L411,기준정보!$C$11)-MAX($L411-기준정보!$C$6,기준정보!$C$10)+1),0)))</f>
        <v>0</v>
      </c>
      <c r="N411" s="29" t="n">
        <f aca="false">IF($L411="","",$L411-기준정보!$C$6-$M411)</f>
        <v>46332</v>
      </c>
      <c r="O411" s="31" t="n">
        <f aca="false">IF($N411="","",$N411-기준정보!$C$4)</f>
        <v>90</v>
      </c>
      <c r="P411" s="28" t="s">
        <v>83</v>
      </c>
      <c r="Q411" s="28" t="s">
        <v>83</v>
      </c>
      <c r="R411" s="32"/>
      <c r="S411" s="27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T411" s="26" t="s">
        <v>1235</v>
      </c>
      <c r="U411" s="26" t="s">
        <v>166</v>
      </c>
      <c r="V411" s="33" t="n">
        <v>4000</v>
      </c>
      <c r="W411" s="27"/>
      <c r="X411" s="27" t="str">
        <f aca="false">IF($K411="","출고일 미정",IF($P411="X","작지 미발행",IF($P411="부분","작지 일부 미발행",IF(AND($R411&lt;&gt;"",$R411&gt;$N411),"소재입고 마감("&amp;TEXT($N411,"MM/DD")&amp;") 초과",IF($P411="","발행여부 확인 필요",IF($R411="","소재 입고일정 확인 필요","정상"))))))</f>
        <v>작지 미발행</v>
      </c>
      <c r="Y411" s="25" t="str">
        <f aca="false">IF($K411="","",IF(OR(LEFT($X411,2)="작지",LEFT($X411,4)="소재입고"),IF(LEFT($G411,1)="S","★ 납기위험(S코드)","◆ 지연주의"),IF($X411="정상","✓ 정상","? 확인필요")))</f>
        <v>◆ 지연주의</v>
      </c>
      <c r="Z411" s="28"/>
      <c r="AA411" s="34"/>
    </row>
    <row r="412" customFormat="false" ht="15" hidden="false" customHeight="false" outlineLevel="0" collapsed="false">
      <c r="A412" s="25" t="n">
        <v>408</v>
      </c>
      <c r="B412" s="26" t="s">
        <v>700</v>
      </c>
      <c r="C412" s="26" t="s">
        <v>701</v>
      </c>
      <c r="D412" s="27" t="s">
        <v>1236</v>
      </c>
      <c r="E412" s="26" t="s">
        <v>1237</v>
      </c>
      <c r="F412" s="27" t="s">
        <v>1238</v>
      </c>
      <c r="G412" s="25" t="str">
        <f aca="false">IF($D412="","",IF(MID($D412,5,1)="S","S(봄)",IF(MID($D412,5,1)="M","M(여름)",IF(MID($D412,5,1)="X","X(사계절)",MID($D412,5,1)))))</f>
        <v>X(사계절)</v>
      </c>
      <c r="H412" s="26" t="s">
        <v>79</v>
      </c>
      <c r="I412" s="25"/>
      <c r="J412" s="28" t="s">
        <v>459</v>
      </c>
      <c r="K412" s="29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9" t="n">
        <f aca="false">IF($K412="","",IF(AND($K412-기준정보!$C$5&gt;=기준정보!$C$10,$K412-기준정보!$C$5&lt;=기준정보!$C$11),기준정보!$C$10-1,$K412-기준정보!$C$5))</f>
        <v>46422</v>
      </c>
      <c r="M412" s="30" t="n">
        <f aca="false">IF($L412="","",IF(OR(ISNUMBER(SEARCH("중국",$U412)),ISNUMBER(SEARCH("베트남",$U412))),MAX(0,MIN($L412,기준정보!$C$9)-MAX($L412-기준정보!$C$6,기준정보!$C$8)+1),IF(ISNUMBER(SEARCH("한국",$U412)),MAX(0,MIN($L412,기준정보!$C$11)-MAX($L412-기준정보!$C$6,기준정보!$C$10)+1),0)))</f>
        <v>0</v>
      </c>
      <c r="N412" s="29" t="n">
        <f aca="false">IF($L412="","",$L412-기준정보!$C$6-$M412)</f>
        <v>46332</v>
      </c>
      <c r="O412" s="31" t="n">
        <f aca="false">IF($N412="","",$N412-기준정보!$C$4)</f>
        <v>90</v>
      </c>
      <c r="P412" s="28" t="s">
        <v>83</v>
      </c>
      <c r="Q412" s="28" t="s">
        <v>83</v>
      </c>
      <c r="R412" s="32"/>
      <c r="S412" s="27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T412" s="26" t="s">
        <v>165</v>
      </c>
      <c r="U412" s="26" t="s">
        <v>166</v>
      </c>
      <c r="V412" s="33" t="n">
        <v>7000</v>
      </c>
      <c r="W412" s="27"/>
      <c r="X412" s="27" t="str">
        <f aca="false">IF($K412="","출고일 미정",IF($P412="X","작지 미발행",IF($P412="부분","작지 일부 미발행",IF(AND($R412&lt;&gt;"",$R412&gt;$N412),"소재입고 마감("&amp;TEXT($N412,"MM/DD")&amp;") 초과",IF($P412="","발행여부 확인 필요",IF($R412="","소재 입고일정 확인 필요","정상"))))))</f>
        <v>작지 미발행</v>
      </c>
      <c r="Y412" s="25" t="str">
        <f aca="false">IF($K412="","",IF(OR(LEFT($X412,2)="작지",LEFT($X412,4)="소재입고"),IF(LEFT($G412,1)="S","★ 납기위험(S코드)","◆ 지연주의"),IF($X412="정상","✓ 정상","? 확인필요")))</f>
        <v>◆ 지연주의</v>
      </c>
      <c r="Z412" s="28"/>
      <c r="AA412" s="34"/>
    </row>
    <row r="413" customFormat="false" ht="15" hidden="false" customHeight="false" outlineLevel="0" collapsed="false">
      <c r="A413" s="25" t="n">
        <v>409</v>
      </c>
      <c r="B413" s="26" t="s">
        <v>700</v>
      </c>
      <c r="C413" s="26" t="s">
        <v>701</v>
      </c>
      <c r="D413" s="27" t="s">
        <v>1239</v>
      </c>
      <c r="E413" s="26" t="s">
        <v>1240</v>
      </c>
      <c r="F413" s="27" t="s">
        <v>1241</v>
      </c>
      <c r="G413" s="25" t="str">
        <f aca="false">IF($D413="","",IF(MID($D413,5,1)="S","S(봄)",IF(MID($D413,5,1)="M","M(여름)",IF(MID($D413,5,1)="X","X(사계절)",MID($D413,5,1)))))</f>
        <v>X(사계절)</v>
      </c>
      <c r="H413" s="26" t="s">
        <v>79</v>
      </c>
      <c r="I413" s="25"/>
      <c r="J413" s="28" t="s">
        <v>459</v>
      </c>
      <c r="K413" s="29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9" t="n">
        <f aca="false">IF($K413="","",IF(AND($K413-기준정보!$C$5&gt;=기준정보!$C$10,$K413-기준정보!$C$5&lt;=기준정보!$C$11),기준정보!$C$10-1,$K413-기준정보!$C$5))</f>
        <v>46422</v>
      </c>
      <c r="M413" s="30" t="n">
        <f aca="false">IF($L413="","",IF(OR(ISNUMBER(SEARCH("중국",$U413)),ISNUMBER(SEARCH("베트남",$U413))),MAX(0,MIN($L413,기준정보!$C$9)-MAX($L413-기준정보!$C$6,기준정보!$C$8)+1),IF(ISNUMBER(SEARCH("한국",$U413)),MAX(0,MIN($L413,기준정보!$C$11)-MAX($L413-기준정보!$C$6,기준정보!$C$10)+1),0)))</f>
        <v>0</v>
      </c>
      <c r="N413" s="29" t="n">
        <f aca="false">IF($L413="","",$L413-기준정보!$C$6-$M413)</f>
        <v>46332</v>
      </c>
      <c r="O413" s="31" t="n">
        <f aca="false">IF($N413="","",$N413-기준정보!$C$4)</f>
        <v>90</v>
      </c>
      <c r="P413" s="28" t="s">
        <v>83</v>
      </c>
      <c r="Q413" s="28" t="s">
        <v>83</v>
      </c>
      <c r="R413" s="32"/>
      <c r="S413" s="27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T413" s="26" t="s">
        <v>1235</v>
      </c>
      <c r="U413" s="26" t="s">
        <v>166</v>
      </c>
      <c r="V413" s="33" t="n">
        <v>4500</v>
      </c>
      <c r="W413" s="27"/>
      <c r="X413" s="27" t="str">
        <f aca="false">IF($K413="","출고일 미정",IF($P413="X","작지 미발행",IF($P413="부분","작지 일부 미발행",IF(AND($R413&lt;&gt;"",$R413&gt;$N413),"소재입고 마감("&amp;TEXT($N413,"MM/DD")&amp;") 초과",IF($P413="","발행여부 확인 필요",IF($R413="","소재 입고일정 확인 필요","정상"))))))</f>
        <v>작지 미발행</v>
      </c>
      <c r="Y413" s="25" t="str">
        <f aca="false">IF($K413="","",IF(OR(LEFT($X413,2)="작지",LEFT($X413,4)="소재입고"),IF(LEFT($G413,1)="S","★ 납기위험(S코드)","◆ 지연주의"),IF($X413="정상","✓ 정상","? 확인필요")))</f>
        <v>◆ 지연주의</v>
      </c>
      <c r="Z413" s="28"/>
      <c r="AA413" s="34"/>
    </row>
    <row r="414" customFormat="false" ht="15" hidden="false" customHeight="false" outlineLevel="0" collapsed="false">
      <c r="A414" s="25" t="n">
        <v>410</v>
      </c>
      <c r="B414" s="26" t="s">
        <v>700</v>
      </c>
      <c r="C414" s="26" t="s">
        <v>701</v>
      </c>
      <c r="D414" s="27" t="s">
        <v>1242</v>
      </c>
      <c r="E414" s="26" t="s">
        <v>1243</v>
      </c>
      <c r="F414" s="27" t="s">
        <v>1141</v>
      </c>
      <c r="G414" s="25" t="str">
        <f aca="false">IF($D414="","",IF(MID($D414,5,1)="S","S(봄)",IF(MID($D414,5,1)="M","M(여름)",IF(MID($D414,5,1)="X","X(사계절)",MID($D414,5,1)))))</f>
        <v>X(사계절)</v>
      </c>
      <c r="H414" s="26" t="s">
        <v>79</v>
      </c>
      <c r="I414" s="25"/>
      <c r="J414" s="28" t="s">
        <v>459</v>
      </c>
      <c r="K414" s="29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9" t="n">
        <f aca="false">IF($K414="","",IF(AND($K414-기준정보!$C$5&gt;=기준정보!$C$10,$K414-기준정보!$C$5&lt;=기준정보!$C$11),기준정보!$C$10-1,$K414-기준정보!$C$5))</f>
        <v>46422</v>
      </c>
      <c r="M414" s="30" t="n">
        <f aca="false">IF($L414="","",IF(OR(ISNUMBER(SEARCH("중국",$U414)),ISNUMBER(SEARCH("베트남",$U414))),MAX(0,MIN($L414,기준정보!$C$9)-MAX($L414-기준정보!$C$6,기준정보!$C$8)+1),IF(ISNUMBER(SEARCH("한국",$U414)),MAX(0,MIN($L414,기준정보!$C$11)-MAX($L414-기준정보!$C$6,기준정보!$C$10)+1),0)))</f>
        <v>0</v>
      </c>
      <c r="N414" s="29" t="n">
        <f aca="false">IF($L414="","",$L414-기준정보!$C$6-$M414)</f>
        <v>46332</v>
      </c>
      <c r="O414" s="31" t="n">
        <f aca="false">IF($N414="","",$N414-기준정보!$C$4)</f>
        <v>90</v>
      </c>
      <c r="P414" s="28" t="s">
        <v>83</v>
      </c>
      <c r="Q414" s="28" t="s">
        <v>83</v>
      </c>
      <c r="R414" s="32"/>
      <c r="S414" s="27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T414" s="26" t="s">
        <v>1235</v>
      </c>
      <c r="U414" s="26" t="s">
        <v>166</v>
      </c>
      <c r="V414" s="33" t="n">
        <v>3500</v>
      </c>
      <c r="W414" s="27"/>
      <c r="X414" s="27" t="str">
        <f aca="false">IF($K414="","출고일 미정",IF($P414="X","작지 미발행",IF($P414="부분","작지 일부 미발행",IF(AND($R414&lt;&gt;"",$R414&gt;$N414),"소재입고 마감("&amp;TEXT($N414,"MM/DD")&amp;") 초과",IF($P414="","발행여부 확인 필요",IF($R414="","소재 입고일정 확인 필요","정상"))))))</f>
        <v>작지 미발행</v>
      </c>
      <c r="Y414" s="25" t="str">
        <f aca="false">IF($K414="","",IF(OR(LEFT($X414,2)="작지",LEFT($X414,4)="소재입고"),IF(LEFT($G414,1)="S","★ 납기위험(S코드)","◆ 지연주의"),IF($X414="정상","✓ 정상","? 확인필요")))</f>
        <v>◆ 지연주의</v>
      </c>
      <c r="Z414" s="28"/>
      <c r="AA414" s="34"/>
    </row>
    <row r="415" customFormat="false" ht="15" hidden="false" customHeight="false" outlineLevel="0" collapsed="false">
      <c r="A415" s="25" t="n">
        <v>411</v>
      </c>
      <c r="B415" s="26" t="s">
        <v>700</v>
      </c>
      <c r="C415" s="26" t="s">
        <v>701</v>
      </c>
      <c r="D415" s="27" t="s">
        <v>1244</v>
      </c>
      <c r="E415" s="26" t="s">
        <v>1245</v>
      </c>
      <c r="F415" s="27" t="s">
        <v>1246</v>
      </c>
      <c r="G415" s="25" t="str">
        <f aca="false">IF($D415="","",IF(MID($D415,5,1)="S","S(봄)",IF(MID($D415,5,1)="M","M(여름)",IF(MID($D415,5,1)="X","X(사계절)",MID($D415,5,1)))))</f>
        <v>X(사계절)</v>
      </c>
      <c r="H415" s="26" t="s">
        <v>79</v>
      </c>
      <c r="I415" s="25"/>
      <c r="J415" s="28" t="s">
        <v>459</v>
      </c>
      <c r="K415" s="29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9" t="n">
        <f aca="false">IF($K415="","",IF(AND($K415-기준정보!$C$5&gt;=기준정보!$C$10,$K415-기준정보!$C$5&lt;=기준정보!$C$11),기준정보!$C$10-1,$K415-기준정보!$C$5))</f>
        <v>46422</v>
      </c>
      <c r="M415" s="30" t="n">
        <f aca="false">IF($L415="","",IF(OR(ISNUMBER(SEARCH("중국",$U415)),ISNUMBER(SEARCH("베트남",$U415))),MAX(0,MIN($L415,기준정보!$C$9)-MAX($L415-기준정보!$C$6,기준정보!$C$8)+1),IF(ISNUMBER(SEARCH("한국",$U415)),MAX(0,MIN($L415,기준정보!$C$11)-MAX($L415-기준정보!$C$6,기준정보!$C$10)+1),0)))</f>
        <v>0</v>
      </c>
      <c r="N415" s="29" t="n">
        <f aca="false">IF($L415="","",$L415-기준정보!$C$6-$M415)</f>
        <v>46332</v>
      </c>
      <c r="O415" s="31" t="n">
        <f aca="false">IF($N415="","",$N415-기준정보!$C$4)</f>
        <v>90</v>
      </c>
      <c r="P415" s="28" t="s">
        <v>83</v>
      </c>
      <c r="Q415" s="28" t="s">
        <v>83</v>
      </c>
      <c r="R415" s="32"/>
      <c r="S415" s="27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T415" s="26" t="s">
        <v>1235</v>
      </c>
      <c r="U415" s="26" t="s">
        <v>166</v>
      </c>
      <c r="V415" s="33" t="n">
        <v>4500</v>
      </c>
      <c r="W415" s="27"/>
      <c r="X415" s="27" t="str">
        <f aca="false">IF($K415="","출고일 미정",IF($P415="X","작지 미발행",IF($P415="부분","작지 일부 미발행",IF(AND($R415&lt;&gt;"",$R415&gt;$N415),"소재입고 마감("&amp;TEXT($N415,"MM/DD")&amp;") 초과",IF($P415="","발행여부 확인 필요",IF($R415="","소재 입고일정 확인 필요","정상"))))))</f>
        <v>작지 미발행</v>
      </c>
      <c r="Y415" s="25" t="str">
        <f aca="false">IF($K415="","",IF(OR(LEFT($X415,2)="작지",LEFT($X415,4)="소재입고"),IF(LEFT($G415,1)="S","★ 납기위험(S코드)","◆ 지연주의"),IF($X415="정상","✓ 정상","? 확인필요")))</f>
        <v>◆ 지연주의</v>
      </c>
      <c r="Z415" s="28"/>
      <c r="AA415" s="34"/>
    </row>
    <row r="416" customFormat="false" ht="15" hidden="false" customHeight="false" outlineLevel="0" collapsed="false">
      <c r="A416" s="25" t="n">
        <v>412</v>
      </c>
      <c r="B416" s="26" t="s">
        <v>224</v>
      </c>
      <c r="C416" s="26" t="s">
        <v>701</v>
      </c>
      <c r="D416" s="27" t="s">
        <v>1247</v>
      </c>
      <c r="E416" s="27" t="s">
        <v>1248</v>
      </c>
      <c r="F416" s="27" t="s">
        <v>1249</v>
      </c>
      <c r="G416" s="25" t="str">
        <f aca="false">IF($D416="","",IF(MID($D416,5,1)="S","S(봄)",IF(MID($D416,5,1)="M","M(여름)",IF(MID($D416,5,1)="X","X(사계절)",MID($D416,5,1)))))</f>
        <v>X(사계절)</v>
      </c>
      <c r="H416" s="26" t="s">
        <v>79</v>
      </c>
      <c r="I416" s="25" t="s">
        <v>481</v>
      </c>
      <c r="J416" s="28" t="s">
        <v>541</v>
      </c>
      <c r="K416" s="29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9" t="n">
        <f aca="false">IF($K416="","",IF(AND($K416-기준정보!$C$5&gt;=기준정보!$C$10,$K416-기준정보!$C$5&lt;=기준정보!$C$11),기준정보!$C$10-1,$K416-기준정보!$C$5))</f>
        <v>46433</v>
      </c>
      <c r="M416" s="30" t="n">
        <f aca="false">IF($L416="","",IF(OR(ISNUMBER(SEARCH("중국",$U416)),ISNUMBER(SEARCH("베트남",$U416))),MAX(0,MIN($L416,기준정보!$C$9)-MAX($L416-기준정보!$C$6,기준정보!$C$8)+1),IF(ISNUMBER(SEARCH("한국",$U416)),MAX(0,MIN($L416,기준정보!$C$11)-MAX($L416-기준정보!$C$6,기준정보!$C$10)+1),0)))</f>
        <v>0</v>
      </c>
      <c r="N416" s="29" t="n">
        <f aca="false">IF($L416="","",$L416-기준정보!$C$6-$M416)</f>
        <v>46343</v>
      </c>
      <c r="O416" s="31" t="n">
        <f aca="false">IF($N416="","",$N416-기준정보!$C$4)</f>
        <v>101</v>
      </c>
      <c r="P416" s="28" t="s">
        <v>83</v>
      </c>
      <c r="Q416" s="28" t="s">
        <v>83</v>
      </c>
      <c r="R416" s="32"/>
      <c r="S416" s="27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T416" s="26" t="s">
        <v>1250</v>
      </c>
      <c r="U416" s="26" t="s">
        <v>166</v>
      </c>
      <c r="V416" s="33" t="n">
        <v>1100</v>
      </c>
      <c r="W416" s="27" t="s">
        <v>541</v>
      </c>
      <c r="X416" s="27" t="str">
        <f aca="false">IF($K416="","출고일 미정",IF($P416="X","작지 미발행",IF($P416="부분","작지 일부 미발행",IF(AND($R416&lt;&gt;"",$R416&gt;$N416),"소재입고 마감("&amp;TEXT($N416,"MM/DD")&amp;") 초과",IF($P416="","발행여부 확인 필요",IF($R416="","소재 입고일정 확인 필요","정상"))))))</f>
        <v>작지 미발행</v>
      </c>
      <c r="Y416" s="25" t="str">
        <f aca="false">IF($K416="","",IF(OR(LEFT($X416,2)="작지",LEFT($X416,4)="소재입고"),IF(LEFT($G416,1)="S","★ 납기위험(S코드)","◆ 지연주의"),IF($X416="정상","✓ 정상","? 확인필요")))</f>
        <v>◆ 지연주의</v>
      </c>
      <c r="Z416" s="28"/>
      <c r="AA416" s="34"/>
    </row>
    <row r="417" customFormat="false" ht="15" hidden="false" customHeight="false" outlineLevel="0" collapsed="false">
      <c r="A417" s="25" t="n">
        <v>413</v>
      </c>
      <c r="B417" s="26" t="s">
        <v>224</v>
      </c>
      <c r="C417" s="26" t="s">
        <v>701</v>
      </c>
      <c r="D417" s="27" t="s">
        <v>1251</v>
      </c>
      <c r="E417" s="27" t="s">
        <v>1252</v>
      </c>
      <c r="F417" s="27" t="s">
        <v>160</v>
      </c>
      <c r="G417" s="25" t="str">
        <f aca="false">IF($D417="","",IF(MID($D417,5,1)="S","S(봄)",IF(MID($D417,5,1)="M","M(여름)",IF(MID($D417,5,1)="X","X(사계절)",MID($D417,5,1)))))</f>
        <v>X(사계절)</v>
      </c>
      <c r="H417" s="26" t="s">
        <v>79</v>
      </c>
      <c r="I417" s="25" t="s">
        <v>481</v>
      </c>
      <c r="J417" s="28" t="s">
        <v>541</v>
      </c>
      <c r="K417" s="29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9" t="n">
        <f aca="false">IF($K417="","",IF(AND($K417-기준정보!$C$5&gt;=기준정보!$C$10,$K417-기준정보!$C$5&lt;=기준정보!$C$11),기준정보!$C$10-1,$K417-기준정보!$C$5))</f>
        <v>46433</v>
      </c>
      <c r="M417" s="30" t="n">
        <f aca="false">IF($L417="","",IF(OR(ISNUMBER(SEARCH("중국",$U417)),ISNUMBER(SEARCH("베트남",$U417))),MAX(0,MIN($L417,기준정보!$C$9)-MAX($L417-기준정보!$C$6,기준정보!$C$8)+1),IF(ISNUMBER(SEARCH("한국",$U417)),MAX(0,MIN($L417,기준정보!$C$11)-MAX($L417-기준정보!$C$6,기준정보!$C$10)+1),0)))</f>
        <v>15</v>
      </c>
      <c r="N417" s="29" t="n">
        <f aca="false">IF($L417="","",$L417-기준정보!$C$6-$M417)</f>
        <v>46328</v>
      </c>
      <c r="O417" s="31" t="n">
        <f aca="false">IF($N417="","",$N417-기준정보!$C$4)</f>
        <v>86</v>
      </c>
      <c r="P417" s="28" t="s">
        <v>83</v>
      </c>
      <c r="Q417" s="28" t="s">
        <v>82</v>
      </c>
      <c r="R417" s="32"/>
      <c r="S417" s="27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T417" s="26" t="s">
        <v>1156</v>
      </c>
      <c r="U417" s="26" t="s">
        <v>85</v>
      </c>
      <c r="V417" s="33" t="n">
        <v>1600</v>
      </c>
      <c r="W417" s="27"/>
      <c r="X417" s="27" t="str">
        <f aca="false">IF($K417="","출고일 미정",IF($P417="X","작지 미발행",IF($P417="부분","작지 일부 미발행",IF(AND($R417&lt;&gt;"",$R417&gt;$N417),"소재입고 마감("&amp;TEXT($N417,"MM/DD")&amp;") 초과",IF($P417="","발행여부 확인 필요",IF($R417="","소재 입고일정 확인 필요","정상"))))))</f>
        <v>작지 미발행</v>
      </c>
      <c r="Y417" s="25" t="str">
        <f aca="false">IF($K417="","",IF(OR(LEFT($X417,2)="작지",LEFT($X417,4)="소재입고"),IF(LEFT($G417,1)="S","★ 납기위험(S코드)","◆ 지연주의"),IF($X417="정상","✓ 정상","? 확인필요")))</f>
        <v>◆ 지연주의</v>
      </c>
      <c r="Z417" s="28"/>
      <c r="AA417" s="34"/>
    </row>
    <row r="418" customFormat="false" ht="15" hidden="false" customHeight="false" outlineLevel="0" collapsed="false">
      <c r="A418" s="25" t="n">
        <v>414</v>
      </c>
      <c r="B418" s="26" t="s">
        <v>224</v>
      </c>
      <c r="C418" s="26" t="s">
        <v>701</v>
      </c>
      <c r="D418" s="27" t="s">
        <v>1253</v>
      </c>
      <c r="E418" s="27" t="s">
        <v>1254</v>
      </c>
      <c r="F418" s="27" t="s">
        <v>160</v>
      </c>
      <c r="G418" s="25" t="str">
        <f aca="false">IF($D418="","",IF(MID($D418,5,1)="S","S(봄)",IF(MID($D418,5,1)="M","M(여름)",IF(MID($D418,5,1)="X","X(사계절)",MID($D418,5,1)))))</f>
        <v>X(사계절)</v>
      </c>
      <c r="H418" s="26" t="s">
        <v>79</v>
      </c>
      <c r="I418" s="25" t="s">
        <v>481</v>
      </c>
      <c r="J418" s="28" t="s">
        <v>541</v>
      </c>
      <c r="K418" s="29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9" t="n">
        <f aca="false">IF($K418="","",IF(AND($K418-기준정보!$C$5&gt;=기준정보!$C$10,$K418-기준정보!$C$5&lt;=기준정보!$C$11),기준정보!$C$10-1,$K418-기준정보!$C$5))</f>
        <v>46433</v>
      </c>
      <c r="M418" s="30" t="n">
        <f aca="false">IF($L418="","",IF(OR(ISNUMBER(SEARCH("중국",$U418)),ISNUMBER(SEARCH("베트남",$U418))),MAX(0,MIN($L418,기준정보!$C$9)-MAX($L418-기준정보!$C$6,기준정보!$C$8)+1),IF(ISNUMBER(SEARCH("한국",$U418)),MAX(0,MIN($L418,기준정보!$C$11)-MAX($L418-기준정보!$C$6,기준정보!$C$10)+1),0)))</f>
        <v>15</v>
      </c>
      <c r="N418" s="29" t="n">
        <f aca="false">IF($L418="","",$L418-기준정보!$C$6-$M418)</f>
        <v>46328</v>
      </c>
      <c r="O418" s="31" t="n">
        <f aca="false">IF($N418="","",$N418-기준정보!$C$4)</f>
        <v>86</v>
      </c>
      <c r="P418" s="28" t="s">
        <v>83</v>
      </c>
      <c r="Q418" s="28"/>
      <c r="R418" s="32"/>
      <c r="S418" s="27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T418" s="26" t="s">
        <v>1156</v>
      </c>
      <c r="U418" s="26" t="s">
        <v>85</v>
      </c>
      <c r="V418" s="33" t="n">
        <v>500</v>
      </c>
      <c r="W418" s="27"/>
      <c r="X418" s="27" t="str">
        <f aca="false">IF($K418="","출고일 미정",IF($P418="X","작지 미발행",IF($P418="부분","작지 일부 미발행",IF(AND($R418&lt;&gt;"",$R418&gt;$N418),"소재입고 마감("&amp;TEXT($N418,"MM/DD")&amp;") 초과",IF($P418="","발행여부 확인 필요",IF($R418="","소재 입고일정 확인 필요","정상"))))))</f>
        <v>작지 미발행</v>
      </c>
      <c r="Y418" s="25" t="str">
        <f aca="false">IF($K418="","",IF(OR(LEFT($X418,2)="작지",LEFT($X418,4)="소재입고"),IF(LEFT($G418,1)="S","★ 납기위험(S코드)","◆ 지연주의"),IF($X418="정상","✓ 정상","? 확인필요")))</f>
        <v>◆ 지연주의</v>
      </c>
      <c r="Z418" s="28"/>
      <c r="AA418" s="34"/>
    </row>
    <row r="419" customFormat="false" ht="15" hidden="false" customHeight="false" outlineLevel="0" collapsed="false">
      <c r="A419" s="25" t="n">
        <v>415</v>
      </c>
      <c r="B419" s="26" t="s">
        <v>224</v>
      </c>
      <c r="C419" s="26" t="s">
        <v>701</v>
      </c>
      <c r="D419" s="27" t="s">
        <v>1255</v>
      </c>
      <c r="E419" s="27" t="s">
        <v>1256</v>
      </c>
      <c r="F419" s="27" t="s">
        <v>1257</v>
      </c>
      <c r="G419" s="25" t="str">
        <f aca="false">IF($D419="","",IF(MID($D419,5,1)="S","S(봄)",IF(MID($D419,5,1)="M","M(여름)",IF(MID($D419,5,1)="X","X(사계절)",MID($D419,5,1)))))</f>
        <v>X(사계절)</v>
      </c>
      <c r="H419" s="26" t="s">
        <v>79</v>
      </c>
      <c r="I419" s="25" t="s">
        <v>481</v>
      </c>
      <c r="J419" s="28" t="s">
        <v>541</v>
      </c>
      <c r="K419" s="29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9" t="n">
        <f aca="false">IF($K419="","",IF(AND($K419-기준정보!$C$5&gt;=기준정보!$C$10,$K419-기준정보!$C$5&lt;=기준정보!$C$11),기준정보!$C$10-1,$K419-기준정보!$C$5))</f>
        <v>46433</v>
      </c>
      <c r="M419" s="30" t="n">
        <f aca="false">IF($L419="","",IF(OR(ISNUMBER(SEARCH("중국",$U419)),ISNUMBER(SEARCH("베트남",$U419))),MAX(0,MIN($L419,기준정보!$C$9)-MAX($L419-기준정보!$C$6,기준정보!$C$8)+1),IF(ISNUMBER(SEARCH("한국",$U419)),MAX(0,MIN($L419,기준정보!$C$11)-MAX($L419-기준정보!$C$6,기준정보!$C$10)+1),0)))</f>
        <v>15</v>
      </c>
      <c r="N419" s="29" t="n">
        <f aca="false">IF($L419="","",$L419-기준정보!$C$6-$M419)</f>
        <v>46328</v>
      </c>
      <c r="O419" s="31" t="n">
        <f aca="false">IF($N419="","",$N419-기준정보!$C$4)</f>
        <v>86</v>
      </c>
      <c r="P419" s="28" t="s">
        <v>83</v>
      </c>
      <c r="Q419" s="28" t="s">
        <v>82</v>
      </c>
      <c r="R419" s="32"/>
      <c r="S419" s="27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T419" s="26" t="s">
        <v>1156</v>
      </c>
      <c r="U419" s="26" t="s">
        <v>85</v>
      </c>
      <c r="V419" s="33" t="n">
        <v>1200</v>
      </c>
      <c r="W419" s="27"/>
      <c r="X419" s="27" t="str">
        <f aca="false">IF($K419="","출고일 미정",IF($P419="X","작지 미발행",IF($P419="부분","작지 일부 미발행",IF(AND($R419&lt;&gt;"",$R419&gt;$N419),"소재입고 마감("&amp;TEXT($N419,"MM/DD")&amp;") 초과",IF($P419="","발행여부 확인 필요",IF($R419="","소재 입고일정 확인 필요","정상"))))))</f>
        <v>작지 미발행</v>
      </c>
      <c r="Y419" s="25" t="str">
        <f aca="false">IF($K419="","",IF(OR(LEFT($X419,2)="작지",LEFT($X419,4)="소재입고"),IF(LEFT($G419,1)="S","★ 납기위험(S코드)","◆ 지연주의"),IF($X419="정상","✓ 정상","? 확인필요")))</f>
        <v>◆ 지연주의</v>
      </c>
      <c r="Z419" s="28"/>
      <c r="AA419" s="34"/>
    </row>
    <row r="420" customFormat="false" ht="15" hidden="false" customHeight="false" outlineLevel="0" collapsed="false">
      <c r="A420" s="25" t="n">
        <v>416</v>
      </c>
      <c r="B420" s="26" t="s">
        <v>224</v>
      </c>
      <c r="C420" s="26" t="s">
        <v>701</v>
      </c>
      <c r="D420" s="27" t="s">
        <v>1258</v>
      </c>
      <c r="E420" s="27" t="s">
        <v>1259</v>
      </c>
      <c r="F420" s="27" t="s">
        <v>1260</v>
      </c>
      <c r="G420" s="25" t="str">
        <f aca="false">IF($D420="","",IF(MID($D420,5,1)="S","S(봄)",IF(MID($D420,5,1)="M","M(여름)",IF(MID($D420,5,1)="X","X(사계절)",MID($D420,5,1)))))</f>
        <v>X(사계절)</v>
      </c>
      <c r="H420" s="26" t="s">
        <v>79</v>
      </c>
      <c r="I420" s="25" t="s">
        <v>481</v>
      </c>
      <c r="J420" s="28" t="s">
        <v>541</v>
      </c>
      <c r="K420" s="29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9" t="n">
        <f aca="false">IF($K420="","",IF(AND($K420-기준정보!$C$5&gt;=기준정보!$C$10,$K420-기준정보!$C$5&lt;=기준정보!$C$11),기준정보!$C$10-1,$K420-기준정보!$C$5))</f>
        <v>46433</v>
      </c>
      <c r="M420" s="30" t="n">
        <f aca="false">IF($L420="","",IF(OR(ISNUMBER(SEARCH("중국",$U420)),ISNUMBER(SEARCH("베트남",$U420))),MAX(0,MIN($L420,기준정보!$C$9)-MAX($L420-기준정보!$C$6,기준정보!$C$8)+1),IF(ISNUMBER(SEARCH("한국",$U420)),MAX(0,MIN($L420,기준정보!$C$11)-MAX($L420-기준정보!$C$6,기준정보!$C$10)+1),0)))</f>
        <v>15</v>
      </c>
      <c r="N420" s="29" t="n">
        <f aca="false">IF($L420="","",$L420-기준정보!$C$6-$M420)</f>
        <v>46328</v>
      </c>
      <c r="O420" s="31" t="n">
        <f aca="false">IF($N420="","",$N420-기준정보!$C$4)</f>
        <v>86</v>
      </c>
      <c r="P420" s="28" t="s">
        <v>83</v>
      </c>
      <c r="Q420" s="28" t="s">
        <v>82</v>
      </c>
      <c r="R420" s="32"/>
      <c r="S420" s="27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T420" s="26" t="s">
        <v>1156</v>
      </c>
      <c r="U420" s="26" t="s">
        <v>85</v>
      </c>
      <c r="V420" s="33" t="n">
        <v>1300</v>
      </c>
      <c r="W420" s="27"/>
      <c r="X420" s="27" t="str">
        <f aca="false">IF($K420="","출고일 미정",IF($P420="X","작지 미발행",IF($P420="부분","작지 일부 미발행",IF(AND($R420&lt;&gt;"",$R420&gt;$N420),"소재입고 마감("&amp;TEXT($N420,"MM/DD")&amp;") 초과",IF($P420="","발행여부 확인 필요",IF($R420="","소재 입고일정 확인 필요","정상"))))))</f>
        <v>작지 미발행</v>
      </c>
      <c r="Y420" s="25" t="str">
        <f aca="false">IF($K420="","",IF(OR(LEFT($X420,2)="작지",LEFT($X420,4)="소재입고"),IF(LEFT($G420,1)="S","★ 납기위험(S코드)","◆ 지연주의"),IF($X420="정상","✓ 정상","? 확인필요")))</f>
        <v>◆ 지연주의</v>
      </c>
      <c r="Z420" s="28"/>
      <c r="AA420" s="34"/>
    </row>
    <row r="421" customFormat="false" ht="15" hidden="false" customHeight="false" outlineLevel="0" collapsed="false">
      <c r="A421" s="25" t="n">
        <v>417</v>
      </c>
      <c r="B421" s="26" t="s">
        <v>224</v>
      </c>
      <c r="C421" s="26" t="s">
        <v>701</v>
      </c>
      <c r="D421" s="27" t="s">
        <v>1261</v>
      </c>
      <c r="E421" s="27" t="s">
        <v>1262</v>
      </c>
      <c r="F421" s="27" t="s">
        <v>1263</v>
      </c>
      <c r="G421" s="25" t="str">
        <f aca="false">IF($D421="","",IF(MID($D421,5,1)="S","S(봄)",IF(MID($D421,5,1)="M","M(여름)",IF(MID($D421,5,1)="X","X(사계절)",MID($D421,5,1)))))</f>
        <v>X(사계절)</v>
      </c>
      <c r="H421" s="26" t="s">
        <v>79</v>
      </c>
      <c r="I421" s="25" t="s">
        <v>481</v>
      </c>
      <c r="J421" s="28" t="s">
        <v>541</v>
      </c>
      <c r="K421" s="29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9" t="n">
        <f aca="false">IF($K421="","",IF(AND($K421-기준정보!$C$5&gt;=기준정보!$C$10,$K421-기준정보!$C$5&lt;=기준정보!$C$11),기준정보!$C$10-1,$K421-기준정보!$C$5))</f>
        <v>46433</v>
      </c>
      <c r="M421" s="30" t="n">
        <f aca="false">IF($L421="","",IF(OR(ISNUMBER(SEARCH("중국",$U421)),ISNUMBER(SEARCH("베트남",$U421))),MAX(0,MIN($L421,기준정보!$C$9)-MAX($L421-기준정보!$C$6,기준정보!$C$8)+1),IF(ISNUMBER(SEARCH("한국",$U421)),MAX(0,MIN($L421,기준정보!$C$11)-MAX($L421-기준정보!$C$6,기준정보!$C$10)+1),0)))</f>
        <v>0</v>
      </c>
      <c r="N421" s="29" t="n">
        <f aca="false">IF($L421="","",$L421-기준정보!$C$6-$M421)</f>
        <v>46343</v>
      </c>
      <c r="O421" s="31" t="n">
        <f aca="false">IF($N421="","",$N421-기준정보!$C$4)</f>
        <v>101</v>
      </c>
      <c r="P421" s="28" t="s">
        <v>83</v>
      </c>
      <c r="Q421" s="28" t="s">
        <v>83</v>
      </c>
      <c r="R421" s="32"/>
      <c r="S421" s="27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T421" s="26" t="s">
        <v>1129</v>
      </c>
      <c r="U421" s="26" t="s">
        <v>166</v>
      </c>
      <c r="V421" s="33" t="n">
        <v>1600</v>
      </c>
      <c r="W421" s="27"/>
      <c r="X421" s="27" t="str">
        <f aca="false">IF($K421="","출고일 미정",IF($P421="X","작지 미발행",IF($P421="부분","작지 일부 미발행",IF(AND($R421&lt;&gt;"",$R421&gt;$N421),"소재입고 마감("&amp;TEXT($N421,"MM/DD")&amp;") 초과",IF($P421="","발행여부 확인 필요",IF($R421="","소재 입고일정 확인 필요","정상"))))))</f>
        <v>작지 미발행</v>
      </c>
      <c r="Y421" s="25" t="str">
        <f aca="false">IF($K421="","",IF(OR(LEFT($X421,2)="작지",LEFT($X421,4)="소재입고"),IF(LEFT($G421,1)="S","★ 납기위험(S코드)","◆ 지연주의"),IF($X421="정상","✓ 정상","? 확인필요")))</f>
        <v>◆ 지연주의</v>
      </c>
      <c r="Z421" s="28"/>
      <c r="AA421" s="34"/>
    </row>
    <row r="422" customFormat="false" ht="15" hidden="false" customHeight="false" outlineLevel="0" collapsed="false">
      <c r="A422" s="25" t="n">
        <v>418</v>
      </c>
      <c r="B422" s="26" t="s">
        <v>224</v>
      </c>
      <c r="C422" s="26" t="s">
        <v>701</v>
      </c>
      <c r="D422" s="27" t="s">
        <v>1264</v>
      </c>
      <c r="E422" s="27" t="s">
        <v>1265</v>
      </c>
      <c r="F422" s="27" t="s">
        <v>1266</v>
      </c>
      <c r="G422" s="25" t="str">
        <f aca="false">IF($D422="","",IF(MID($D422,5,1)="S","S(봄)",IF(MID($D422,5,1)="M","M(여름)",IF(MID($D422,5,1)="X","X(사계절)",MID($D422,5,1)))))</f>
        <v>X(사계절)</v>
      </c>
      <c r="H422" s="26" t="s">
        <v>79</v>
      </c>
      <c r="I422" s="25" t="s">
        <v>481</v>
      </c>
      <c r="J422" s="28" t="s">
        <v>541</v>
      </c>
      <c r="K422" s="29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9" t="n">
        <f aca="false">IF($K422="","",IF(AND($K422-기준정보!$C$5&gt;=기준정보!$C$10,$K422-기준정보!$C$5&lt;=기준정보!$C$11),기준정보!$C$10-1,$K422-기준정보!$C$5))</f>
        <v>46433</v>
      </c>
      <c r="M422" s="30" t="n">
        <f aca="false">IF($L422="","",IF(OR(ISNUMBER(SEARCH("중국",$U422)),ISNUMBER(SEARCH("베트남",$U422))),MAX(0,MIN($L422,기준정보!$C$9)-MAX($L422-기준정보!$C$6,기준정보!$C$8)+1),IF(ISNUMBER(SEARCH("한국",$U422)),MAX(0,MIN($L422,기준정보!$C$11)-MAX($L422-기준정보!$C$6,기준정보!$C$10)+1),0)))</f>
        <v>15</v>
      </c>
      <c r="N422" s="29" t="n">
        <f aca="false">IF($L422="","",$L422-기준정보!$C$6-$M422)</f>
        <v>46328</v>
      </c>
      <c r="O422" s="31" t="n">
        <f aca="false">IF($N422="","",$N422-기준정보!$C$4)</f>
        <v>86</v>
      </c>
      <c r="P422" s="28" t="s">
        <v>83</v>
      </c>
      <c r="Q422" s="28" t="s">
        <v>82</v>
      </c>
      <c r="R422" s="32"/>
      <c r="S422" s="27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T422" s="26" t="s">
        <v>170</v>
      </c>
      <c r="U422" s="26" t="s">
        <v>85</v>
      </c>
      <c r="V422" s="33" t="n">
        <v>1200</v>
      </c>
      <c r="W422" s="27"/>
      <c r="X422" s="27" t="str">
        <f aca="false">IF($K422="","출고일 미정",IF($P422="X","작지 미발행",IF($P422="부분","작지 일부 미발행",IF(AND($R422&lt;&gt;"",$R422&gt;$N422),"소재입고 마감("&amp;TEXT($N422,"MM/DD")&amp;") 초과",IF($P422="","발행여부 확인 필요",IF($R422="","소재 입고일정 확인 필요","정상"))))))</f>
        <v>작지 미발행</v>
      </c>
      <c r="Y422" s="25" t="str">
        <f aca="false">IF($K422="","",IF(OR(LEFT($X422,2)="작지",LEFT($X422,4)="소재입고"),IF(LEFT($G422,1)="S","★ 납기위험(S코드)","◆ 지연주의"),IF($X422="정상","✓ 정상","? 확인필요")))</f>
        <v>◆ 지연주의</v>
      </c>
      <c r="Z422" s="28"/>
      <c r="AA422" s="34"/>
    </row>
    <row r="423" customFormat="false" ht="15" hidden="false" customHeight="false" outlineLevel="0" collapsed="false">
      <c r="A423" s="25" t="n">
        <v>419</v>
      </c>
      <c r="B423" s="26" t="s">
        <v>224</v>
      </c>
      <c r="C423" s="26" t="s">
        <v>701</v>
      </c>
      <c r="D423" s="27" t="s">
        <v>1267</v>
      </c>
      <c r="E423" s="27" t="s">
        <v>1268</v>
      </c>
      <c r="F423" s="27" t="s">
        <v>1257</v>
      </c>
      <c r="G423" s="25" t="str">
        <f aca="false">IF($D423="","",IF(MID($D423,5,1)="S","S(봄)",IF(MID($D423,5,1)="M","M(여름)",IF(MID($D423,5,1)="X","X(사계절)",MID($D423,5,1)))))</f>
        <v>X(사계절)</v>
      </c>
      <c r="H423" s="26" t="s">
        <v>79</v>
      </c>
      <c r="I423" s="25" t="s">
        <v>481</v>
      </c>
      <c r="J423" s="28" t="s">
        <v>541</v>
      </c>
      <c r="K423" s="29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9" t="n">
        <f aca="false">IF($K423="","",IF(AND($K423-기준정보!$C$5&gt;=기준정보!$C$10,$K423-기준정보!$C$5&lt;=기준정보!$C$11),기준정보!$C$10-1,$K423-기준정보!$C$5))</f>
        <v>46433</v>
      </c>
      <c r="M423" s="30" t="n">
        <f aca="false">IF($L423="","",IF(OR(ISNUMBER(SEARCH("중국",$U423)),ISNUMBER(SEARCH("베트남",$U423))),MAX(0,MIN($L423,기준정보!$C$9)-MAX($L423-기준정보!$C$6,기준정보!$C$8)+1),IF(ISNUMBER(SEARCH("한국",$U423)),MAX(0,MIN($L423,기준정보!$C$11)-MAX($L423-기준정보!$C$6,기준정보!$C$10)+1),0)))</f>
        <v>15</v>
      </c>
      <c r="N423" s="29" t="n">
        <f aca="false">IF($L423="","",$L423-기준정보!$C$6-$M423)</f>
        <v>46328</v>
      </c>
      <c r="O423" s="31" t="n">
        <f aca="false">IF($N423="","",$N423-기준정보!$C$4)</f>
        <v>86</v>
      </c>
      <c r="P423" s="28" t="s">
        <v>83</v>
      </c>
      <c r="Q423" s="28" t="s">
        <v>82</v>
      </c>
      <c r="R423" s="32"/>
      <c r="S423" s="27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T423" s="26" t="s">
        <v>170</v>
      </c>
      <c r="U423" s="26" t="s">
        <v>85</v>
      </c>
      <c r="V423" s="33" t="n">
        <v>900</v>
      </c>
      <c r="W423" s="27"/>
      <c r="X423" s="27" t="str">
        <f aca="false">IF($K423="","출고일 미정",IF($P423="X","작지 미발행",IF($P423="부분","작지 일부 미발행",IF(AND($R423&lt;&gt;"",$R423&gt;$N423),"소재입고 마감("&amp;TEXT($N423,"MM/DD")&amp;") 초과",IF($P423="","발행여부 확인 필요",IF($R423="","소재 입고일정 확인 필요","정상"))))))</f>
        <v>작지 미발행</v>
      </c>
      <c r="Y423" s="25" t="str">
        <f aca="false">IF($K423="","",IF(OR(LEFT($X423,2)="작지",LEFT($X423,4)="소재입고"),IF(LEFT($G423,1)="S","★ 납기위험(S코드)","◆ 지연주의"),IF($X423="정상","✓ 정상","? 확인필요")))</f>
        <v>◆ 지연주의</v>
      </c>
      <c r="Z423" s="28"/>
      <c r="AA423" s="34"/>
    </row>
    <row r="424" customFormat="false" ht="15" hidden="false" customHeight="false" outlineLevel="0" collapsed="false">
      <c r="A424" s="25" t="n">
        <v>420</v>
      </c>
      <c r="B424" s="26" t="s">
        <v>700</v>
      </c>
      <c r="C424" s="26" t="s">
        <v>495</v>
      </c>
      <c r="D424" s="27" t="s">
        <v>1269</v>
      </c>
      <c r="E424" s="26" t="s">
        <v>1270</v>
      </c>
      <c r="F424" s="27" t="s">
        <v>861</v>
      </c>
      <c r="G424" s="25" t="str">
        <f aca="false">IF($D424="","",IF(MID($D424,5,1)="S","S(봄)",IF(MID($D424,5,1)="M","M(여름)",IF(MID($D424,5,1)="X","X(사계절)",MID($D424,5,1)))))</f>
        <v>X(사계절)</v>
      </c>
      <c r="H424" s="26" t="s">
        <v>79</v>
      </c>
      <c r="I424" s="25"/>
      <c r="J424" s="28" t="s">
        <v>626</v>
      </c>
      <c r="K424" s="29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9" t="n">
        <f aca="false">IF($K424="","",IF(AND($K424-기준정보!$C$5&gt;=기준정보!$C$10,$K424-기준정보!$C$5&lt;=기준정보!$C$11),기준정보!$C$10-1,$K424-기준정보!$C$5))</f>
        <v>46440</v>
      </c>
      <c r="M424" s="30" t="n">
        <f aca="false">IF($L424="","",IF(OR(ISNUMBER(SEARCH("중국",$U424)),ISNUMBER(SEARCH("베트남",$U424))),MAX(0,MIN($L424,기준정보!$C$9)-MAX($L424-기준정보!$C$6,기준정보!$C$8)+1),IF(ISNUMBER(SEARCH("한국",$U424)),MAX(0,MIN($L424,기준정보!$C$11)-MAX($L424-기준정보!$C$6,기준정보!$C$10)+1),0)))</f>
        <v>4</v>
      </c>
      <c r="N424" s="29" t="n">
        <f aca="false">IF($L424="","",$L424-기준정보!$C$6-$M424)</f>
        <v>46346</v>
      </c>
      <c r="O424" s="31" t="n">
        <f aca="false">IF($N424="","",$N424-기준정보!$C$4)</f>
        <v>104</v>
      </c>
      <c r="P424" s="28" t="s">
        <v>83</v>
      </c>
      <c r="Q424" s="28" t="s">
        <v>83</v>
      </c>
      <c r="R424" s="32"/>
      <c r="S424" s="27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T424" s="26" t="s">
        <v>900</v>
      </c>
      <c r="U424" s="26" t="s">
        <v>901</v>
      </c>
      <c r="V424" s="33" t="n">
        <v>2000</v>
      </c>
      <c r="W424" s="27"/>
      <c r="X424" s="27" t="str">
        <f aca="false">IF($K424="","출고일 미정",IF($P424="X","작지 미발행",IF($P424="부분","작지 일부 미발행",IF(AND($R424&lt;&gt;"",$R424&gt;$N424),"소재입고 마감("&amp;TEXT($N424,"MM/DD")&amp;") 초과",IF($P424="","발행여부 확인 필요",IF($R424="","소재 입고일정 확인 필요","정상"))))))</f>
        <v>작지 미발행</v>
      </c>
      <c r="Y424" s="25" t="str">
        <f aca="false">IF($K424="","",IF(OR(LEFT($X424,2)="작지",LEFT($X424,4)="소재입고"),IF(LEFT($G424,1)="S","★ 납기위험(S코드)","◆ 지연주의"),IF($X424="정상","✓ 정상","? 확인필요")))</f>
        <v>◆ 지연주의</v>
      </c>
      <c r="Z424" s="28"/>
      <c r="AA424" s="34"/>
    </row>
    <row r="425" customFormat="false" ht="15" hidden="false" customHeight="false" outlineLevel="0" collapsed="false">
      <c r="A425" s="25" t="n">
        <v>421</v>
      </c>
      <c r="B425" s="26" t="s">
        <v>700</v>
      </c>
      <c r="C425" s="26" t="s">
        <v>701</v>
      </c>
      <c r="D425" s="27" t="s">
        <v>1271</v>
      </c>
      <c r="E425" s="26" t="s">
        <v>1272</v>
      </c>
      <c r="F425" s="27" t="s">
        <v>1273</v>
      </c>
      <c r="G425" s="25" t="str">
        <f aca="false">IF($D425="","",IF(MID($D425,5,1)="S","S(봄)",IF(MID($D425,5,1)="M","M(여름)",IF(MID($D425,5,1)="X","X(사계절)",MID($D425,5,1)))))</f>
        <v>X(사계절)</v>
      </c>
      <c r="H425" s="26" t="s">
        <v>79</v>
      </c>
      <c r="I425" s="25" t="s">
        <v>416</v>
      </c>
      <c r="J425" s="28" t="s">
        <v>626</v>
      </c>
      <c r="K425" s="29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9" t="n">
        <f aca="false">IF($K425="","",IF(AND($K425-기준정보!$C$5&gt;=기준정보!$C$10,$K425-기준정보!$C$5&lt;=기준정보!$C$11),기준정보!$C$10-1,$K425-기준정보!$C$5))</f>
        <v>46440</v>
      </c>
      <c r="M425" s="30" t="n">
        <f aca="false">IF($L425="","",IF(OR(ISNUMBER(SEARCH("중국",$U425)),ISNUMBER(SEARCH("베트남",$U425))),MAX(0,MIN($L425,기준정보!$C$9)-MAX($L425-기준정보!$C$6,기준정보!$C$8)+1),IF(ISNUMBER(SEARCH("한국",$U425)),MAX(0,MIN($L425,기준정보!$C$11)-MAX($L425-기준정보!$C$6,기준정보!$C$10)+1),0)))</f>
        <v>0</v>
      </c>
      <c r="N425" s="29" t="n">
        <f aca="false">IF($L425="","",$L425-기준정보!$C$6-$M425)</f>
        <v>46350</v>
      </c>
      <c r="O425" s="31" t="n">
        <f aca="false">IF($N425="","",$N425-기준정보!$C$4)</f>
        <v>108</v>
      </c>
      <c r="P425" s="28" t="s">
        <v>83</v>
      </c>
      <c r="Q425" s="28" t="s">
        <v>82</v>
      </c>
      <c r="R425" s="32"/>
      <c r="S425" s="27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T425" s="26" t="s">
        <v>704</v>
      </c>
      <c r="U425" s="26" t="s">
        <v>166</v>
      </c>
      <c r="V425" s="33" t="n">
        <v>5500</v>
      </c>
      <c r="W425" s="27"/>
      <c r="X425" s="27" t="str">
        <f aca="false">IF($K425="","출고일 미정",IF($P425="X","작지 미발행",IF($P425="부분","작지 일부 미발행",IF(AND($R425&lt;&gt;"",$R425&gt;$N425),"소재입고 마감("&amp;TEXT($N425,"MM/DD")&amp;") 초과",IF($P425="","발행여부 확인 필요",IF($R425="","소재 입고일정 확인 필요","정상"))))))</f>
        <v>작지 미발행</v>
      </c>
      <c r="Y425" s="25" t="str">
        <f aca="false">IF($K425="","",IF(OR(LEFT($X425,2)="작지",LEFT($X425,4)="소재입고"),IF(LEFT($G425,1)="S","★ 납기위험(S코드)","◆ 지연주의"),IF($X425="정상","✓ 정상","? 확인필요")))</f>
        <v>◆ 지연주의</v>
      </c>
      <c r="Z425" s="28"/>
      <c r="AA425" s="34"/>
    </row>
    <row r="426" customFormat="false" ht="15" hidden="false" customHeight="false" outlineLevel="0" collapsed="false">
      <c r="A426" s="25" t="n">
        <v>422</v>
      </c>
      <c r="B426" s="26" t="s">
        <v>700</v>
      </c>
      <c r="C426" s="26" t="s">
        <v>495</v>
      </c>
      <c r="D426" s="27" t="s">
        <v>1274</v>
      </c>
      <c r="E426" s="26" t="s">
        <v>1275</v>
      </c>
      <c r="F426" s="27" t="s">
        <v>596</v>
      </c>
      <c r="G426" s="25" t="str">
        <f aca="false">IF($D426="","",IF(MID($D426,5,1)="S","S(봄)",IF(MID($D426,5,1)="M","M(여름)",IF(MID($D426,5,1)="X","X(사계절)",MID($D426,5,1)))))</f>
        <v>X(사계절)</v>
      </c>
      <c r="H426" s="26" t="s">
        <v>79</v>
      </c>
      <c r="I426" s="25"/>
      <c r="J426" s="28" t="s">
        <v>805</v>
      </c>
      <c r="K426" s="29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9" t="n">
        <f aca="false">IF($K426="","",IF(AND($K426-기준정보!$C$5&gt;=기준정보!$C$10,$K426-기준정보!$C$5&lt;=기준정보!$C$11),기준정보!$C$10-1,$K426-기준정보!$C$5))</f>
        <v>46454</v>
      </c>
      <c r="M426" s="30" t="n">
        <f aca="false">IF($L426="","",IF(OR(ISNUMBER(SEARCH("중국",$U426)),ISNUMBER(SEARCH("베트남",$U426))),MAX(0,MIN($L426,기준정보!$C$9)-MAX($L426-기준정보!$C$6,기준정보!$C$8)+1),IF(ISNUMBER(SEARCH("한국",$U426)),MAX(0,MIN($L426,기준정보!$C$11)-MAX($L426-기준정보!$C$6,기준정보!$C$10)+1),0)))</f>
        <v>15</v>
      </c>
      <c r="N426" s="29" t="n">
        <f aca="false">IF($L426="","",$L426-기준정보!$C$6-$M426)</f>
        <v>46349</v>
      </c>
      <c r="O426" s="31" t="n">
        <f aca="false">IF($N426="","",$N426-기준정보!$C$4)</f>
        <v>107</v>
      </c>
      <c r="P426" s="28" t="s">
        <v>83</v>
      </c>
      <c r="Q426" s="28" t="s">
        <v>83</v>
      </c>
      <c r="R426" s="32"/>
      <c r="S426" s="27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T426" s="26" t="s">
        <v>1117</v>
      </c>
      <c r="U426" s="26" t="s">
        <v>131</v>
      </c>
      <c r="V426" s="33" t="n">
        <v>900</v>
      </c>
      <c r="W426" s="27"/>
      <c r="X426" s="27" t="str">
        <f aca="false">IF($K426="","출고일 미정",IF($P426="X","작지 미발행",IF($P426="부분","작지 일부 미발행",IF(AND($R426&lt;&gt;"",$R426&gt;$N426),"소재입고 마감("&amp;TEXT($N426,"MM/DD")&amp;") 초과",IF($P426="","발행여부 확인 필요",IF($R426="","소재 입고일정 확인 필요","정상"))))))</f>
        <v>작지 미발행</v>
      </c>
      <c r="Y426" s="25" t="str">
        <f aca="false">IF($K426="","",IF(OR(LEFT($X426,2)="작지",LEFT($X426,4)="소재입고"),IF(LEFT($G426,1)="S","★ 납기위험(S코드)","◆ 지연주의"),IF($X426="정상","✓ 정상","? 확인필요")))</f>
        <v>◆ 지연주의</v>
      </c>
      <c r="Z426" s="28"/>
      <c r="AA426" s="34"/>
    </row>
    <row r="427" customFormat="false" ht="15" hidden="false" customHeight="false" outlineLevel="0" collapsed="false">
      <c r="A427" s="25" t="n">
        <v>423</v>
      </c>
      <c r="B427" s="26" t="s">
        <v>700</v>
      </c>
      <c r="C427" s="26" t="s">
        <v>495</v>
      </c>
      <c r="D427" s="27" t="s">
        <v>1276</v>
      </c>
      <c r="E427" s="26" t="s">
        <v>1277</v>
      </c>
      <c r="F427" s="27" t="s">
        <v>160</v>
      </c>
      <c r="G427" s="25" t="str">
        <f aca="false">IF($D427="","",IF(MID($D427,5,1)="S","S(봄)",IF(MID($D427,5,1)="M","M(여름)",IF(MID($D427,5,1)="X","X(사계절)",MID($D427,5,1)))))</f>
        <v>X(사계절)</v>
      </c>
      <c r="H427" s="26" t="s">
        <v>79</v>
      </c>
      <c r="I427" s="25"/>
      <c r="J427" s="28" t="s">
        <v>805</v>
      </c>
      <c r="K427" s="29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9" t="n">
        <f aca="false">IF($K427="","",IF(AND($K427-기준정보!$C$5&gt;=기준정보!$C$10,$K427-기준정보!$C$5&lt;=기준정보!$C$11),기준정보!$C$10-1,$K427-기준정보!$C$5))</f>
        <v>46454</v>
      </c>
      <c r="M427" s="30" t="n">
        <f aca="false">IF($L427="","",IF(OR(ISNUMBER(SEARCH("중국",$U427)),ISNUMBER(SEARCH("베트남",$U427))),MAX(0,MIN($L427,기준정보!$C$9)-MAX($L427-기준정보!$C$6,기준정보!$C$8)+1),IF(ISNUMBER(SEARCH("한국",$U427)),MAX(0,MIN($L427,기준정보!$C$11)-MAX($L427-기준정보!$C$6,기준정보!$C$10)+1),0)))</f>
        <v>15</v>
      </c>
      <c r="N427" s="29" t="n">
        <f aca="false">IF($L427="","",$L427-기준정보!$C$6-$M427)</f>
        <v>46349</v>
      </c>
      <c r="O427" s="31" t="n">
        <f aca="false">IF($N427="","",$N427-기준정보!$C$4)</f>
        <v>107</v>
      </c>
      <c r="P427" s="28" t="s">
        <v>83</v>
      </c>
      <c r="Q427" s="28" t="s">
        <v>83</v>
      </c>
      <c r="R427" s="32"/>
      <c r="S427" s="27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T427" s="26" t="s">
        <v>1117</v>
      </c>
      <c r="U427" s="26" t="s">
        <v>131</v>
      </c>
      <c r="V427" s="33" t="n">
        <v>800</v>
      </c>
      <c r="W427" s="27"/>
      <c r="X427" s="27" t="str">
        <f aca="false">IF($K427="","출고일 미정",IF($P427="X","작지 미발행",IF($P427="부분","작지 일부 미발행",IF(AND($R427&lt;&gt;"",$R427&gt;$N427),"소재입고 마감("&amp;TEXT($N427,"MM/DD")&amp;") 초과",IF($P427="","발행여부 확인 필요",IF($R427="","소재 입고일정 확인 필요","정상"))))))</f>
        <v>작지 미발행</v>
      </c>
      <c r="Y427" s="25" t="str">
        <f aca="false">IF($K427="","",IF(OR(LEFT($X427,2)="작지",LEFT($X427,4)="소재입고"),IF(LEFT($G427,1)="S","★ 납기위험(S코드)","◆ 지연주의"),IF($X427="정상","✓ 정상","? 확인필요")))</f>
        <v>◆ 지연주의</v>
      </c>
      <c r="Z427" s="28"/>
      <c r="AA427" s="34"/>
    </row>
    <row r="428" customFormat="false" ht="15" hidden="false" customHeight="false" outlineLevel="0" collapsed="false">
      <c r="A428" s="25" t="n">
        <v>424</v>
      </c>
      <c r="B428" s="26" t="s">
        <v>700</v>
      </c>
      <c r="C428" s="26" t="s">
        <v>701</v>
      </c>
      <c r="D428" s="27" t="s">
        <v>1278</v>
      </c>
      <c r="E428" s="26" t="s">
        <v>1279</v>
      </c>
      <c r="F428" s="27" t="s">
        <v>1280</v>
      </c>
      <c r="G428" s="25" t="str">
        <f aca="false">IF($D428="","",IF(MID($D428,5,1)="S","S(봄)",IF(MID($D428,5,1)="M","M(여름)",IF(MID($D428,5,1)="X","X(사계절)",MID($D428,5,1)))))</f>
        <v>X(사계절)</v>
      </c>
      <c r="H428" s="26" t="s">
        <v>79</v>
      </c>
      <c r="I428" s="25" t="s">
        <v>416</v>
      </c>
      <c r="J428" s="28" t="s">
        <v>805</v>
      </c>
      <c r="K428" s="29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9" t="n">
        <f aca="false">IF($K428="","",IF(AND($K428-기준정보!$C$5&gt;=기준정보!$C$10,$K428-기준정보!$C$5&lt;=기준정보!$C$11),기준정보!$C$10-1,$K428-기준정보!$C$5))</f>
        <v>46454</v>
      </c>
      <c r="M428" s="30" t="n">
        <f aca="false">IF($L428="","",IF(OR(ISNUMBER(SEARCH("중국",$U428)),ISNUMBER(SEARCH("베트남",$U428))),MAX(0,MIN($L428,기준정보!$C$9)-MAX($L428-기준정보!$C$6,기준정보!$C$8)+1),IF(ISNUMBER(SEARCH("한국",$U428)),MAX(0,MIN($L428,기준정보!$C$11)-MAX($L428-기준정보!$C$6,기준정보!$C$10)+1),0)))</f>
        <v>15</v>
      </c>
      <c r="N428" s="29" t="n">
        <f aca="false">IF($L428="","",$L428-기준정보!$C$6-$M428)</f>
        <v>46349</v>
      </c>
      <c r="O428" s="31" t="n">
        <f aca="false">IF($N428="","",$N428-기준정보!$C$4)</f>
        <v>107</v>
      </c>
      <c r="P428" s="28" t="s">
        <v>83</v>
      </c>
      <c r="Q428" s="28" t="s">
        <v>82</v>
      </c>
      <c r="R428" s="32"/>
      <c r="S428" s="27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T428" s="27" t="s">
        <v>893</v>
      </c>
      <c r="U428" s="26" t="s">
        <v>85</v>
      </c>
      <c r="V428" s="33" t="n">
        <v>2600</v>
      </c>
      <c r="W428" s="27"/>
      <c r="X428" s="27" t="str">
        <f aca="false">IF($K428="","출고일 미정",IF($P428="X","작지 미발행",IF($P428="부분","작지 일부 미발행",IF(AND($R428&lt;&gt;"",$R428&gt;$N428),"소재입고 마감("&amp;TEXT($N428,"MM/DD")&amp;") 초과",IF($P428="","발행여부 확인 필요",IF($R428="","소재 입고일정 확인 필요","정상"))))))</f>
        <v>작지 미발행</v>
      </c>
      <c r="Y428" s="25" t="str">
        <f aca="false">IF($K428="","",IF(OR(LEFT($X428,2)="작지",LEFT($X428,4)="소재입고"),IF(LEFT($G428,1)="S","★ 납기위험(S코드)","◆ 지연주의"),IF($X428="정상","✓ 정상","? 확인필요")))</f>
        <v>◆ 지연주의</v>
      </c>
      <c r="Z428" s="28"/>
      <c r="AA428" s="34"/>
    </row>
  </sheetData>
  <autoFilter ref="A4:AA428"/>
  <conditionalFormatting sqref="Y5:Y428">
    <cfRule type="containsText" priority="2" operator="containsText" aboveAverage="0" equalAverage="0" bottom="0" percent="0" rank="0" text="★" dxfId="10">
      <formula>NOT(ISERROR(SEARCH("★",Y5)))</formula>
    </cfRule>
    <cfRule type="containsText" priority="3" operator="containsText" aboveAverage="0" equalAverage="0" bottom="0" percent="0" rank="0" text="◆" dxfId="11">
      <formula>NOT(ISERROR(SEARCH("◆",Y5)))</formula>
    </cfRule>
    <cfRule type="containsText" priority="4" operator="containsText" aboveAverage="0" equalAverage="0" bottom="0" percent="0" rank="0" text="✓" dxfId="12">
      <formula>NOT(ISERROR(SEARCH("✓",Y5)))</formula>
    </cfRule>
    <cfRule type="containsText" priority="5" operator="containsText" aboveAverage="0" equalAverage="0" bottom="0" percent="0" rank="0" text="?" dxfId="13">
      <formula>NOT(ISERROR(SEARCH("?",Y5)))</formula>
    </cfRule>
  </conditionalFormatting>
  <dataValidations count="3">
    <dataValidation allowBlank="true" errorStyle="stop" operator="between" showDropDown="false" showErrorMessage="false" showInputMessage="false" sqref="P5:P428" type="list">
      <formula1>"O,부분,X"</formula1>
      <formula2>0</formula2>
    </dataValidation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Z5:Z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3"/>
    <col collapsed="false" customWidth="true" hidden="false" outlineLevel="0" max="8" min="8" style="0" width="12"/>
  </cols>
  <sheetData>
    <row r="2" customFormat="false" ht="19.4" hidden="false" customHeight="false" outlineLevel="0" collapsed="false">
      <c r="B2" s="18" t="s">
        <v>1281</v>
      </c>
    </row>
    <row r="3" customFormat="false" ht="15" hidden="false" customHeight="false" outlineLevel="0" collapsed="false">
      <c r="B3" s="7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2026-08-08  ·  소재마감 = 출고일 − 104일 − 휴무보정  ·  S 108 / M 244 / X 72</v>
      </c>
    </row>
    <row r="5" customFormat="false" ht="15" hidden="false" customHeight="false" outlineLevel="0" collapsed="false">
      <c r="B5" s="19" t="s">
        <v>1282</v>
      </c>
      <c r="D5" s="7" t="s">
        <v>1283</v>
      </c>
      <c r="F5" s="19" t="s">
        <v>1284</v>
      </c>
      <c r="H5" s="19" t="s">
        <v>1285</v>
      </c>
      <c r="J5" s="19" t="s">
        <v>1286</v>
      </c>
    </row>
    <row r="6" customFormat="false" ht="26.8" hidden="false" customHeight="false" outlineLevel="0" collapsed="false">
      <c r="B6" s="36" t="n">
        <f aca="false">COUNTA('소재역산 트래커'!$D$5:$D$428)</f>
        <v>424</v>
      </c>
      <c r="D6" s="36" t="n">
        <f aca="false">COUNTIF('소재역산 트래커'!$G$5:$G$428,"S(봄)")</f>
        <v>108</v>
      </c>
      <c r="F6" s="37" t="n">
        <f aca="false">COUNTIF('소재역산 트래커'!$Y$5:$Y$428,"★*")</f>
        <v>17</v>
      </c>
      <c r="H6" s="38" t="n">
        <f aca="false">COUNTIF('소재역산 트래커'!$Y$5:$Y$428,"◆*")</f>
        <v>118</v>
      </c>
      <c r="J6" s="39" t="n">
        <f aca="false">COUNTIF('소재역산 트래커'!$M$5:$M$428,"&gt;0")</f>
        <v>194</v>
      </c>
    </row>
    <row r="9" customFormat="false" ht="16.4" hidden="false" customHeight="false" outlineLevel="0" collapsed="false">
      <c r="B9" s="40" t="s">
        <v>1287</v>
      </c>
    </row>
    <row r="10" customFormat="false" ht="15" hidden="false" customHeight="false" outlineLevel="0" collapsed="false">
      <c r="B10" s="41" t="s">
        <v>48</v>
      </c>
      <c r="C10" s="42" t="s">
        <v>1288</v>
      </c>
      <c r="D10" s="41" t="s">
        <v>1289</v>
      </c>
      <c r="E10" s="42" t="s">
        <v>1290</v>
      </c>
      <c r="F10" s="42" t="s">
        <v>1291</v>
      </c>
      <c r="G10" s="42" t="s">
        <v>1292</v>
      </c>
      <c r="H10" s="42" t="s">
        <v>1293</v>
      </c>
    </row>
    <row r="11" customFormat="false" ht="15" hidden="false" customHeight="false" outlineLevel="0" collapsed="false">
      <c r="B11" s="26" t="s">
        <v>124</v>
      </c>
      <c r="C11" s="25" t="n">
        <f aca="false">COUNTIF('소재역산 트래커'!$B$5:$B$428,$B11)</f>
        <v>42</v>
      </c>
      <c r="D11" s="25" t="n">
        <f aca="false">COUNTIFS('소재역산 트래커'!$B$5:$B$428,$B11,'소재역산 트래커'!$G$5:$G$428,"S(봄)")</f>
        <v>9</v>
      </c>
      <c r="E11" s="25" t="n">
        <f aca="false">COUNTIFS('소재역산 트래커'!$B$5:$B$428,$B11,'소재역산 트래커'!$P$5:$P$428,"X")+COUNTIFS('소재역산 트래커'!$B$5:$B$428,$B11,'소재역산 트래커'!$P$5:$P$428,"부분")</f>
        <v>0</v>
      </c>
      <c r="F11" s="25" t="n">
        <f aca="false">COUNTIFS('소재역산 트래커'!$B$5:$B$428,$B11,'소재역산 트래커'!$Q$5:$Q$428,"X")+COUNTIFS('소재역산 트래커'!$B$5:$B$428,$B11,'소재역산 트래커'!$Q$5:$Q$428,"부분")</f>
        <v>41</v>
      </c>
      <c r="G11" s="25" t="n">
        <f aca="false">COUNTIFS('소재역산 트래커'!$B$5:$B$428,$B11,'소재역산 트래커'!$Y$5:$Y$428,"★*")</f>
        <v>0</v>
      </c>
      <c r="H11" s="25" t="n">
        <f aca="false">COUNTIFS('소재역산 트래커'!$B$5:$B$428,$B11,'소재역산 트래커'!$Z$5:$Z$428,"조율완료")</f>
        <v>0</v>
      </c>
    </row>
    <row r="12" customFormat="false" ht="15" hidden="false" customHeight="false" outlineLevel="0" collapsed="false">
      <c r="B12" s="26" t="s">
        <v>267</v>
      </c>
      <c r="C12" s="25" t="n">
        <f aca="false">COUNTIF('소재역산 트래커'!$B$5:$B$428,$B12)</f>
        <v>34</v>
      </c>
      <c r="D12" s="25" t="n">
        <f aca="false">COUNTIFS('소재역산 트래커'!$B$5:$B$428,$B12,'소재역산 트래커'!$G$5:$G$428,"S(봄)")</f>
        <v>11</v>
      </c>
      <c r="E12" s="25" t="n">
        <f aca="false">COUNTIFS('소재역산 트래커'!$B$5:$B$428,$B12,'소재역산 트래커'!$P$5:$P$428,"X")+COUNTIFS('소재역산 트래커'!$B$5:$B$428,$B12,'소재역산 트래커'!$P$5:$P$428,"부분")</f>
        <v>1</v>
      </c>
      <c r="F12" s="25" t="n">
        <f aca="false">COUNTIFS('소재역산 트래커'!$B$5:$B$428,$B12,'소재역산 트래커'!$Q$5:$Q$428,"X")+COUNTIFS('소재역산 트래커'!$B$5:$B$428,$B12,'소재역산 트래커'!$Q$5:$Q$428,"부분")</f>
        <v>32</v>
      </c>
      <c r="G12" s="25" t="n">
        <f aca="false">COUNTIFS('소재역산 트래커'!$B$5:$B$428,$B12,'소재역산 트래커'!$Y$5:$Y$428,"★*")</f>
        <v>0</v>
      </c>
      <c r="H12" s="25" t="n">
        <f aca="false">COUNTIFS('소재역산 트래커'!$B$5:$B$428,$B12,'소재역산 트래커'!$Z$5:$Z$428,"조율완료")</f>
        <v>0</v>
      </c>
    </row>
    <row r="13" customFormat="false" ht="15" hidden="false" customHeight="false" outlineLevel="0" collapsed="false">
      <c r="B13" s="26" t="s">
        <v>224</v>
      </c>
      <c r="C13" s="25" t="n">
        <f aca="false">COUNTIF('소재역산 트래커'!$B$5:$B$428,$B13)</f>
        <v>59</v>
      </c>
      <c r="D13" s="25" t="n">
        <f aca="false">COUNTIFS('소재역산 트래커'!$B$5:$B$428,$B13,'소재역산 트래커'!$G$5:$G$428,"S(봄)")</f>
        <v>4</v>
      </c>
      <c r="E13" s="25" t="n">
        <f aca="false">COUNTIFS('소재역산 트래커'!$B$5:$B$428,$B13,'소재역산 트래커'!$P$5:$P$428,"X")+COUNTIFS('소재역산 트래커'!$B$5:$B$428,$B13,'소재역산 트래커'!$P$5:$P$428,"부분")</f>
        <v>22</v>
      </c>
      <c r="F13" s="25" t="n">
        <f aca="false">COUNTIFS('소재역산 트래커'!$B$5:$B$428,$B13,'소재역산 트래커'!$Q$5:$Q$428,"X")+COUNTIFS('소재역산 트래커'!$B$5:$B$428,$B13,'소재역산 트래커'!$Q$5:$Q$428,"부분")</f>
        <v>50</v>
      </c>
      <c r="G13" s="25" t="n">
        <f aca="false">COUNTIFS('소재역산 트래커'!$B$5:$B$428,$B13,'소재역산 트래커'!$Y$5:$Y$428,"★*")</f>
        <v>0</v>
      </c>
      <c r="H13" s="25" t="n">
        <f aca="false">COUNTIFS('소재역산 트래커'!$B$5:$B$428,$B13,'소재역산 트래커'!$Z$5:$Z$428,"조율완료")</f>
        <v>0</v>
      </c>
    </row>
    <row r="14" customFormat="false" ht="15" hidden="false" customHeight="false" outlineLevel="0" collapsed="false">
      <c r="B14" s="26" t="s">
        <v>199</v>
      </c>
      <c r="C14" s="25" t="n">
        <f aca="false">COUNTIF('소재역산 트래커'!$B$5:$B$428,$B14)</f>
        <v>33</v>
      </c>
      <c r="D14" s="25" t="n">
        <f aca="false">COUNTIFS('소재역산 트래커'!$B$5:$B$428,$B14,'소재역산 트래커'!$G$5:$G$428,"S(봄)")</f>
        <v>4</v>
      </c>
      <c r="E14" s="25" t="n">
        <f aca="false">COUNTIFS('소재역산 트래커'!$B$5:$B$428,$B14,'소재역산 트래커'!$P$5:$P$428,"X")+COUNTIFS('소재역산 트래커'!$B$5:$B$428,$B14,'소재역산 트래커'!$P$5:$P$428,"부분")</f>
        <v>0</v>
      </c>
      <c r="F14" s="25" t="n">
        <f aca="false">COUNTIFS('소재역산 트래커'!$B$5:$B$428,$B14,'소재역산 트래커'!$Q$5:$Q$428,"X")+COUNTIFS('소재역산 트래커'!$B$5:$B$428,$B14,'소재역산 트래커'!$Q$5:$Q$428,"부분")</f>
        <v>31</v>
      </c>
      <c r="G14" s="25" t="n">
        <f aca="false">COUNTIFS('소재역산 트래커'!$B$5:$B$428,$B14,'소재역산 트래커'!$Y$5:$Y$428,"★*")</f>
        <v>0</v>
      </c>
      <c r="H14" s="25" t="n">
        <f aca="false">COUNTIFS('소재역산 트래커'!$B$5:$B$428,$B14,'소재역산 트래커'!$Z$5:$Z$428,"조율완료")</f>
        <v>0</v>
      </c>
    </row>
    <row r="15" customFormat="false" ht="15" hidden="false" customHeight="false" outlineLevel="0" collapsed="false">
      <c r="B15" s="26" t="s">
        <v>204</v>
      </c>
      <c r="C15" s="25" t="n">
        <f aca="false">COUNTIF('소재역산 트래커'!$B$5:$B$428,$B15)</f>
        <v>49</v>
      </c>
      <c r="D15" s="25" t="n">
        <f aca="false">COUNTIFS('소재역산 트래커'!$B$5:$B$428,$B15,'소재역산 트래커'!$G$5:$G$428,"S(봄)")</f>
        <v>9</v>
      </c>
      <c r="E15" s="25" t="n">
        <f aca="false">COUNTIFS('소재역산 트래커'!$B$5:$B$428,$B15,'소재역산 트래커'!$P$5:$P$428,"X")+COUNTIFS('소재역산 트래커'!$B$5:$B$428,$B15,'소재역산 트래커'!$P$5:$P$428,"부분")</f>
        <v>5</v>
      </c>
      <c r="F15" s="25" t="n">
        <f aca="false">COUNTIFS('소재역산 트래커'!$B$5:$B$428,$B15,'소재역산 트래커'!$Q$5:$Q$428,"X")+COUNTIFS('소재역산 트래커'!$B$5:$B$428,$B15,'소재역산 트래커'!$Q$5:$Q$428,"부분")</f>
        <v>47</v>
      </c>
      <c r="G15" s="25" t="n">
        <f aca="false">COUNTIFS('소재역산 트래커'!$B$5:$B$428,$B15,'소재역산 트래커'!$Y$5:$Y$428,"★*")</f>
        <v>0</v>
      </c>
      <c r="H15" s="25" t="n">
        <f aca="false">COUNTIFS('소재역산 트래커'!$B$5:$B$428,$B15,'소재역산 트래커'!$Z$5:$Z$428,"조율완료")</f>
        <v>0</v>
      </c>
    </row>
    <row r="16" customFormat="false" ht="15" hidden="false" customHeight="false" outlineLevel="0" collapsed="false">
      <c r="B16" s="26" t="s">
        <v>142</v>
      </c>
      <c r="C16" s="25" t="n">
        <f aca="false">COUNTIF('소재역산 트래커'!$B$5:$B$428,$B16)</f>
        <v>53</v>
      </c>
      <c r="D16" s="25" t="n">
        <f aca="false">COUNTIFS('소재역산 트래커'!$B$5:$B$428,$B16,'소재역산 트래커'!$G$5:$G$428,"S(봄)")</f>
        <v>17</v>
      </c>
      <c r="E16" s="25" t="n">
        <f aca="false">COUNTIFS('소재역산 트래커'!$B$5:$B$428,$B16,'소재역산 트래커'!$P$5:$P$428,"X")+COUNTIFS('소재역산 트래커'!$B$5:$B$428,$B16,'소재역산 트래커'!$P$5:$P$428,"부분")</f>
        <v>53</v>
      </c>
      <c r="F16" s="25" t="n">
        <f aca="false">COUNTIFS('소재역산 트래커'!$B$5:$B$428,$B16,'소재역산 트래커'!$Q$5:$Q$428,"X")+COUNTIFS('소재역산 트래커'!$B$5:$B$428,$B16,'소재역산 트래커'!$Q$5:$Q$428,"부분")</f>
        <v>46</v>
      </c>
      <c r="G16" s="25" t="n">
        <f aca="false">COUNTIFS('소재역산 트래커'!$B$5:$B$428,$B16,'소재역산 트래커'!$Y$5:$Y$428,"★*")</f>
        <v>17</v>
      </c>
      <c r="H16" s="25" t="n">
        <f aca="false">COUNTIFS('소재역산 트래커'!$B$5:$B$428,$B16,'소재역산 트래커'!$Z$5:$Z$428,"조율완료")</f>
        <v>0</v>
      </c>
    </row>
    <row r="17" customFormat="false" ht="15" hidden="false" customHeight="false" outlineLevel="0" collapsed="false">
      <c r="B17" s="26" t="s">
        <v>220</v>
      </c>
      <c r="C17" s="25" t="n">
        <f aca="false">COUNTIF('소재역산 트래커'!$B$5:$B$428,$B17)</f>
        <v>41</v>
      </c>
      <c r="D17" s="25" t="n">
        <f aca="false">COUNTIFS('소재역산 트래커'!$B$5:$B$428,$B17,'소재역산 트래커'!$G$5:$G$428,"S(봄)")</f>
        <v>19</v>
      </c>
      <c r="E17" s="25" t="n">
        <f aca="false">COUNTIFS('소재역산 트래커'!$B$5:$B$428,$B17,'소재역산 트래커'!$P$5:$P$428,"X")+COUNTIFS('소재역산 트래커'!$B$5:$B$428,$B17,'소재역산 트래커'!$P$5:$P$428,"부분")</f>
        <v>0</v>
      </c>
      <c r="F17" s="25" t="n">
        <f aca="false">COUNTIFS('소재역산 트래커'!$B$5:$B$428,$B17,'소재역산 트래커'!$Q$5:$Q$428,"X")+COUNTIFS('소재역산 트래커'!$B$5:$B$428,$B17,'소재역산 트래커'!$Q$5:$Q$428,"부분")</f>
        <v>41</v>
      </c>
      <c r="G17" s="25" t="n">
        <f aca="false">COUNTIFS('소재역산 트래커'!$B$5:$B$428,$B17,'소재역산 트래커'!$Y$5:$Y$428,"★*")</f>
        <v>0</v>
      </c>
      <c r="H17" s="25" t="n">
        <f aca="false">COUNTIFS('소재역산 트래커'!$B$5:$B$428,$B17,'소재역산 트래커'!$Z$5:$Z$428,"조율완료")</f>
        <v>0</v>
      </c>
    </row>
    <row r="18" customFormat="false" ht="15" hidden="false" customHeight="false" outlineLevel="0" collapsed="false">
      <c r="B18" s="26" t="s">
        <v>253</v>
      </c>
      <c r="C18" s="25" t="n">
        <f aca="false">COUNTIF('소재역산 트래커'!$B$5:$B$428,$B18)</f>
        <v>34</v>
      </c>
      <c r="D18" s="25" t="n">
        <f aca="false">COUNTIFS('소재역산 트래커'!$B$5:$B$428,$B18,'소재역산 트래커'!$G$5:$G$428,"S(봄)")</f>
        <v>15</v>
      </c>
      <c r="E18" s="25" t="n">
        <f aca="false">COUNTIFS('소재역산 트래커'!$B$5:$B$428,$B18,'소재역산 트래커'!$P$5:$P$428,"X")+COUNTIFS('소재역산 트래커'!$B$5:$B$428,$B18,'소재역산 트래커'!$P$5:$P$428,"부분")</f>
        <v>0</v>
      </c>
      <c r="F18" s="25" t="n">
        <f aca="false">COUNTIFS('소재역산 트래커'!$B$5:$B$428,$B18,'소재역산 트래커'!$Q$5:$Q$428,"X")+COUNTIFS('소재역산 트래커'!$B$5:$B$428,$B18,'소재역산 트래커'!$Q$5:$Q$428,"부분")</f>
        <v>34</v>
      </c>
      <c r="G18" s="25" t="n">
        <f aca="false">COUNTIFS('소재역산 트래커'!$B$5:$B$428,$B18,'소재역산 트래커'!$Y$5:$Y$428,"★*")</f>
        <v>0</v>
      </c>
      <c r="H18" s="25" t="n">
        <f aca="false">COUNTIFS('소재역산 트래커'!$B$5:$B$428,$B18,'소재역산 트래커'!$Z$5:$Z$428,"조율완료")</f>
        <v>0</v>
      </c>
    </row>
    <row r="19" customFormat="false" ht="15" hidden="false" customHeight="false" outlineLevel="0" collapsed="false">
      <c r="B19" s="26" t="s">
        <v>700</v>
      </c>
      <c r="C19" s="25" t="n">
        <f aca="false">COUNTIF('소재역산 트래커'!$B$5:$B$428,$B19)</f>
        <v>54</v>
      </c>
      <c r="D19" s="25" t="n">
        <f aca="false">COUNTIFS('소재역산 트래커'!$B$5:$B$428,$B19,'소재역산 트래커'!$G$5:$G$428,"S(봄)")</f>
        <v>0</v>
      </c>
      <c r="E19" s="25" t="n">
        <f aca="false">COUNTIFS('소재역산 트래커'!$B$5:$B$428,$B19,'소재역산 트래커'!$P$5:$P$428,"X")+COUNTIFS('소재역산 트래커'!$B$5:$B$428,$B19,'소재역산 트래커'!$P$5:$P$428,"부분")</f>
        <v>54</v>
      </c>
      <c r="F19" s="25" t="n">
        <f aca="false">COUNTIFS('소재역산 트래커'!$B$5:$B$428,$B19,'소재역산 트래커'!$Q$5:$Q$428,"X")+COUNTIFS('소재역산 트래커'!$B$5:$B$428,$B19,'소재역산 트래커'!$Q$5:$Q$428,"부분")</f>
        <v>35</v>
      </c>
      <c r="G19" s="25" t="n">
        <f aca="false">COUNTIFS('소재역산 트래커'!$B$5:$B$428,$B19,'소재역산 트래커'!$Y$5:$Y$428,"★*")</f>
        <v>0</v>
      </c>
      <c r="H19" s="25" t="n">
        <f aca="false">COUNTIFS('소재역산 트래커'!$B$5:$B$428,$B19,'소재역산 트래커'!$Z$5:$Z$428,"조율완료")</f>
        <v>0</v>
      </c>
    </row>
    <row r="20" customFormat="false" ht="15" hidden="false" customHeight="false" outlineLevel="0" collapsed="false">
      <c r="B20" s="26" t="s">
        <v>74</v>
      </c>
      <c r="C20" s="25" t="n">
        <f aca="false">COUNTIF('소재역산 트래커'!$B$5:$B$428,$B20)</f>
        <v>25</v>
      </c>
      <c r="D20" s="25" t="n">
        <f aca="false">COUNTIFS('소재역산 트래커'!$B$5:$B$428,$B20,'소재역산 트래커'!$G$5:$G$428,"S(봄)")</f>
        <v>20</v>
      </c>
      <c r="E20" s="25" t="n">
        <f aca="false">COUNTIFS('소재역산 트래커'!$B$5:$B$428,$B20,'소재역산 트래커'!$P$5:$P$428,"X")+COUNTIFS('소재역산 트래커'!$B$5:$B$428,$B20,'소재역산 트래커'!$P$5:$P$428,"부분")</f>
        <v>0</v>
      </c>
      <c r="F20" s="25" t="n">
        <f aca="false">COUNTIFS('소재역산 트래커'!$B$5:$B$428,$B20,'소재역산 트래커'!$Q$5:$Q$428,"X")+COUNTIFS('소재역산 트래커'!$B$5:$B$428,$B20,'소재역산 트래커'!$Q$5:$Q$428,"부분")</f>
        <v>19</v>
      </c>
      <c r="G20" s="25" t="n">
        <f aca="false">COUNTIFS('소재역산 트래커'!$B$5:$B$428,$B20,'소재역산 트래커'!$Y$5:$Y$428,"★*")</f>
        <v>0</v>
      </c>
      <c r="H20" s="25" t="n">
        <f aca="false">COUNTIFS('소재역산 트래커'!$B$5:$B$428,$B20,'소재역산 트래커'!$Z$5:$Z$428,"조율완료")</f>
        <v>0</v>
      </c>
    </row>
    <row r="21" customFormat="false" ht="15" hidden="false" customHeight="false" outlineLevel="0" collapsed="false">
      <c r="B21" s="43" t="s">
        <v>1294</v>
      </c>
      <c r="C21" s="44" t="n">
        <f aca="false">SUM(C11:C20)</f>
        <v>424</v>
      </c>
      <c r="D21" s="44" t="n">
        <f aca="false">SUM(D11:D20)</f>
        <v>108</v>
      </c>
      <c r="E21" s="44" t="n">
        <f aca="false">SUM(E11:E20)</f>
        <v>135</v>
      </c>
      <c r="F21" s="44" t="n">
        <f aca="false">SUM(F11:F20)</f>
        <v>376</v>
      </c>
      <c r="G21" s="44" t="n">
        <f aca="false">SUM(G11:G20)</f>
        <v>17</v>
      </c>
      <c r="H21" s="44" t="n">
        <f aca="false">SUM(H11:H20)</f>
        <v>0</v>
      </c>
    </row>
    <row r="24" customFormat="false" ht="16.4" hidden="false" customHeight="false" outlineLevel="0" collapsed="false">
      <c r="B24" s="14" t="s">
        <v>1295</v>
      </c>
    </row>
    <row r="25" customFormat="false" ht="15" hidden="false" customHeight="true" outlineLevel="0" collapsed="false">
      <c r="B25" s="45" t="s">
        <v>1296</v>
      </c>
      <c r="C25" s="45"/>
      <c r="D25" s="45"/>
      <c r="E25" s="45"/>
      <c r="F25" s="45"/>
      <c r="G25" s="45"/>
      <c r="H25" s="45"/>
    </row>
    <row r="26" customFormat="false" ht="15" hidden="false" customHeight="false" outlineLevel="0" collapsed="false">
      <c r="B26" s="45"/>
      <c r="C26" s="45"/>
      <c r="D26" s="45"/>
      <c r="E26" s="45"/>
      <c r="F26" s="45"/>
      <c r="G26" s="45"/>
      <c r="H26" s="45"/>
    </row>
    <row r="27" customFormat="false" ht="15" hidden="false" customHeight="false" outlineLevel="0" collapsed="false">
      <c r="B27" s="45"/>
      <c r="C27" s="45"/>
      <c r="D27" s="45"/>
      <c r="E27" s="45"/>
      <c r="F27" s="45"/>
      <c r="G27" s="45"/>
      <c r="H27" s="45"/>
    </row>
    <row r="28" customFormat="false" ht="15" hidden="false" customHeight="false" outlineLevel="0" collapsed="false">
      <c r="B28" s="45"/>
      <c r="C28" s="45"/>
      <c r="D28" s="45"/>
      <c r="E28" s="45"/>
      <c r="F28" s="45"/>
      <c r="G28" s="45"/>
      <c r="H28" s="45"/>
    </row>
    <row r="29" customFormat="false" ht="15" hidden="false" customHeight="false" outlineLevel="0" collapsed="false">
      <c r="B29" s="45"/>
      <c r="C29" s="45"/>
      <c r="D29" s="45"/>
      <c r="E29" s="45"/>
      <c r="F29" s="45"/>
      <c r="G29" s="45"/>
      <c r="H29" s="45"/>
    </row>
    <row r="30" customFormat="false" ht="15" hidden="false" customHeight="false" outlineLevel="0" collapsed="false">
      <c r="B30" s="45"/>
      <c r="C30" s="45"/>
      <c r="D30" s="45"/>
      <c r="E30" s="45"/>
      <c r="F30" s="45"/>
      <c r="G30" s="45"/>
      <c r="H30" s="45"/>
    </row>
  </sheetData>
  <mergeCells count="1">
    <mergeCell ref="B25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2026-08-08T01:49:05Z</dcterms:created>
  <dc:creator>openpyxl</dc:creator>
  <dc:description/>
  <dc:language>en-US</dc:language>
  <cp:lastModifiedBy/>
  <dcterms:modified xsi:type="dcterms:W3CDTF">2026-08-08T01:49:06Z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