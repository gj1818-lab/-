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전년출고참조" sheetId="3" state="visible" r:id="rId5"/>
    <sheet name="소재역산 트래커" sheetId="4" state="visible" r:id="rId6"/>
    <sheet name="리스크 요약" sheetId="5" state="visible" r:id="rId7"/>
  </sheets>
  <definedNames>
    <definedName function="false" hidden="true" localSheetId="3" name="_xlnm._FilterDatabase" vbProcedure="false">'소재역산 트래커'!$A$4:$W$95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<sst xmlns="http://schemas.openxmlformats.org/spreadsheetml/2006/main" count="609" uniqueCount="313">
  <si>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출고계획 기준 소재일정 역산</t>
    </r>
    <r>
      <rPr>
        <b val="true"/>
        <sz val="16"/>
        <color rgb="FFFFFFFF"/>
        <rFont val="맑은 고딕"/>
        <family val="0"/>
        <charset val="1"/>
      </rPr>
      <t xml:space="preserve">(D-90) </t>
    </r>
    <r>
      <rPr>
        <b val="true"/>
        <sz val="16"/>
        <color rgb="FFFFFFFF"/>
        <rFont val="WenQuanYi Zen Hei"/>
        <family val="2"/>
      </rPr>
      <t xml:space="preserve">트래커</t>
    </r>
  </si>
  <si>
    <t xml:space="preserve">목적</t>
  </si>
  <si>
    <r>
      <rPr>
        <sz val="11"/>
        <color rgb="FF212121"/>
        <rFont val="WenQuanYi Zen Hei"/>
        <family val="2"/>
      </rPr>
      <t xml:space="preserve">영업</t>
    </r>
    <r>
      <rPr>
        <sz val="11"/>
        <color rgb="FF212121"/>
        <rFont val="맑은 고딕"/>
        <family val="0"/>
        <charset val="1"/>
      </rPr>
      <t xml:space="preserve">MD </t>
    </r>
    <r>
      <rPr>
        <sz val="11"/>
        <color rgb="FF212121"/>
        <rFont val="WenQuanYi Zen Hei"/>
        <family val="2"/>
      </rPr>
      <t xml:space="preserve">출고계획일 기준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일을 역산해 소재 입고 마감일을 산출하고</t>
    </r>
    <r>
      <rPr>
        <sz val="11"/>
        <color rgb="FF212121"/>
        <rFont val="맑은 고딕"/>
        <family val="0"/>
        <charset val="1"/>
      </rPr>
      <t xml:space="preserve">,</t>
    </r>
  </si>
  <si>
    <r>
      <rPr>
        <sz val="11"/>
        <color rgb="FF212121"/>
        <rFont val="WenQuanYi Zen Hei"/>
        <family val="2"/>
      </rPr>
      <t xml:space="preserve">① 소재 입고가 마감일을 초과하거나 ② 현시점 작업지시서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작지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가 등록되지 않은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봄상품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를</t>
    </r>
  </si>
  <si>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으로 식별하여 생산처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본사 소재팀과 사전 조율하기 위한 트래커입니다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</si>
  <si>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판정 로직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</si>
  <si>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출고예정일 </t>
    </r>
    <r>
      <rPr>
        <sz val="11"/>
        <color rgb="FF212121"/>
        <rFont val="맑은 고딕"/>
        <family val="0"/>
        <charset val="1"/>
      </rPr>
      <t xml:space="preserve">= ① </t>
    </r>
    <r>
      <rPr>
        <sz val="11"/>
        <color rgb="FF212121"/>
        <rFont val="WenQuanYi Zen Hei"/>
        <family val="2"/>
      </rPr>
      <t xml:space="preserve">예상출고일 주차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예</t>
    </r>
    <r>
      <rPr>
        <sz val="11"/>
        <color rgb="FF212121"/>
        <rFont val="맑은 고딕"/>
        <family val="0"/>
        <charset val="1"/>
      </rPr>
      <t xml:space="preserve">: 1</t>
    </r>
    <r>
      <rPr>
        <sz val="11"/>
        <color rgb="FF212121"/>
        <rFont val="WenQuanYi Zen Hei"/>
        <family val="2"/>
      </rPr>
      <t xml:space="preserve">월</t>
    </r>
    <r>
      <rPr>
        <sz val="11"/>
        <color rgb="FF212121"/>
        <rFont val="맑은 고딕"/>
        <family val="0"/>
        <charset val="1"/>
      </rPr>
      <t xml:space="preserve">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</si>
  <si>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  ② 주차가 없으면 전년</t>
    </r>
    <r>
      <rPr>
        <sz val="11"/>
        <color rgb="FF212121"/>
        <rFont val="맑은 고딕"/>
        <family val="0"/>
        <charset val="1"/>
      </rPr>
      <t xml:space="preserve">(26SS) </t>
    </r>
    <r>
      <rPr>
        <sz val="11"/>
        <color rgb="FF212121"/>
        <rFont val="WenQuanYi Zen Hei"/>
        <family val="2"/>
      </rPr>
      <t xml:space="preserve">동일품번 출고일 </t>
    </r>
    <r>
      <rPr>
        <sz val="11"/>
        <color rgb="FF212121"/>
        <rFont val="맑은 고딕"/>
        <family val="0"/>
        <charset val="1"/>
      </rPr>
      <t xml:space="preserve">+1</t>
    </r>
    <r>
      <rPr>
        <sz val="11"/>
        <color rgb="FF212121"/>
        <rFont val="WenQuanYi Zen Hei"/>
        <family val="2"/>
      </rPr>
      <t xml:space="preserve">년</t>
    </r>
    <r>
      <rPr>
        <sz val="11"/>
        <color rgb="FF212121"/>
        <rFont val="맑은 고딕"/>
        <family val="0"/>
        <charset val="1"/>
      </rPr>
      <t xml:space="preserve">(364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로 예측 — </t>
    </r>
    <r>
      <rPr>
        <sz val="11"/>
        <color rgb="FF212121"/>
        <rFont val="맑은 고딕"/>
        <family val="0"/>
        <charset val="1"/>
      </rPr>
      <t xml:space="preserve">[</t>
    </r>
    <r>
      <rPr>
        <sz val="11"/>
        <color rgb="FF212121"/>
        <rFont val="WenQuanYi Zen Hei"/>
        <family val="2"/>
      </rPr>
      <t xml:space="preserve">전년출고참조</t>
    </r>
    <r>
      <rPr>
        <sz val="11"/>
        <color rgb="FF212121"/>
        <rFont val="맑은 고딕"/>
        <family val="0"/>
        <charset val="1"/>
      </rPr>
      <t xml:space="preserve">] </t>
    </r>
    <r>
      <rPr>
        <sz val="11"/>
        <color rgb="FF212121"/>
        <rFont val="WenQuanYi Zen Hei"/>
        <family val="2"/>
      </rPr>
      <t xml:space="preserve">시트 매칭 </t>
    </r>
    <r>
      <rPr>
        <sz val="11"/>
        <color rgb="FF212121"/>
        <rFont val="맑은 고딕"/>
        <family val="0"/>
        <charset val="1"/>
      </rPr>
      <t xml:space="preserve">(AT</t>
    </r>
    <r>
      <rPr>
        <sz val="11"/>
        <color rgb="FF212121"/>
        <rFont val="WenQuanYi Zen Hei"/>
        <family val="2"/>
      </rPr>
      <t xml:space="preserve">열 데이터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</si>
  <si>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리드타임은 </t>
    </r>
    <r>
      <rPr>
        <sz val="11"/>
        <color rgb="FF212121"/>
        <rFont val="맑은 고딕"/>
        <family val="0"/>
        <charset val="1"/>
      </rPr>
      <t xml:space="preserve">[</t>
    </r>
    <r>
      <rPr>
        <sz val="11"/>
        <color rgb="FF212121"/>
        <rFont val="WenQuanYi Zen Hei"/>
        <family val="2"/>
      </rPr>
      <t xml:space="preserve">기준정보</t>
    </r>
    <r>
      <rPr>
        <sz val="11"/>
        <color rgb="FF212121"/>
        <rFont val="맑은 고딕"/>
        <family val="0"/>
        <charset val="1"/>
      </rPr>
      <t xml:space="preserve">]</t>
    </r>
    <r>
      <rPr>
        <sz val="11"/>
        <color rgb="FF212121"/>
        <rFont val="WenQuanYi Zen Hei"/>
        <family val="2"/>
      </rPr>
      <t xml:space="preserve">에서 조정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</si>
  <si>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작지 미등록</t>
    </r>
    <r>
      <rPr>
        <sz val="11"/>
        <color rgb="FF212121"/>
        <rFont val="맑은 고딕"/>
        <family val="0"/>
        <charset val="1"/>
      </rPr>
      <t xml:space="preserve">(X)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 </t>
    </r>
    <r>
      <rPr>
        <sz val="11"/>
        <color rgb="FF212121"/>
        <rFont val="맑은 고딕"/>
        <family val="0"/>
        <charset val="1"/>
      </rPr>
      <t xml:space="preserve">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</t>
    </r>
    <r>
      <rPr>
        <sz val="11"/>
        <color rgb="FF212121"/>
        <rFont val="WenQuanYi Zen Hei"/>
        <family val="2"/>
      </rPr>
      <t xml:space="preserve">그 외 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</si>
  <si>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작지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소재일정 미입력 → </t>
    </r>
    <r>
      <rPr>
        <sz val="11"/>
        <color rgb="FF212121"/>
        <rFont val="맑은 고딕"/>
        <family val="0"/>
        <charset val="1"/>
      </rPr>
      <t xml:space="preserve">'? </t>
    </r>
    <r>
      <rPr>
        <sz val="11"/>
        <color rgb="FF212121"/>
        <rFont val="WenQuanYi Zen Hei"/>
        <family val="2"/>
      </rPr>
      <t xml:space="preserve">확인필요</t>
    </r>
    <r>
      <rPr>
        <sz val="11"/>
        <color rgb="FF212121"/>
        <rFont val="맑은 고딕"/>
        <family val="0"/>
        <charset val="1"/>
      </rPr>
      <t xml:space="preserve">' (</t>
    </r>
    <r>
      <rPr>
        <sz val="11"/>
        <color rgb="FF212121"/>
        <rFont val="WenQuanYi Zen Hei"/>
        <family val="2"/>
      </rPr>
      <t xml:space="preserve">담당 회신 필요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</si>
  <si>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사입생산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생산처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</si>
  <si>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</si>
  <si>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[</t>
    </r>
    <r>
      <rPr>
        <sz val="11"/>
        <color rgb="FF212121"/>
        <rFont val="WenQuanYi Zen Hei"/>
        <family val="2"/>
      </rPr>
      <t xml:space="preserve">소재역산 트래커</t>
    </r>
    <r>
      <rPr>
        <sz val="11"/>
        <color rgb="FF212121"/>
        <rFont val="맑은 고딕"/>
        <family val="0"/>
        <charset val="1"/>
      </rPr>
      <t xml:space="preserve">]: </t>
    </r>
    <r>
      <rPr>
        <sz val="11"/>
        <color rgb="FF212121"/>
        <rFont val="WenQuanYi Zen Hei"/>
        <family val="2"/>
      </rPr>
      <t xml:space="preserve">작지등록</t>
    </r>
    <r>
      <rPr>
        <sz val="11"/>
        <color rgb="FF212121"/>
        <rFont val="맑은 고딕"/>
        <family val="0"/>
        <charset val="1"/>
      </rPr>
      <t xml:space="preserve">(O/X),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생산구분</t>
    </r>
    <r>
      <rPr>
        <sz val="11"/>
        <color rgb="FF212121"/>
        <rFont val="맑은 고딕"/>
        <family val="0"/>
        <charset val="1"/>
      </rPr>
      <t xml:space="preserve">(CMT/</t>
    </r>
    <r>
      <rPr>
        <sz val="11"/>
        <color rgb="FF212121"/>
        <rFont val="WenQuanYi Zen Hei"/>
        <family val="2"/>
      </rPr>
      <t xml:space="preserve">사입</t>
    </r>
    <r>
      <rPr>
        <sz val="11"/>
        <color rgb="FF212121"/>
        <rFont val="맑은 고딕"/>
        <family val="0"/>
        <charset val="1"/>
      </rPr>
      <t xml:space="preserve">),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 입력</t>
    </r>
  </si>
  <si>
    <r>
      <rPr>
        <sz val="11"/>
        <color rgb="FF212121"/>
        <rFont val="맑은 고딕"/>
        <family val="0"/>
        <charset val="1"/>
      </rPr>
      <t xml:space="preserve">· [</t>
    </r>
    <r>
      <rPr>
        <sz val="11"/>
        <color rgb="FF212121"/>
        <rFont val="WenQuanYi Zen Hei"/>
        <family val="2"/>
      </rPr>
      <t xml:space="preserve">전년출고참조</t>
    </r>
    <r>
      <rPr>
        <sz val="11"/>
        <color rgb="FF212121"/>
        <rFont val="맑은 고딕"/>
        <family val="0"/>
        <charset val="1"/>
      </rPr>
      <t xml:space="preserve">]: </t>
    </r>
    <r>
      <rPr>
        <sz val="11"/>
        <color rgb="FF212121"/>
        <rFont val="WenQuanYi Zen Hei"/>
        <family val="2"/>
      </rPr>
      <t xml:space="preserve">구글시트 </t>
    </r>
    <r>
      <rPr>
        <sz val="11"/>
        <color rgb="FF212121"/>
        <rFont val="맑은 고딕"/>
        <family val="0"/>
        <charset val="1"/>
      </rPr>
      <t xml:space="preserve">MIX(</t>
    </r>
    <r>
      <rPr>
        <sz val="11"/>
        <color rgb="FF212121"/>
        <rFont val="WenQuanYi Zen Hei"/>
        <family val="2"/>
      </rPr>
      <t xml:space="preserve">수불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탭에서 품번컬러</t>
    </r>
    <r>
      <rPr>
        <sz val="11"/>
        <color rgb="FF212121"/>
        <rFont val="맑은 고딕"/>
        <family val="0"/>
        <charset val="1"/>
      </rPr>
      <t xml:space="preserve">(MIX1)</t>
    </r>
    <r>
      <rPr>
        <sz val="11"/>
        <color rgb="FF212121"/>
        <rFont val="WenQuanYi Zen Hei"/>
        <family val="2"/>
      </rPr>
      <t xml:space="preserve">와 </t>
    </r>
    <r>
      <rPr>
        <sz val="11"/>
        <color rgb="FF212121"/>
        <rFont val="맑은 고딕"/>
        <family val="0"/>
        <charset val="1"/>
      </rPr>
      <t xml:space="preserve">AT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을 복사해 아래에 계속 붙여넣으면</t>
    </r>
  </si>
  <si>
    <r>
      <rPr>
        <sz val="11"/>
        <color rgb="FF212121"/>
        <rFont val="WenQuanYi Zen Hei"/>
        <family val="2"/>
      </rPr>
      <t xml:space="preserve">  트래커의 전년 매칭율이 올라갑니다</t>
    </r>
    <r>
      <rPr>
        <sz val="11"/>
        <color rgb="FF212121"/>
        <rFont val="맑은 고딕"/>
        <family val="0"/>
        <charset val="1"/>
      </rPr>
      <t xml:space="preserve">. </t>
    </r>
    <r>
      <rPr>
        <sz val="11"/>
        <color rgb="FF212121"/>
        <rFont val="WenQuanYi Zen Hei"/>
        <family val="2"/>
      </rPr>
      <t xml:space="preserve">품번은 컬러 없이 </t>
    </r>
    <r>
      <rPr>
        <sz val="11"/>
        <color rgb="FF212121"/>
        <rFont val="맑은 고딕"/>
        <family val="0"/>
        <charset val="1"/>
      </rPr>
      <t xml:space="preserve">10</t>
    </r>
    <r>
      <rPr>
        <sz val="11"/>
        <color rgb="FF212121"/>
        <rFont val="WenQuanYi Zen Hei"/>
        <family val="2"/>
      </rPr>
      <t xml:space="preserve">자리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예</t>
    </r>
    <r>
      <rPr>
        <sz val="11"/>
        <color rgb="FF212121"/>
        <rFont val="맑은 고딕"/>
        <family val="0"/>
        <charset val="1"/>
      </rPr>
      <t xml:space="preserve">: JWJJS26141)</t>
    </r>
    <r>
      <rPr>
        <sz val="11"/>
        <color rgb="FF212121"/>
        <rFont val="WenQuanYi Zen Hei"/>
        <family val="2"/>
      </rPr>
      <t xml:space="preserve">로 넣어주세요</t>
    </r>
    <r>
      <rPr>
        <sz val="11"/>
        <color rgb="FF212121"/>
        <rFont val="맑은 고딕"/>
        <family val="0"/>
        <charset val="1"/>
      </rPr>
      <t xml:space="preserve">.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</si>
  <si>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스타일 추가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트래커 맨 아래 행에 붙여넣고 수식 열</t>
    </r>
    <r>
      <rPr>
        <sz val="11"/>
        <color rgb="FF212121"/>
        <rFont val="맑은 고딕"/>
        <family val="0"/>
        <charset val="1"/>
      </rPr>
      <t xml:space="preserve">(E·H~M·Q·T·U)</t>
    </r>
    <r>
      <rPr>
        <sz val="11"/>
        <color rgb="FF212121"/>
        <rFont val="WenQuanYi Zen Hei"/>
        <family val="2"/>
      </rPr>
      <t xml:space="preserve">을 아래로 채우기</t>
    </r>
  </si>
  <si>
    <t xml:space="preserve">데이터 출처 및 한계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</si>
  <si>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구글시트 </t>
    </r>
    <r>
      <rPr>
        <sz val="10"/>
        <color rgb="FF666666"/>
        <rFont val="맑은 고딕"/>
        <family val="0"/>
        <charset val="1"/>
      </rPr>
      <t xml:space="preserve">'27SS </t>
    </r>
    <r>
      <rPr>
        <sz val="10"/>
        <color rgb="FF666666"/>
        <rFont val="WenQuanYi Zen Hei"/>
        <family val="2"/>
      </rPr>
      <t xml:space="preserve">상품운영안</t>
    </r>
    <r>
      <rPr>
        <sz val="10"/>
        <color rgb="FF666666"/>
        <rFont val="맑은 고딕"/>
        <family val="0"/>
        <charset val="1"/>
      </rPr>
      <t xml:space="preserve">' 2026-08-06 </t>
    </r>
    <r>
      <rPr>
        <sz val="10"/>
        <color rgb="FF666666"/>
        <rFont val="WenQuanYi Zen Hei"/>
        <family val="2"/>
      </rPr>
      <t xml:space="preserve">추출</t>
    </r>
    <r>
      <rPr>
        <sz val="10"/>
        <color rgb="FF666666"/>
        <rFont val="맑은 고딕"/>
        <family val="0"/>
        <charset val="1"/>
      </rPr>
      <t xml:space="preserve">. Drive </t>
    </r>
    <r>
      <rPr>
        <sz val="10"/>
        <color rgb="FF666666"/>
        <rFont val="WenQuanYi Zen Hei"/>
        <family val="2"/>
      </rPr>
      <t xml:space="preserve">내보내기 제한으로 이재헌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WenQuanYi Zen Hei"/>
        <family val="2"/>
      </rPr>
      <t xml:space="preserve">정영준 </t>
    </r>
    <r>
      <rPr>
        <sz val="10"/>
        <color rgb="FF666666"/>
        <rFont val="맑은 고딕"/>
        <family val="0"/>
        <charset val="1"/>
      </rPr>
      <t xml:space="preserve">MD 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(91</t>
    </r>
    <r>
      <rPr>
        <sz val="10"/>
        <color rgb="FF666666"/>
        <rFont val="WenQuanYi Zen Hei"/>
        <family val="2"/>
      </rPr>
      <t xml:space="preserve">건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중심</t>
    </r>
    <r>
      <rPr>
        <sz val="10"/>
        <color rgb="FF666666"/>
        <rFont val="맑은 고딕"/>
        <family val="0"/>
        <charset val="1"/>
      </rPr>
      <t xml:space="preserve">.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</si>
  <si>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전년출고참조는 </t>
    </r>
    <r>
      <rPr>
        <sz val="10"/>
        <color rgb="FF666666"/>
        <rFont val="맑은 고딕"/>
        <family val="0"/>
        <charset val="1"/>
      </rPr>
      <t xml:space="preserve">MIX </t>
    </r>
    <r>
      <rPr>
        <sz val="10"/>
        <color rgb="FF666666"/>
        <rFont val="WenQuanYi Zen Hei"/>
        <family val="2"/>
      </rPr>
      <t xml:space="preserve">탭 </t>
    </r>
    <r>
      <rPr>
        <sz val="10"/>
        <color rgb="FF666666"/>
        <rFont val="맑은 고딕"/>
        <family val="0"/>
        <charset val="1"/>
      </rPr>
      <t xml:space="preserve">AT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4</t>
    </r>
    <r>
      <rPr>
        <sz val="10"/>
        <color rgb="FF666666"/>
        <rFont val="WenQuanYi Zen Hei"/>
        <family val="2"/>
      </rPr>
      <t xml:space="preserve">건 </t>
    </r>
    <r>
      <rPr>
        <sz val="10"/>
        <color rgb="FF666666"/>
        <rFont val="맑은 고딕"/>
        <family val="0"/>
        <charset val="1"/>
      </rPr>
      <t xml:space="preserve">+ 26SS </t>
    </r>
    <r>
      <rPr>
        <sz val="10"/>
        <color rgb="FF666666"/>
        <rFont val="WenQuanYi Zen Hei"/>
        <family val="2"/>
      </rPr>
      <t xml:space="preserve">전산 최초입고일 </t>
    </r>
    <r>
      <rPr>
        <sz val="10"/>
        <color rgb="FF666666"/>
        <rFont val="맑은 고딕"/>
        <family val="0"/>
        <charset val="1"/>
      </rPr>
      <t xml:space="preserve">31</t>
    </r>
    <r>
      <rPr>
        <sz val="10"/>
        <color rgb="FF666666"/>
        <rFont val="WenQuanYi Zen Hei"/>
        <family val="2"/>
      </rPr>
      <t xml:space="preserve">건 </t>
    </r>
    <r>
      <rPr>
        <sz val="10"/>
        <color rgb="FF666666"/>
        <rFont val="맑은 고딕"/>
        <family val="0"/>
        <charset val="1"/>
      </rPr>
      <t xml:space="preserve">= 35</t>
    </r>
    <r>
      <rPr>
        <sz val="10"/>
        <color rgb="FF666666"/>
        <rFont val="WenQuanYi Zen Hei"/>
        <family val="2"/>
      </rPr>
      <t xml:space="preserve">건만 선반영</t>
    </r>
    <r>
      <rPr>
        <sz val="10"/>
        <color rgb="FF666666"/>
        <rFont val="맑은 고딕"/>
        <family val="0"/>
        <charset val="1"/>
      </rPr>
      <t xml:space="preserve">. </t>
    </r>
    <r>
      <rPr>
        <sz val="10"/>
        <color rgb="FF666666"/>
        <rFont val="WenQuanYi Zen Hei"/>
        <family val="2"/>
      </rPr>
      <t xml:space="preserve">전체 </t>
    </r>
    <r>
      <rPr>
        <sz val="10"/>
        <color rgb="FF666666"/>
        <rFont val="맑은 고딕"/>
        <family val="0"/>
        <charset val="1"/>
      </rPr>
      <t xml:space="preserve">AT</t>
    </r>
    <r>
      <rPr>
        <sz val="10"/>
        <color rgb="FF666666"/>
        <rFont val="WenQuanYi Zen Hei"/>
        <family val="2"/>
      </rPr>
      <t xml:space="preserve">열 붙여넣기 권장</t>
    </r>
    <r>
      <rPr>
        <sz val="10"/>
        <color rgb="FF666666"/>
        <rFont val="맑은 고딕"/>
        <family val="0"/>
        <charset val="1"/>
      </rPr>
      <t xml:space="preserve">.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</si>
  <si>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작지등록 여부는 소재차트 탭에서 확인된 스타일만 선반영</t>
    </r>
    <r>
      <rPr>
        <sz val="10"/>
        <color rgb="FF666666"/>
        <rFont val="맑은 고딕"/>
        <family val="0"/>
        <charset val="1"/>
      </rPr>
      <t xml:space="preserve">(O/X), </t>
    </r>
    <r>
      <rPr>
        <sz val="10"/>
        <color rgb="FF666666"/>
        <rFont val="WenQuanYi Zen Hei"/>
        <family val="2"/>
      </rPr>
      <t xml:space="preserve">나머지 공란 →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확인필요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표시</t>
    </r>
    <r>
      <rPr>
        <sz val="10"/>
        <color rgb="FF666666"/>
        <rFont val="맑은 고딕"/>
        <family val="0"/>
        <charset val="1"/>
      </rPr>
      <t xml:space="preserve">.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</si>
  <si>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</si>
  <si>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</si>
  <si>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</si>
  <si>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소재입고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</si>
  <si>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출고일 기준 역산 일수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봉제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검품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물류 리드타임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</si>
  <si>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</si>
  <si>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</si>
  <si>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소재입고 책임 구분</t>
  </si>
  <si>
    <t xml:space="preserve">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</si>
  <si>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</si>
  <si>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t xml:space="preserve">사입</t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</si>
  <si>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</si>
  <si>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3"/>
        <color rgb="FFFFFFFF"/>
        <rFont val="WenQuanYi Zen Hei"/>
        <family val="2"/>
      </rPr>
      <t xml:space="preserve">전년</t>
    </r>
    <r>
      <rPr>
        <b val="true"/>
        <sz val="13"/>
        <color rgb="FFFFFFFF"/>
        <rFont val="맑은 고딕"/>
        <family val="0"/>
        <charset val="1"/>
      </rPr>
      <t xml:space="preserve">(26SS) </t>
    </r>
    <r>
      <rPr>
        <b val="true"/>
        <sz val="13"/>
        <color rgb="FFFFFFFF"/>
        <rFont val="WenQuanYi Zen Hei"/>
        <family val="2"/>
      </rPr>
      <t xml:space="preserve">출고일 참조 — </t>
    </r>
    <r>
      <rPr>
        <b val="true"/>
        <sz val="13"/>
        <color rgb="FFFFFFFF"/>
        <rFont val="맑은 고딕"/>
        <family val="0"/>
        <charset val="1"/>
      </rPr>
      <t xml:space="preserve">MIX(</t>
    </r>
    <r>
      <rPr>
        <b val="true"/>
        <sz val="13"/>
        <color rgb="FFFFFFFF"/>
        <rFont val="WenQuanYi Zen Hei"/>
        <family val="2"/>
      </rPr>
      <t xml:space="preserve">수불</t>
    </r>
    <r>
      <rPr>
        <b val="true"/>
        <sz val="13"/>
        <color rgb="FFFFFFFF"/>
        <rFont val="맑은 고딕"/>
        <family val="0"/>
        <charset val="1"/>
      </rPr>
      <t xml:space="preserve">) </t>
    </r>
    <r>
      <rPr>
        <b val="true"/>
        <sz val="13"/>
        <color rgb="FFFFFFFF"/>
        <rFont val="WenQuanYi Zen Hei"/>
        <family val="2"/>
      </rPr>
      <t xml:space="preserve">탭 </t>
    </r>
    <r>
      <rPr>
        <b val="true"/>
        <sz val="13"/>
        <color rgb="FFFFFFFF"/>
        <rFont val="맑은 고딕"/>
        <family val="0"/>
        <charset val="1"/>
      </rPr>
      <t xml:space="preserve">AT</t>
    </r>
    <r>
      <rPr>
        <b val="true"/>
        <sz val="13"/>
        <color rgb="FFFFFFFF"/>
        <rFont val="WenQuanYi Zen Hei"/>
        <family val="2"/>
      </rPr>
      <t xml:space="preserve">열 기준</t>
    </r>
  </si>
  <si>
    <r>
      <rPr>
        <sz val="9"/>
        <color rgb="FF666666"/>
        <rFont val="WenQuanYi Zen Hei"/>
        <family val="2"/>
      </rPr>
      <t xml:space="preserve">구글시트 </t>
    </r>
    <r>
      <rPr>
        <sz val="9"/>
        <color rgb="FF666666"/>
        <rFont val="맑은 고딕"/>
        <family val="0"/>
        <charset val="1"/>
      </rPr>
      <t xml:space="preserve">MIX </t>
    </r>
    <r>
      <rPr>
        <sz val="9"/>
        <color rgb="FF666666"/>
        <rFont val="WenQuanYi Zen Hei"/>
        <family val="2"/>
      </rPr>
      <t xml:space="preserve">탭에서 품번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컬러 제외 </t>
    </r>
    <r>
      <rPr>
        <sz val="9"/>
        <color rgb="FF666666"/>
        <rFont val="맑은 고딕"/>
        <family val="0"/>
        <charset val="1"/>
      </rPr>
      <t xml:space="preserve">10</t>
    </r>
    <r>
      <rPr>
        <sz val="9"/>
        <color rgb="FF666666"/>
        <rFont val="WenQuanYi Zen Hei"/>
        <family val="2"/>
      </rPr>
      <t xml:space="preserve">자리</t>
    </r>
    <r>
      <rPr>
        <sz val="9"/>
        <color rgb="FF666666"/>
        <rFont val="맑은 고딕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과 </t>
    </r>
    <r>
      <rPr>
        <sz val="9"/>
        <color rgb="FF666666"/>
        <rFont val="맑은 고딕"/>
        <family val="0"/>
        <charset val="1"/>
      </rPr>
      <t xml:space="preserve">AT</t>
    </r>
    <r>
      <rPr>
        <sz val="9"/>
        <color rgb="FF666666"/>
        <rFont val="WenQuanYi Zen Hei"/>
        <family val="2"/>
      </rPr>
      <t xml:space="preserve">열 출고일을 복사해 아래에 계속 붙여넣으세요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주차</t>
    </r>
    <r>
      <rPr>
        <sz val="9"/>
        <color rgb="FF666666"/>
        <rFont val="맑은 고딕"/>
        <family val="0"/>
        <charset val="1"/>
      </rPr>
      <t xml:space="preserve">(2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와 날짜</t>
    </r>
    <r>
      <rPr>
        <sz val="9"/>
        <color rgb="FF666666"/>
        <rFont val="맑은 고딕"/>
        <family val="0"/>
        <charset val="1"/>
      </rPr>
      <t xml:space="preserve">(2026-02-01) </t>
    </r>
    <r>
      <rPr>
        <sz val="9"/>
        <color rgb="FF666666"/>
        <rFont val="WenQuanYi Zen Hei"/>
        <family val="2"/>
      </rPr>
      <t xml:space="preserve">형식 모두 인식합니다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</si>
  <si>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품번</t>
    </r>
    <r>
      <rPr>
        <b val="true"/>
        <sz val="10"/>
        <color rgb="FFFFFFFF"/>
        <rFont val="맑은 고딕"/>
        <family val="0"/>
        <charset val="1"/>
      </rPr>
      <t xml:space="preserve">(26SS)</t>
    </r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</si>
  <si>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 또는 날짜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</si>
  <si>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출처</t>
  </si>
  <si>
    <t xml:space="preserve">8GPNS26101</t>
  </si>
  <si>
    <r>
      <rPr>
        <sz val="10"/>
        <rFont val="맑은 고딕"/>
        <family val="0"/>
        <charset val="1"/>
      </rPr>
      <t xml:space="preserve">26SS </t>
    </r>
    <r>
      <rPr>
        <sz val="10"/>
        <rFont val="WenQuanYi Zen Hei"/>
        <family val="2"/>
      </rPr>
      <t xml:space="preserve">최초입고일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전산</t>
    </r>
    <r>
      <rPr>
        <sz val="10"/>
        <rFont val="맑은 고딕"/>
        <family val="0"/>
        <charset val="1"/>
      </rPr>
      <t xml:space="preserve">)</t>
    </r>
  </si>
  <si>
    <t xml:space="preserve">8HPNS26102</t>
  </si>
  <si>
    <t xml:space="preserve">8HTCS26102</t>
  </si>
  <si>
    <t xml:space="preserve">8NLAS26101</t>
  </si>
  <si>
    <t xml:space="preserve">8NREM26104</t>
  </si>
  <si>
    <t xml:space="preserve">8UJJS26105</t>
  </si>
  <si>
    <t xml:space="preserve">8UPNS26103</t>
  </si>
  <si>
    <t xml:space="preserve">8UTBM26201</t>
  </si>
  <si>
    <t xml:space="preserve">JKJJS26152</t>
  </si>
  <si>
    <t xml:space="preserve">JKPNS26402</t>
  </si>
  <si>
    <t xml:space="preserve">JKTBS26102</t>
  </si>
  <si>
    <t xml:space="preserve">JKTBS26112</t>
  </si>
  <si>
    <t xml:space="preserve">JWJJS26141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</si>
  <si>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</si>
  <si>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MIX AT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출고일</t>
    </r>
    <r>
      <rPr>
        <sz val="10"/>
        <rFont val="맑은 고딕"/>
        <family val="0"/>
        <charset val="1"/>
      </rPr>
      <t xml:space="preserve">)</t>
    </r>
  </si>
  <si>
    <t xml:space="preserve">JWJJS26151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</si>
  <si>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</si>
  <si>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JWJJS26401</t>
  </si>
  <si>
    <t xml:space="preserve">JWPNM26221</t>
  </si>
  <si>
    <t xml:space="preserve">JWPNS26401</t>
  </si>
  <si>
    <t xml:space="preserve">JWTCM26251</t>
  </si>
  <si>
    <t xml:space="preserve">JWTCM26321</t>
  </si>
  <si>
    <t xml:space="preserve">TLJJM26551</t>
  </si>
  <si>
    <t xml:space="preserve">TLJJM26553</t>
  </si>
  <si>
    <t xml:space="preserve">TLJJS26401</t>
  </si>
  <si>
    <t xml:space="preserve">TLPNS26411</t>
  </si>
  <si>
    <t xml:space="preserve">TLPNS26431</t>
  </si>
  <si>
    <t xml:space="preserve">TLTBS26411</t>
  </si>
  <si>
    <t xml:space="preserve">TLTBS26441</t>
  </si>
  <si>
    <t xml:space="preserve">TLTCM26521</t>
  </si>
  <si>
    <t xml:space="preserve">TLTCM26601</t>
  </si>
  <si>
    <t xml:space="preserve">TLTCM26603</t>
  </si>
  <si>
    <t xml:space="preserve">TLVAS26403</t>
  </si>
  <si>
    <t xml:space="preserve">TVJJS26402</t>
  </si>
  <si>
    <t xml:space="preserve">TVJJS26422</t>
  </si>
  <si>
    <t xml:space="preserve">TVPNS26412</t>
  </si>
  <si>
    <t xml:space="preserve">TVPNS26432</t>
  </si>
  <si>
    <t xml:space="preserve">TVPNS26452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</si>
  <si>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출고계획일 기준 </t>
    </r>
    <r>
      <rPr>
        <b val="true"/>
        <sz val="14"/>
        <color rgb="FFFFFFFF"/>
        <rFont val="맑은 고딕"/>
        <family val="0"/>
        <charset val="1"/>
      </rPr>
      <t xml:space="preserve">D-90 </t>
    </r>
    <r>
      <rPr>
        <b val="true"/>
        <sz val="14"/>
        <color rgb="FFFFFFFF"/>
        <rFont val="WenQuanYi Zen Hei"/>
        <family val="2"/>
      </rPr>
      <t xml:space="preserve">소재입고 마감 관리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</si>
  <si>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</si>
  <si>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</si>
  <si>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/ </t>
    </r>
    <r>
      <rPr>
        <sz val="10"/>
        <color rgb="FFE8474C"/>
        <rFont val="WenQuanYi Zen Hei"/>
        <family val="2"/>
      </rPr>
      <t xml:space="preserve">나머지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자동계산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출고예정일</t>
    </r>
    <r>
      <rPr>
        <sz val="10"/>
        <color rgb="FFE8474C"/>
        <rFont val="맑은 고딕"/>
        <family val="0"/>
        <charset val="1"/>
      </rPr>
      <t xml:space="preserve">: </t>
    </r>
    <r>
      <rPr>
        <sz val="10"/>
        <color rgb="FFE8474C"/>
        <rFont val="WenQuanYi Zen Hei"/>
        <family val="2"/>
      </rPr>
      <t xml:space="preserve">계획 주차 우선</t>
    </r>
    <r>
      <rPr>
        <sz val="10"/>
        <color rgb="FFE8474C"/>
        <rFont val="맑은 고딕"/>
        <family val="0"/>
        <charset val="1"/>
      </rPr>
      <t xml:space="preserve">, </t>
    </r>
    <r>
      <rPr>
        <sz val="10"/>
        <color rgb="FFE8474C"/>
        <rFont val="WenQuanYi Zen Hei"/>
        <family val="2"/>
      </rPr>
      <t xml:space="preserve">없으면 전년</t>
    </r>
    <r>
      <rPr>
        <sz val="10"/>
        <color rgb="FFE8474C"/>
        <rFont val="맑은 고딕"/>
        <family val="0"/>
        <charset val="1"/>
      </rPr>
      <t xml:space="preserve">(26SS) </t>
    </r>
    <r>
      <rPr>
        <sz val="10"/>
        <color rgb="FFE8474C"/>
        <rFont val="WenQuanYi Zen Hei"/>
        <family val="2"/>
      </rPr>
      <t xml:space="preserve">출고일 </t>
    </r>
    <r>
      <rPr>
        <sz val="10"/>
        <color rgb="FFE8474C"/>
        <rFont val="맑은 고딕"/>
        <family val="0"/>
        <charset val="1"/>
      </rPr>
      <t xml:space="preserve">+1</t>
    </r>
    <r>
      <rPr>
        <sz val="10"/>
        <color rgb="FFE8474C"/>
        <rFont val="WenQuanYi Zen Hei"/>
        <family val="2"/>
      </rPr>
      <t xml:space="preserve">년 예측</t>
    </r>
  </si>
  <si>
    <t xml:space="preserve">NO</t>
  </si>
  <si>
    <t xml:space="preserve">MD</t>
  </si>
  <si>
    <t xml:space="preserve">Style Code</t>
  </si>
  <si>
    <t xml:space="preserve">품명</t>
  </si>
  <si>
    <t xml:space="preserve">시즌</t>
  </si>
  <si>
    <t xml:space="preserve">테마</t>
  </si>
  <si>
    <r>
      <rPr>
        <b val="true"/>
        <sz val="10"/>
        <color rgb="FFFFFFFF"/>
        <rFont val="WenQuanYi Zen Hei"/>
        <family val="2"/>
      </rPr>
      <t xml:space="preserve">예상출고일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</si>
  <si>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전년품번</t>
    </r>
    <r>
      <rPr>
        <b val="true"/>
        <sz val="10"/>
        <color rgb="FFFFFFFF"/>
        <rFont val="맑은 고딕"/>
        <family val="0"/>
        <charset val="1"/>
      </rPr>
      <t xml:space="preserve">(26SS)</t>
    </r>
  </si>
  <si>
    <r>
      <rPr>
        <b val="true"/>
        <sz val="10"/>
        <color rgb="FFFFFFFF"/>
        <rFont val="WenQuanYi Zen Hei"/>
        <family val="2"/>
      </rPr>
      <t xml:space="preserve">전년출고일</t>
    </r>
    <r>
      <rPr>
        <b val="true"/>
        <sz val="10"/>
        <color rgb="FFFFFFFF"/>
        <rFont val="맑은 고딕"/>
        <family val="0"/>
        <charset val="1"/>
      </rPr>
      <t xml:space="preserve">(26SS)</t>
    </r>
  </si>
  <si>
    <t xml:space="preserve">출고예정일</t>
  </si>
  <si>
    <t xml:space="preserve">출고일 근거</t>
  </si>
  <si>
    <r>
      <rPr>
        <b val="true"/>
        <sz val="10"/>
        <color rgb="FFFFFFFF"/>
        <rFont val="WenQuanYi Zen Hei"/>
        <family val="2"/>
      </rPr>
      <t xml:space="preserve">소재입고 마감일</t>
    </r>
    <r>
      <rPr>
        <b val="true"/>
        <sz val="10"/>
        <color rgb="FFFFFFFF"/>
        <rFont val="맑은 고딕"/>
        <family val="0"/>
        <charset val="1"/>
      </rPr>
      <t xml:space="preserve">(D-90)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</si>
  <si>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</si>
  <si>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r>
      <rPr>
        <b val="true"/>
        <sz val="10"/>
        <color rgb="FFFFFFFF"/>
        <rFont val="WenQuanYi Zen Hei"/>
        <family val="2"/>
      </rPr>
      <t xml:space="preserve">작지등록</t>
    </r>
    <r>
      <rPr>
        <b val="true"/>
        <sz val="10"/>
        <color rgb="FFFFFFFF"/>
        <rFont val="맑은 고딕"/>
        <family val="0"/>
        <charset val="1"/>
      </rPr>
      <t xml:space="preserve">(O/X)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</si>
  <si>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</si>
  <si>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r>
      <rPr>
        <b val="true"/>
        <sz val="10"/>
        <color rgb="FFFFFFFF"/>
        <rFont val="WenQuanYi Zen Hei"/>
        <family val="2"/>
      </rPr>
      <t xml:space="preserve">생산구분</t>
    </r>
    <r>
      <rPr>
        <b val="true"/>
        <sz val="10"/>
        <color rgb="FFFFFFFF"/>
        <rFont val="맑은 고딕"/>
        <family val="0"/>
        <charset val="1"/>
      </rPr>
      <t xml:space="preserve">(CMT/</t>
    </r>
    <r>
      <rPr>
        <b val="true"/>
        <sz val="10"/>
        <color rgb="FFFFFFFF"/>
        <rFont val="WenQuanYi Zen Hei"/>
        <family val="2"/>
      </rPr>
      <t xml:space="preserve">사입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</si>
  <si>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소재입고 책임</t>
  </si>
  <si>
    <t xml:space="preserve">생산처</t>
  </si>
  <si>
    <t xml:space="preserve">원단처</t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</si>
  <si>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</si>
  <si>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</si>
  <si>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</si>
  <si>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</si>
  <si>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</si>
  <si>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JWJGS27001</t>
  </si>
  <si>
    <t xml:space="preserve">Mountaineering &amp; Climbing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</si>
  <si>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</si>
  <si>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</si>
  <si>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포마트</t>
  </si>
  <si>
    <t xml:space="preserve">김난이</t>
  </si>
  <si>
    <t xml:space="preserve">박진아</t>
  </si>
  <si>
    <t xml:space="preserve">JKTBS27102</t>
  </si>
  <si>
    <t xml:space="preserve">Hiking S2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</si>
  <si>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</si>
  <si>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</si>
  <si>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</si>
  <si>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JWTBS27111</t>
  </si>
  <si>
    <t xml:space="preserve">남성 하이브리드 긴팔 집업 티셔츠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</si>
  <si>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</si>
  <si>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</si>
  <si>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</si>
  <si>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</si>
  <si>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</si>
  <si>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</si>
  <si>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정영준</t>
  </si>
  <si>
    <t xml:space="preserve">TLJJS27501</t>
  </si>
  <si>
    <t xml:space="preserve">춘절 남성 패딩 헤링턴 재킷</t>
  </si>
  <si>
    <t xml:space="preserve">Structural Hybrid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</si>
  <si>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</si>
  <si>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</si>
  <si>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TLJJS27551</t>
  </si>
  <si>
    <t xml:space="preserve">춘절 남성 키퍼 스탠드넥 재킷</t>
  </si>
  <si>
    <t xml:space="preserve">유통특화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</si>
  <si>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</si>
  <si>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</si>
  <si>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</si>
  <si>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</si>
  <si>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</si>
  <si>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</si>
  <si>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</si>
  <si>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</si>
  <si>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JWTBS27117</t>
  </si>
  <si>
    <t xml:space="preserve">남성 퀵드라이 바라클라바 긴팔 후드 티셔츠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</si>
  <si>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</si>
  <si>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JWTBS27119</t>
  </si>
  <si>
    <t xml:space="preserve">남성 자가드 긴팔 집업 티셔츠</t>
  </si>
  <si>
    <t xml:space="preserve">JKJGS27102</t>
  </si>
  <si>
    <t xml:space="preserve">여성 윈드체이서 고어텍스 후드 방수 재킷</t>
  </si>
  <si>
    <t xml:space="preserve">JKJGS27104</t>
  </si>
  <si>
    <t xml:space="preserve">여성 고어텍스 후드 디테쳐블 방수 재킷</t>
  </si>
  <si>
    <t xml:space="preserve">JKJWS27106</t>
  </si>
  <si>
    <t xml:space="preserve">여성 고어윈드스토퍼 후드 디테쳐블 재킷</t>
  </si>
  <si>
    <t xml:space="preserve">JWJGS27101</t>
  </si>
  <si>
    <t xml:space="preserve">남성 윈드체이서 고어텍스 후드 방수 재킷</t>
  </si>
  <si>
    <t xml:space="preserve">JWJGS27103</t>
  </si>
  <si>
    <t xml:space="preserve">남성 고어텍스 후드 디테쳐블 방수 재킷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</si>
  <si>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</si>
  <si>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</si>
  <si>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</si>
  <si>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</si>
  <si>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TLJJS27503</t>
  </si>
  <si>
    <t xml:space="preserve">춘절 남성 소프트쉘 헤링턴 재킷</t>
  </si>
  <si>
    <t xml:space="preserve">TLJJS27511</t>
  </si>
  <si>
    <t xml:space="preserve">춘절 남성 소프트안감 드리즐러 재킷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</si>
  <si>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</si>
  <si>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</si>
  <si>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</si>
  <si>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</si>
  <si>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</si>
  <si>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</si>
  <si>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문도혁</t>
  </si>
  <si>
    <t xml:space="preserve">TVJJS27542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</si>
  <si>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</si>
  <si>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</si>
  <si>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</si>
  <si>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</si>
  <si>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</si>
  <si>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</si>
  <si>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JWJJS27107</t>
  </si>
  <si>
    <t xml:space="preserve">남녀공용 우의</t>
  </si>
  <si>
    <t xml:space="preserve">Hiking M1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</si>
  <si>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</si>
  <si>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JWJJS27109</t>
  </si>
  <si>
    <t xml:space="preserve">JWTBS27101</t>
  </si>
  <si>
    <t xml:space="preserve">남성 베이직 긴팔 집업 티셔츠</t>
  </si>
  <si>
    <t xml:space="preserve">JWTBS27103</t>
  </si>
  <si>
    <t xml:space="preserve">남성 베이직 긴팔 라운드 티셔츠</t>
  </si>
  <si>
    <t xml:space="preserve">JWTBS27107</t>
  </si>
  <si>
    <t xml:space="preserve">JWTBS27109</t>
  </si>
  <si>
    <t xml:space="preserve">JWVAS27109</t>
  </si>
  <si>
    <t xml:space="preserve">남성 유틸리티 스탠드넥 베스트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</si>
  <si>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</si>
  <si>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</si>
  <si>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JWTBM27121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</si>
  <si>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</si>
  <si>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</si>
  <si>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</si>
  <si>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</si>
  <si>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JWTBM27127</t>
  </si>
  <si>
    <t xml:space="preserve">김준래</t>
  </si>
  <si>
    <t xml:space="preserve">TLSXM27521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</si>
  <si>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</si>
  <si>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</si>
  <si>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</si>
  <si>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JWJJM27171</t>
  </si>
  <si>
    <t xml:space="preserve">남성 제노아 경량 인후드 방풍 재킷</t>
  </si>
  <si>
    <t xml:space="preserve">Hiking m1</t>
  </si>
  <si>
    <t xml:space="preserve">TLJJM27501</t>
  </si>
  <si>
    <t xml:space="preserve">하절 남성 경량 재킷</t>
  </si>
  <si>
    <t xml:space="preserve">EV Summer 1</t>
  </si>
  <si>
    <t xml:space="preserve">TLJJM27511</t>
  </si>
  <si>
    <t xml:space="preserve">하절 남성 윈드포레스트 패커블 방풍 재킷</t>
  </si>
  <si>
    <t xml:space="preserve">박술홍</t>
  </si>
  <si>
    <t xml:space="preserve">TLJJM27701</t>
  </si>
  <si>
    <t xml:space="preserve">Trail Running</t>
  </si>
  <si>
    <t xml:space="preserve">TLJJM27703</t>
  </si>
  <si>
    <t xml:space="preserve">TVPNM27502</t>
  </si>
  <si>
    <t xml:space="preserve">하절 여성 베이직 크롭 세미 와이드 팬츠</t>
  </si>
  <si>
    <t xml:space="preserve">TVPNM27522</t>
  </si>
  <si>
    <t xml:space="preserve">하절 여성 카고조거 팬츠</t>
  </si>
  <si>
    <t xml:space="preserve">TVPNM27532</t>
  </si>
  <si>
    <t xml:space="preserve">하절 여성 와이드 팬츠</t>
  </si>
  <si>
    <t xml:space="preserve">EV Summer 2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</si>
  <si>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</si>
  <si>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</si>
  <si>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JWJJM27151</t>
  </si>
  <si>
    <t xml:space="preserve">남성 윈드케이 경량 방풍 재킷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</si>
  <si>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</si>
  <si>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JWJJM27155</t>
  </si>
  <si>
    <t xml:space="preserve">남성 고강력사 방풍 재킷</t>
  </si>
  <si>
    <t xml:space="preserve">JWTBM27165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</si>
  <si>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</si>
  <si>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JWTBM27167</t>
  </si>
  <si>
    <t xml:space="preserve">JWTBM27181</t>
  </si>
  <si>
    <t xml:space="preserve">남녀공용 솔솔 에어도트 하이브리드 긴팔 티셔츠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</si>
  <si>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</si>
  <si>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</si>
  <si>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</si>
  <si>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</si>
  <si>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JWTCM27161</t>
  </si>
  <si>
    <t xml:space="preserve">JWTCM27163</t>
  </si>
  <si>
    <t xml:space="preserve">JWVAM27101</t>
  </si>
  <si>
    <t xml:space="preserve">남성 에센셜 경량 베스트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</si>
  <si>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</si>
  <si>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</si>
  <si>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</si>
  <si>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</si>
  <si>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JWTCM27151</t>
  </si>
  <si>
    <t xml:space="preserve">남성 소로나 메쉬 반팔 집업 티셔츠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</si>
  <si>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</si>
  <si>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</si>
  <si>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</si>
  <si>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</si>
  <si>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JWJJM27181</t>
  </si>
  <si>
    <t xml:space="preserve">박지인</t>
  </si>
  <si>
    <t xml:space="preserve">JWJJM27301</t>
  </si>
  <si>
    <t xml:space="preserve">Backpacking</t>
  </si>
  <si>
    <t xml:space="preserve">JWTCM27131</t>
  </si>
  <si>
    <t xml:space="preserve">남녀공용 소로나 릴렉스핏 그래픽 티셔츠</t>
  </si>
  <si>
    <t xml:space="preserve">JWTCM27133</t>
  </si>
  <si>
    <t xml:space="preserve">남녀공용 에어론 릴렉스핏 그래픽 티셔츠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</si>
  <si>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</si>
  <si>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</si>
  <si>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</si>
  <si>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</si>
  <si>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</si>
  <si>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</si>
  <si>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</si>
  <si>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</si>
  <si>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</si>
  <si>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</si>
  <si>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</si>
  <si>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TVPNM27694</t>
  </si>
  <si>
    <t xml:space="preserve">하절 여성 데이팩 루즈 팬츠</t>
  </si>
  <si>
    <t xml:space="preserve">Daypack</t>
  </si>
  <si>
    <t xml:space="preserve">TVPOM27512</t>
  </si>
  <si>
    <t xml:space="preserve">하절 여성 버뮤다 팬츠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</si>
  <si>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</si>
  <si>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</si>
  <si>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</si>
  <si>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</si>
  <si>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</si>
  <si>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</si>
  <si>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TVPOM27698</t>
  </si>
  <si>
    <t xml:space="preserve">하절 여성 데이팩 카고 쇼츠</t>
  </si>
  <si>
    <t xml:space="preserve">TVSCM27692</t>
  </si>
  <si>
    <t xml:space="preserve">하절 여성 데이팩 반팔 셔츠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</si>
  <si>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</si>
  <si>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</si>
  <si>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</si>
  <si>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</si>
  <si>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</si>
  <si>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</si>
  <si>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TVTCM27698</t>
  </si>
  <si>
    <t xml:space="preserve">하절 여성 데이팩 원피스</t>
  </si>
  <si>
    <t xml:space="preserve">JWTCM27191</t>
  </si>
  <si>
    <t xml:space="preserve">남성 슬리브리스</t>
  </si>
  <si>
    <t xml:space="preserve">TLVAM27501</t>
  </si>
  <si>
    <t xml:space="preserve">하절 남성 방풍 베스트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</si>
  <si>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</si>
  <si>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</si>
  <si>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</si>
  <si>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t xml:space="preserve">★ 납기위험</t>
  </si>
  <si>
    <r>
      <rPr>
        <sz val="10"/>
        <color rgb="FF666666"/>
        <rFont val="맑은 고딕"/>
        <family val="0"/>
        <charset val="1"/>
      </rPr>
      <t xml:space="preserve">? </t>
    </r>
    <r>
      <rPr>
        <sz val="10"/>
        <color rgb="FF666666"/>
        <rFont val="WenQuanYi Zen Hei"/>
        <family val="2"/>
      </rPr>
      <t xml:space="preserve">확인필요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회신 대기</t>
    </r>
    <r>
      <rPr>
        <sz val="10"/>
        <color rgb="FF666666"/>
        <rFont val="맑은 고딕"/>
        <family val="0"/>
        <charset val="1"/>
      </rPr>
      <t xml:space="preserve">)</t>
    </r>
  </si>
  <si>
    <t xml:space="preserve">✓ 정상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</si>
  <si>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</si>
  <si>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</si>
  <si>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</si>
  <si>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맑은 고딕"/>
        <family val="0"/>
        <charset val="1"/>
      </rPr>
      <t xml:space="preserve">? </t>
    </r>
    <r>
      <rPr>
        <b val="true"/>
        <sz val="10"/>
        <color rgb="FFFFFFFF"/>
        <rFont val="WenQuanYi Zen Hei"/>
        <family val="2"/>
      </rPr>
      <t xml:space="preserve">확인필요</t>
    </r>
  </si>
  <si>
    <t xml:space="preserve">조율완료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</si>
  <si>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</si>
  <si>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등록되지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출고계획 미확정 스타일은 전년</t>
    </r>
    <r>
      <rPr>
        <sz val="11"/>
        <rFont val="맑은 고딕"/>
        <family val="0"/>
        <charset val="1"/>
      </rPr>
      <t xml:space="preserve">(26SS)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+1</t>
    </r>
    <r>
      <rPr>
        <sz val="11"/>
        <rFont val="WenQuanYi Zen Hei"/>
        <family val="2"/>
      </rPr>
      <t xml:space="preserve">년으로 예측 적용했습니다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첨부 트래커의 소재입고 마감일 기준으로</t>
    </r>
    <r>
      <rPr>
        <sz val="11"/>
        <rFont val="맑은 고딕"/>
        <family val="0"/>
        <charset val="1"/>
      </rPr>
      <t xml:space="preserve">,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사입생산은 생산처에서 소재 입고 가능일을 회신해 주시기 바라며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마감 초과가 예상되는 스타일은 출고차순 조정 등 사전조율을 요청드립니다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</si>
</sst>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;[RED]\-0"/>
    <numFmt numFmtId="167" formatCode="General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WenQuanYi Zen Hei"/>
      <family val="2"/>
    </font>
    <font>
      <sz val="11"/>
      <color rgb="FF21212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12"/>
      <color rgb="FFFFFFFF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C5F2D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5F5F5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C5F2D"/>
      <rgbColor rgb="FF9C5700"/>
      <rgbColor rgb="FF993366"/>
      <rgbColor rgb="FF333399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2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4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6.4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4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4" t="s">
        <v>16</v>
      </c>
    </row>
    <row r="23" customFormat="false" ht="15" hidden="false" customHeight="false" outlineLevel="0" collapsed="false">
      <c r="B23" s="5" t="s">
        <v>17</v>
      </c>
    </row>
    <row r="24" customFormat="false" ht="15" hidden="false" customHeight="false" outlineLevel="0" collapsed="false">
      <c r="B24" s="6" t="s">
        <v>18</v>
      </c>
    </row>
    <row r="25" customFormat="false" ht="15" hidden="false" customHeight="false" outlineLevel="0" collapsed="false">
      <c r="B25" s="6" t="s">
        <v>19</v>
      </c>
    </row>
    <row r="26" customFormat="false" ht="15" hidden="false" customHeight="false" outlineLevel="0" collapsed="false">
      <c r="B26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21</v>
      </c>
    </row>
    <row r="4" customFormat="false" ht="15" hidden="false" customHeight="false" outlineLevel="0" collapsed="false">
      <c r="B4" s="8" t="s">
        <v>22</v>
      </c>
      <c r="C4" s="9" t="n">
        <f aca="true">TODAY()</f>
        <v>46240</v>
      </c>
      <c r="D4" s="10" t="s">
        <v>23</v>
      </c>
    </row>
    <row r="5" customFormat="false" ht="15" hidden="false" customHeight="false" outlineLevel="0" collapsed="false">
      <c r="B5" s="8" t="s">
        <v>24</v>
      </c>
      <c r="C5" s="11" t="n">
        <v>90</v>
      </c>
      <c r="D5" s="10" t="s">
        <v>25</v>
      </c>
    </row>
    <row r="6" customFormat="false" ht="15" hidden="false" customHeight="false" outlineLevel="0" collapsed="false">
      <c r="B6" s="8" t="s">
        <v>26</v>
      </c>
      <c r="C6" s="11" t="n">
        <v>2027</v>
      </c>
      <c r="D6" s="12" t="s">
        <v>27</v>
      </c>
    </row>
    <row r="8" customFormat="false" ht="15" hidden="false" customHeight="false" outlineLevel="0" collapsed="false">
      <c r="B8" s="13" t="s">
        <v>28</v>
      </c>
    </row>
    <row r="9" customFormat="false" ht="15" hidden="false" customHeight="false" outlineLevel="0" collapsed="false">
      <c r="B9" s="14" t="s">
        <v>29</v>
      </c>
      <c r="C9" s="15" t="s">
        <v>30</v>
      </c>
    </row>
    <row r="10" customFormat="false" ht="15" hidden="false" customHeight="false" outlineLevel="0" collapsed="false">
      <c r="B10" s="16" t="s">
        <v>31</v>
      </c>
      <c r="C10" s="15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24"/>
  </cols>
  <sheetData>
    <row r="1" customFormat="false" ht="17.15" hidden="false" customHeight="false" outlineLevel="0" collapsed="false">
      <c r="A1" s="7" t="s">
        <v>33</v>
      </c>
    </row>
    <row r="2" customFormat="false" ht="15" hidden="false" customHeight="false" outlineLevel="0" collapsed="false">
      <c r="A2" s="10" t="s">
        <v>34</v>
      </c>
    </row>
    <row r="3" customFormat="false" ht="15" hidden="false" customHeight="false" outlineLevel="0" collapsed="false">
      <c r="A3" s="17" t="s">
        <v>35</v>
      </c>
      <c r="B3" s="17" t="s">
        <v>36</v>
      </c>
      <c r="C3" s="17" t="s">
        <v>37</v>
      </c>
    </row>
    <row r="4" customFormat="false" ht="15" hidden="false" customHeight="false" outlineLevel="0" collapsed="false">
      <c r="A4" s="18" t="s">
        <v>38</v>
      </c>
      <c r="B4" s="19" t="n">
        <v>46035</v>
      </c>
      <c r="C4" s="18" t="s">
        <v>39</v>
      </c>
    </row>
    <row r="5" customFormat="false" ht="15" hidden="false" customHeight="false" outlineLevel="0" collapsed="false">
      <c r="A5" s="18" t="s">
        <v>40</v>
      </c>
      <c r="B5" s="19" t="n">
        <v>46029</v>
      </c>
      <c r="C5" s="18" t="s">
        <v>39</v>
      </c>
    </row>
    <row r="6" customFormat="false" ht="15" hidden="false" customHeight="false" outlineLevel="0" collapsed="false">
      <c r="A6" s="18" t="s">
        <v>41</v>
      </c>
      <c r="B6" s="19" t="n">
        <v>46035</v>
      </c>
      <c r="C6" s="18" t="s">
        <v>39</v>
      </c>
    </row>
    <row r="7" customFormat="false" ht="15" hidden="false" customHeight="false" outlineLevel="0" collapsed="false">
      <c r="A7" s="18" t="s">
        <v>42</v>
      </c>
      <c r="B7" s="19" t="n">
        <v>46035</v>
      </c>
      <c r="C7" s="18" t="s">
        <v>39</v>
      </c>
    </row>
    <row r="8" customFormat="false" ht="15" hidden="false" customHeight="false" outlineLevel="0" collapsed="false">
      <c r="A8" s="18" t="s">
        <v>43</v>
      </c>
      <c r="B8" s="19" t="n">
        <v>46035</v>
      </c>
      <c r="C8" s="18" t="s">
        <v>39</v>
      </c>
    </row>
    <row r="9" customFormat="false" ht="15" hidden="false" customHeight="false" outlineLevel="0" collapsed="false">
      <c r="A9" s="18" t="s">
        <v>44</v>
      </c>
      <c r="B9" s="19" t="n">
        <v>46038</v>
      </c>
      <c r="C9" s="18" t="s">
        <v>39</v>
      </c>
    </row>
    <row r="10" customFormat="false" ht="15" hidden="false" customHeight="false" outlineLevel="0" collapsed="false">
      <c r="A10" s="18" t="s">
        <v>45</v>
      </c>
      <c r="B10" s="19" t="n">
        <v>46035</v>
      </c>
      <c r="C10" s="18" t="s">
        <v>39</v>
      </c>
    </row>
    <row r="11" customFormat="false" ht="15" hidden="false" customHeight="false" outlineLevel="0" collapsed="false">
      <c r="A11" s="18" t="s">
        <v>46</v>
      </c>
      <c r="B11" s="19" t="n">
        <v>46036</v>
      </c>
      <c r="C11" s="18" t="s">
        <v>39</v>
      </c>
    </row>
    <row r="12" customFormat="false" ht="15" hidden="false" customHeight="false" outlineLevel="0" collapsed="false">
      <c r="A12" s="18" t="s">
        <v>47</v>
      </c>
      <c r="B12" s="19" t="n">
        <v>46036</v>
      </c>
      <c r="C12" s="18" t="s">
        <v>39</v>
      </c>
    </row>
    <row r="13" customFormat="false" ht="15" hidden="false" customHeight="false" outlineLevel="0" collapsed="false">
      <c r="A13" s="18" t="s">
        <v>48</v>
      </c>
      <c r="B13" s="19" t="n">
        <v>46037</v>
      </c>
      <c r="C13" s="18" t="s">
        <v>39</v>
      </c>
    </row>
    <row r="14" customFormat="false" ht="15" hidden="false" customHeight="false" outlineLevel="0" collapsed="false">
      <c r="A14" s="18" t="s">
        <v>49</v>
      </c>
      <c r="B14" s="19" t="n">
        <v>46031</v>
      </c>
      <c r="C14" s="18" t="s">
        <v>39</v>
      </c>
    </row>
    <row r="15" customFormat="false" ht="15" hidden="false" customHeight="false" outlineLevel="0" collapsed="false">
      <c r="A15" s="18" t="s">
        <v>50</v>
      </c>
      <c r="B15" s="19" t="n">
        <v>46031</v>
      </c>
      <c r="C15" s="18" t="s">
        <v>39</v>
      </c>
    </row>
    <row r="16" customFormat="false" ht="15" hidden="false" customHeight="false" outlineLevel="0" collapsed="false">
      <c r="A16" s="18" t="s">
        <v>51</v>
      </c>
      <c r="B16" s="18" t="s">
        <v>52</v>
      </c>
      <c r="C16" s="18" t="s">
        <v>53</v>
      </c>
    </row>
    <row r="17" customFormat="false" ht="15" hidden="false" customHeight="false" outlineLevel="0" collapsed="false">
      <c r="A17" s="18" t="s">
        <v>54</v>
      </c>
      <c r="B17" s="18" t="s">
        <v>55</v>
      </c>
      <c r="C17" s="18" t="s">
        <v>53</v>
      </c>
    </row>
    <row r="18" customFormat="false" ht="15" hidden="false" customHeight="false" outlineLevel="0" collapsed="false">
      <c r="A18" s="18" t="s">
        <v>56</v>
      </c>
      <c r="B18" s="18" t="s">
        <v>52</v>
      </c>
      <c r="C18" s="18" t="s">
        <v>53</v>
      </c>
    </row>
    <row r="19" customFormat="false" ht="15" hidden="false" customHeight="false" outlineLevel="0" collapsed="false">
      <c r="A19" s="18" t="s">
        <v>57</v>
      </c>
      <c r="B19" s="19" t="n">
        <v>46029</v>
      </c>
      <c r="C19" s="18" t="s">
        <v>39</v>
      </c>
    </row>
    <row r="20" customFormat="false" ht="15" hidden="false" customHeight="false" outlineLevel="0" collapsed="false">
      <c r="A20" s="18" t="s">
        <v>58</v>
      </c>
      <c r="B20" s="19" t="n">
        <v>46037</v>
      </c>
      <c r="C20" s="18" t="s">
        <v>39</v>
      </c>
    </row>
    <row r="21" customFormat="false" ht="15" hidden="false" customHeight="false" outlineLevel="0" collapsed="false">
      <c r="A21" s="18" t="s">
        <v>59</v>
      </c>
      <c r="B21" s="19" t="n">
        <v>46037</v>
      </c>
      <c r="C21" s="18" t="s">
        <v>39</v>
      </c>
    </row>
    <row r="22" customFormat="false" ht="15" hidden="false" customHeight="false" outlineLevel="0" collapsed="false">
      <c r="A22" s="18" t="s">
        <v>60</v>
      </c>
      <c r="B22" s="19" t="n">
        <v>46037</v>
      </c>
      <c r="C22" s="18" t="s">
        <v>39</v>
      </c>
    </row>
    <row r="23" customFormat="false" ht="15" hidden="false" customHeight="false" outlineLevel="0" collapsed="false">
      <c r="A23" s="18" t="s">
        <v>61</v>
      </c>
      <c r="B23" s="19" t="n">
        <v>46035</v>
      </c>
      <c r="C23" s="18" t="s">
        <v>39</v>
      </c>
    </row>
    <row r="24" customFormat="false" ht="15" hidden="false" customHeight="false" outlineLevel="0" collapsed="false">
      <c r="A24" s="18" t="s">
        <v>62</v>
      </c>
      <c r="B24" s="19" t="n">
        <v>46035</v>
      </c>
      <c r="C24" s="18" t="s">
        <v>39</v>
      </c>
    </row>
    <row r="25" customFormat="false" ht="15" hidden="false" customHeight="false" outlineLevel="0" collapsed="false">
      <c r="A25" s="18" t="s">
        <v>63</v>
      </c>
      <c r="B25" s="18" t="s">
        <v>55</v>
      </c>
      <c r="C25" s="18" t="s">
        <v>53</v>
      </c>
    </row>
    <row r="26" customFormat="false" ht="15" hidden="false" customHeight="false" outlineLevel="0" collapsed="false">
      <c r="A26" s="18" t="s">
        <v>64</v>
      </c>
      <c r="B26" s="19" t="n">
        <v>46028</v>
      </c>
      <c r="C26" s="18" t="s">
        <v>39</v>
      </c>
    </row>
    <row r="27" customFormat="false" ht="15" hidden="false" customHeight="false" outlineLevel="0" collapsed="false">
      <c r="A27" s="18" t="s">
        <v>65</v>
      </c>
      <c r="B27" s="19" t="n">
        <v>46038</v>
      </c>
      <c r="C27" s="18" t="s">
        <v>39</v>
      </c>
    </row>
    <row r="28" customFormat="false" ht="15" hidden="false" customHeight="false" outlineLevel="0" collapsed="false">
      <c r="A28" s="18" t="s">
        <v>66</v>
      </c>
      <c r="B28" s="19" t="n">
        <v>46037</v>
      </c>
      <c r="C28" s="18" t="s">
        <v>39</v>
      </c>
    </row>
    <row r="29" customFormat="false" ht="15" hidden="false" customHeight="false" outlineLevel="0" collapsed="false">
      <c r="A29" s="18" t="s">
        <v>67</v>
      </c>
      <c r="B29" s="19" t="n">
        <v>46024</v>
      </c>
      <c r="C29" s="18" t="s">
        <v>39</v>
      </c>
    </row>
    <row r="30" customFormat="false" ht="15" hidden="false" customHeight="false" outlineLevel="0" collapsed="false">
      <c r="A30" s="18" t="s">
        <v>68</v>
      </c>
      <c r="B30" s="19" t="n">
        <v>46034</v>
      </c>
      <c r="C30" s="18" t="s">
        <v>39</v>
      </c>
    </row>
    <row r="31" customFormat="false" ht="15" hidden="false" customHeight="false" outlineLevel="0" collapsed="false">
      <c r="A31" s="18" t="s">
        <v>69</v>
      </c>
      <c r="B31" s="19" t="n">
        <v>46037</v>
      </c>
      <c r="C31" s="18" t="s">
        <v>39</v>
      </c>
    </row>
    <row r="32" customFormat="false" ht="15" hidden="false" customHeight="false" outlineLevel="0" collapsed="false">
      <c r="A32" s="18" t="s">
        <v>70</v>
      </c>
      <c r="B32" s="19" t="n">
        <v>46037</v>
      </c>
      <c r="C32" s="18" t="s">
        <v>39</v>
      </c>
    </row>
    <row r="33" customFormat="false" ht="15" hidden="false" customHeight="false" outlineLevel="0" collapsed="false">
      <c r="A33" s="18" t="s">
        <v>71</v>
      </c>
      <c r="B33" s="19" t="n">
        <v>46030</v>
      </c>
      <c r="C33" s="18" t="s">
        <v>39</v>
      </c>
    </row>
    <row r="34" customFormat="false" ht="15" hidden="false" customHeight="false" outlineLevel="0" collapsed="false">
      <c r="A34" s="18" t="s">
        <v>72</v>
      </c>
      <c r="B34" s="19" t="n">
        <v>46024</v>
      </c>
      <c r="C34" s="18" t="s">
        <v>39</v>
      </c>
    </row>
    <row r="35" customFormat="false" ht="15" hidden="false" customHeight="false" outlineLevel="0" collapsed="false">
      <c r="A35" s="18" t="s">
        <v>73</v>
      </c>
      <c r="B35" s="19" t="n">
        <v>46036</v>
      </c>
      <c r="C35" s="18" t="s">
        <v>39</v>
      </c>
    </row>
    <row r="36" customFormat="false" ht="15" hidden="false" customHeight="false" outlineLevel="0" collapsed="false">
      <c r="A36" s="18" t="s">
        <v>74</v>
      </c>
      <c r="B36" s="19" t="n">
        <v>46028</v>
      </c>
      <c r="C36" s="18" t="s">
        <v>39</v>
      </c>
    </row>
    <row r="37" customFormat="false" ht="15" hidden="false" customHeight="false" outlineLevel="0" collapsed="false">
      <c r="A37" s="18" t="s">
        <v>75</v>
      </c>
      <c r="B37" s="19" t="n">
        <v>46028</v>
      </c>
      <c r="C37" s="18" t="s">
        <v>39</v>
      </c>
    </row>
    <row r="38" customFormat="false" ht="15" hidden="false" customHeight="false" outlineLevel="0" collapsed="false">
      <c r="A38" s="18" t="s">
        <v>76</v>
      </c>
      <c r="B38" s="19" t="n">
        <v>46028</v>
      </c>
      <c r="C38" s="1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9" min="7" style="0" width="13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3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14"/>
    <col collapsed="false" customWidth="true" hidden="false" outlineLevel="0" max="22" min="22" style="0" width="9"/>
    <col collapsed="false" customWidth="true" hidden="false" outlineLevel="0" max="23" min="23" style="0" width="26"/>
  </cols>
  <sheetData>
    <row r="1" customFormat="false" ht="19.4" hidden="false" customHeight="false" outlineLevel="0" collapsed="false">
      <c r="A1" s="20" t="s">
        <v>77</v>
      </c>
    </row>
    <row r="2" customFormat="false" ht="15" hidden="false" customHeight="false" outlineLevel="0" collapsed="false">
      <c r="A2" s="21" t="s">
        <v>78</v>
      </c>
      <c r="B2" s="22" t="n">
        <f aca="false">기준정보!$C$4</f>
        <v>46240</v>
      </c>
      <c r="C2" s="21" t="s">
        <v>79</v>
      </c>
      <c r="D2" s="23" t="str">
        <f aca="false">기준정보!$C$5&amp;"일"</f>
        <v>90일</v>
      </c>
      <c r="F2" s="24" t="s">
        <v>80</v>
      </c>
    </row>
    <row r="4" customFormat="false" ht="26.85" hidden="false" customHeight="false" outlineLevel="0" collapsed="false">
      <c r="A4" s="25" t="s">
        <v>81</v>
      </c>
      <c r="B4" s="25" t="s">
        <v>82</v>
      </c>
      <c r="C4" s="25" t="s">
        <v>83</v>
      </c>
      <c r="D4" s="26" t="s">
        <v>84</v>
      </c>
      <c r="E4" s="26" t="s">
        <v>85</v>
      </c>
      <c r="F4" s="26" t="s">
        <v>86</v>
      </c>
      <c r="G4" s="26" t="s">
        <v>87</v>
      </c>
      <c r="H4" s="26" t="s">
        <v>88</v>
      </c>
      <c r="I4" s="26" t="s">
        <v>89</v>
      </c>
      <c r="J4" s="26" t="s">
        <v>90</v>
      </c>
      <c r="K4" s="26" t="s">
        <v>91</v>
      </c>
      <c r="L4" s="26" t="s">
        <v>92</v>
      </c>
      <c r="M4" s="26" t="s">
        <v>93</v>
      </c>
      <c r="N4" s="26" t="s">
        <v>94</v>
      </c>
      <c r="O4" s="26" t="s">
        <v>95</v>
      </c>
      <c r="P4" s="26" t="s">
        <v>96</v>
      </c>
      <c r="Q4" s="26" t="s">
        <v>97</v>
      </c>
      <c r="R4" s="26" t="s">
        <v>98</v>
      </c>
      <c r="S4" s="26" t="s">
        <v>99</v>
      </c>
      <c r="T4" s="26" t="s">
        <v>100</v>
      </c>
      <c r="U4" s="26" t="s">
        <v>101</v>
      </c>
      <c r="V4" s="26" t="s">
        <v>102</v>
      </c>
      <c r="W4" s="26" t="s">
        <v>103</v>
      </c>
    </row>
    <row r="5" customFormat="false" ht="15" hidden="false" customHeight="false" outlineLevel="0" collapsed="false">
      <c r="A5" s="27" t="n">
        <v>1</v>
      </c>
      <c r="B5" s="28" t="s">
        <v>104</v>
      </c>
      <c r="C5" s="29" t="s">
        <v>105</v>
      </c>
      <c r="D5" s="29"/>
      <c r="E5" s="27" t="str">
        <f aca="false">IF($C5="","",IF(MID($C5,5,1)="S","S(봄)",IF(MID($C5,5,1)="M","M(여름)",IF(MID($C5,5,1)="X","X(사계절)",MID($C5,5,1)))))</f>
        <v>S(봄)</v>
      </c>
      <c r="F5" s="29" t="s">
        <v>106</v>
      </c>
      <c r="G5" s="30" t="s">
        <v>107</v>
      </c>
      <c r="H5" s="27" t="str">
        <f aca="false">IF($C5="","",REPLACE($C5,6,2,"26"))</f>
        <v>JWJGS26001</v>
      </c>
      <c r="I5" s="31" t="str">
        <f aca="false">IFERROR(INDEX(전년출고참조!$B$4:$B$438,MATCH($H5,전년출고참조!$A$4:$A$438,0)),"")</f>
        <v/>
      </c>
      <c r="J5" s="31" t="n">
        <f aca="false">IF($G5&lt;&gt;"",IFERROR(DATE(IF(VALUE(LEFT($G5,FIND("월",$G5)-1))&gt;=9,기준정보!$C$6-1,기준정보!$C$6),VALUE(LEFT($G5,FIND("월",$G5)-1)),1+7*(VALUE(SUBSTITUTE(MID($G5,FIND("월",$G5)+1,5),"주",""))-1)),""),IF($I5="","",IF(ISNUMBER($I5),$I5+364,IFERROR(DATE(IF(VALUE(LEFT($I5,FIND("월",$I5)-1))&gt;=9,기준정보!$C$6-1,기준정보!$C$6),VALUE(LEFT($I5,FIND("월",$I5)-1)),1+7*(VALUE(SUBSTITUTE(MID($I5,FIND("월",$I5)+1,5),"주",""))-1)),""))))</f>
        <v>46395</v>
      </c>
      <c r="K5" s="27" t="str">
        <f aca="false">IF($G5&lt;&gt;"","계획 주차",IF($J5&lt;&gt;"","전년+1년 예측","미정"))</f>
        <v>계획 주차</v>
      </c>
      <c r="L5" s="31" t="n">
        <f aca="false">IF($J5="","",$J5-기준정보!$C$5)</f>
        <v>46305</v>
      </c>
      <c r="M5" s="32" t="n">
        <f aca="false">IF($L5="","",$L5-기준정보!$C$4)</f>
        <v>65</v>
      </c>
      <c r="N5" s="30" t="s">
        <v>108</v>
      </c>
      <c r="O5" s="19"/>
      <c r="P5" s="30"/>
      <c r="Q5" s="29" t="str">
        <f aca="false">IF($P5="CMT","본사(소재팀)",IF($P5="사입","생산처",""))</f>
        <v/>
      </c>
      <c r="R5" s="33" t="s">
        <v>109</v>
      </c>
      <c r="S5" s="33" t="s">
        <v>110</v>
      </c>
      <c r="T5" s="29" t="str">
        <f aca="false">IF($J5="","출고일 미정",IF($N5="X","작지 미등록",IF(AND($O5&lt;&gt;"",$O5&gt;$L5),"소재입고 마감("&amp;TEXT($L5,"MM/DD")&amp;") 초과",IF($N5="","작지 등록여부 확인 필요",IF($O5="","소재 입고일정 확인 필요","정상")))))</f>
        <v>소재 입고일정 확인 필요</v>
      </c>
      <c r="U5" s="27" t="str">
        <f aca="false">IF($J5="","",IF(OR($T5="작지 미등록",LEFT($T5,4)="소재입고"),IF(LEFT($E5,1)="S","★ 납기위험(S코드)","◆ 지연주의"),IF($T5="정상","✓ 정상","? 확인필요")))</f>
        <v>? 확인필요</v>
      </c>
      <c r="V5" s="30"/>
      <c r="W5" s="18"/>
    </row>
    <row r="6" customFormat="false" ht="15" hidden="false" customHeight="false" outlineLevel="0" collapsed="false">
      <c r="A6" s="27" t="n">
        <v>2</v>
      </c>
      <c r="B6" s="28" t="s">
        <v>111</v>
      </c>
      <c r="C6" s="29" t="s">
        <v>112</v>
      </c>
      <c r="D6" s="29"/>
      <c r="E6" s="27" t="str">
        <f aca="false">IF($C6="","",IF(MID($C6,5,1)="S","S(봄)",IF(MID($C6,5,1)="M","M(여름)",IF(MID($C6,5,1)="X","X(사계절)",MID($C6,5,1)))))</f>
        <v>S(봄)</v>
      </c>
      <c r="F6" s="29" t="s">
        <v>113</v>
      </c>
      <c r="G6" s="30" t="s">
        <v>55</v>
      </c>
      <c r="H6" s="27" t="str">
        <f aca="false">IF($C6="","",REPLACE($C6,6,2,"26"))</f>
        <v>JKTBS26102</v>
      </c>
      <c r="I6" s="31" t="n">
        <f aca="false">IFERROR(INDEX(전년출고참조!$B$4:$B$438,MATCH($H6,전년출고참조!$A$4:$A$438,0)),"")</f>
        <v>46031</v>
      </c>
      <c r="J6" s="31" t="n">
        <f aca="false">IF($G6&lt;&gt;"",IFERROR(DATE(IF(VALUE(LEFT($G6,FIND("월",$G6)-1))&gt;=9,기준정보!$C$6-1,기준정보!$C$6),VALUE(LEFT($G6,FIND("월",$G6)-1)),1+7*(VALUE(SUBSTITUTE(MID($G6,FIND("월",$G6)+1,5),"주",""))-1)),""),IF($I6="","",IF(ISNUMBER($I6),$I6+364,IFERROR(DATE(IF(VALUE(LEFT($I6,FIND("월",$I6)-1))&gt;=9,기준정보!$C$6-1,기준정보!$C$6),VALUE(LEFT($I6,FIND("월",$I6)-1)),1+7*(VALUE(SUBSTITUTE(MID($I6,FIND("월",$I6)+1,5),"주",""))-1)),""))))</f>
        <v>46402</v>
      </c>
      <c r="K6" s="27" t="str">
        <f aca="false">IF($G6&lt;&gt;"","계획 주차",IF($J6&lt;&gt;"","전년+1년 예측","미정"))</f>
        <v>계획 주차</v>
      </c>
      <c r="L6" s="31" t="n">
        <f aca="false">IF($J6="","",$J6-기준정보!$C$5)</f>
        <v>46312</v>
      </c>
      <c r="M6" s="32" t="n">
        <f aca="false">IF($L6="","",$L6-기준정보!$C$4)</f>
        <v>72</v>
      </c>
      <c r="N6" s="30"/>
      <c r="O6" s="19"/>
      <c r="P6" s="30"/>
      <c r="Q6" s="29" t="str">
        <f aca="false">IF($P6="CMT","본사(소재팀)",IF($P6="사입","생산처",""))</f>
        <v/>
      </c>
      <c r="R6" s="18"/>
      <c r="S6" s="18"/>
      <c r="T6" s="29" t="str">
        <f aca="false">IF($J6="","출고일 미정",IF($N6="X","작지 미등록",IF(AND($O6&lt;&gt;"",$O6&gt;$L6),"소재입고 마감("&amp;TEXT($L6,"MM/DD")&amp;") 초과",IF($N6="","작지 등록여부 확인 필요",IF($O6="","소재 입고일정 확인 필요","정상")))))</f>
        <v>작지 등록여부 확인 필요</v>
      </c>
      <c r="U6" s="27" t="str">
        <f aca="false">IF($J6="","",IF(OR($T6="작지 미등록",LEFT($T6,4)="소재입고"),IF(LEFT($E6,1)="S","★ 납기위험(S코드)","◆ 지연주의"),IF($T6="정상","✓ 정상","? 확인필요")))</f>
        <v>? 확인필요</v>
      </c>
      <c r="V6" s="30"/>
      <c r="W6" s="18"/>
    </row>
    <row r="7" customFormat="false" ht="15" hidden="false" customHeight="false" outlineLevel="0" collapsed="false">
      <c r="A7" s="27" t="n">
        <v>3</v>
      </c>
      <c r="B7" s="28" t="s">
        <v>114</v>
      </c>
      <c r="C7" s="29" t="s">
        <v>115</v>
      </c>
      <c r="D7" s="28" t="s">
        <v>116</v>
      </c>
      <c r="E7" s="27" t="str">
        <f aca="false">IF($C7="","",IF(MID($C7,5,1)="S","S(봄)",IF(MID($C7,5,1)="M","M(여름)",IF(MID($C7,5,1)="X","X(사계절)",MID($C7,5,1)))))</f>
        <v>S(봄)</v>
      </c>
      <c r="F7" s="29" t="s">
        <v>113</v>
      </c>
      <c r="G7" s="30" t="s">
        <v>55</v>
      </c>
      <c r="H7" s="27" t="str">
        <f aca="false">IF($C7="","",REPLACE($C7,6,2,"26"))</f>
        <v>JWJJS26131</v>
      </c>
      <c r="I7" s="31" t="str">
        <f aca="false">IFERROR(INDEX(전년출고참조!$B$4:$B$438,MATCH($H7,전년출고참조!$A$4:$A$438,0)),"")</f>
        <v/>
      </c>
      <c r="J7" s="31" t="n">
        <f aca="false">IF($G7&lt;&gt;"",IFERROR(DATE(IF(VALUE(LEFT($G7,FIND("월",$G7)-1))&gt;=9,기준정보!$C$6-1,기준정보!$C$6),VALUE(LEFT($G7,FIND("월",$G7)-1)),1+7*(VALUE(SUBSTITUTE(MID($G7,FIND("월",$G7)+1,5),"주",""))-1)),""),IF($I7="","",IF(ISNUMBER($I7),$I7+364,IFERROR(DATE(IF(VALUE(LEFT($I7,FIND("월",$I7)-1))&gt;=9,기준정보!$C$6-1,기준정보!$C$6),VALUE(LEFT($I7,FIND("월",$I7)-1)),1+7*(VALUE(SUBSTITUTE(MID($I7,FIND("월",$I7)+1,5),"주",""))-1)),""))))</f>
        <v>46402</v>
      </c>
      <c r="K7" s="27" t="str">
        <f aca="false">IF($G7&lt;&gt;"","계획 주차",IF($J7&lt;&gt;"","전년+1년 예측","미정"))</f>
        <v>계획 주차</v>
      </c>
      <c r="L7" s="31" t="n">
        <f aca="false">IF($J7="","",$J7-기준정보!$C$5)</f>
        <v>46312</v>
      </c>
      <c r="M7" s="32" t="n">
        <f aca="false">IF($L7="","",$L7-기준정보!$C$4)</f>
        <v>72</v>
      </c>
      <c r="N7" s="30"/>
      <c r="O7" s="19"/>
      <c r="P7" s="30"/>
      <c r="Q7" s="29" t="str">
        <f aca="false">IF($P7="CMT","본사(소재팀)",IF($P7="사입","생산처",""))</f>
        <v/>
      </c>
      <c r="R7" s="18"/>
      <c r="S7" s="18"/>
      <c r="T7" s="29" t="str">
        <f aca="false">IF($J7="","출고일 미정",IF($N7="X","작지 미등록",IF(AND($O7&lt;&gt;"",$O7&gt;$L7),"소재입고 마감("&amp;TEXT($L7,"MM/DD")&amp;") 초과",IF($N7="","작지 등록여부 확인 필요",IF($O7="","소재 입고일정 확인 필요","정상")))))</f>
        <v>작지 등록여부 확인 필요</v>
      </c>
      <c r="U7" s="27" t="str">
        <f aca="false">IF($J7="","",IF(OR($T7="작지 미등록",LEFT($T7,4)="소재입고"),IF(LEFT($E7,1)="S","★ 납기위험(S코드)","◆ 지연주의"),IF($T7="정상","✓ 정상","? 확인필요")))</f>
        <v>? 확인필요</v>
      </c>
      <c r="V7" s="30"/>
      <c r="W7" s="18"/>
    </row>
    <row r="8" customFormat="false" ht="15" hidden="false" customHeight="false" outlineLevel="0" collapsed="false">
      <c r="A8" s="27" t="n">
        <v>4</v>
      </c>
      <c r="B8" s="28" t="s">
        <v>114</v>
      </c>
      <c r="C8" s="29" t="s">
        <v>117</v>
      </c>
      <c r="D8" s="28" t="s">
        <v>118</v>
      </c>
      <c r="E8" s="27" t="str">
        <f aca="false">IF($C8="","",IF(MID($C8,5,1)="S","S(봄)",IF(MID($C8,5,1)="M","M(여름)",IF(MID($C8,5,1)="X","X(사계절)",MID($C8,5,1)))))</f>
        <v>S(봄)</v>
      </c>
      <c r="F8" s="29" t="s">
        <v>113</v>
      </c>
      <c r="G8" s="30" t="s">
        <v>55</v>
      </c>
      <c r="H8" s="27" t="str">
        <f aca="false">IF($C8="","",REPLACE($C8,6,2,"26"))</f>
        <v>JWTBS26111</v>
      </c>
      <c r="I8" s="31" t="str">
        <f aca="false">IFERROR(INDEX(전년출고참조!$B$4:$B$438,MATCH($H8,전년출고참조!$A$4:$A$438,0)),"")</f>
        <v/>
      </c>
      <c r="J8" s="31" t="n">
        <f aca="false">IF($G8&lt;&gt;"",IFERROR(DATE(IF(VALUE(LEFT($G8,FIND("월",$G8)-1))&gt;=9,기준정보!$C$6-1,기준정보!$C$6),VALUE(LEFT($G8,FIND("월",$G8)-1)),1+7*(VALUE(SUBSTITUTE(MID($G8,FIND("월",$G8)+1,5),"주",""))-1)),""),IF($I8="","",IF(ISNUMBER($I8),$I8+364,IFERROR(DATE(IF(VALUE(LEFT($I8,FIND("월",$I8)-1))&gt;=9,기준정보!$C$6-1,기준정보!$C$6),VALUE(LEFT($I8,FIND("월",$I8)-1)),1+7*(VALUE(SUBSTITUTE(MID($I8,FIND("월",$I8)+1,5),"주",""))-1)),""))))</f>
        <v>46402</v>
      </c>
      <c r="K8" s="27" t="str">
        <f aca="false">IF($G8&lt;&gt;"","계획 주차",IF($J8&lt;&gt;"","전년+1년 예측","미정"))</f>
        <v>계획 주차</v>
      </c>
      <c r="L8" s="31" t="n">
        <f aca="false">IF($J8="","",$J8-기준정보!$C$5)</f>
        <v>46312</v>
      </c>
      <c r="M8" s="32" t="n">
        <f aca="false">IF($L8="","",$L8-기준정보!$C$4)</f>
        <v>72</v>
      </c>
      <c r="N8" s="30"/>
      <c r="O8" s="19"/>
      <c r="P8" s="30"/>
      <c r="Q8" s="29" t="str">
        <f aca="false">IF($P8="CMT","본사(소재팀)",IF($P8="사입","생산처",""))</f>
        <v/>
      </c>
      <c r="R8" s="18"/>
      <c r="S8" s="18"/>
      <c r="T8" s="29" t="str">
        <f aca="false">IF($J8="","출고일 미정",IF($N8="X","작지 미등록",IF(AND($O8&lt;&gt;"",$O8&gt;$L8),"소재입고 마감("&amp;TEXT($L8,"MM/DD")&amp;") 초과",IF($N8="","작지 등록여부 확인 필요",IF($O8="","소재 입고일정 확인 필요","정상")))))</f>
        <v>작지 등록여부 확인 필요</v>
      </c>
      <c r="U8" s="27" t="str">
        <f aca="false">IF($J8="","",IF(OR($T8="작지 미등록",LEFT($T8,4)="소재입고"),IF(LEFT($E8,1)="S","★ 납기위험(S코드)","◆ 지연주의"),IF($T8="정상","✓ 정상","? 확인필요")))</f>
        <v>? 확인필요</v>
      </c>
      <c r="V8" s="30"/>
      <c r="W8" s="18"/>
    </row>
    <row r="9" customFormat="false" ht="15" hidden="false" customHeight="false" outlineLevel="0" collapsed="false">
      <c r="A9" s="27" t="n">
        <v>5</v>
      </c>
      <c r="B9" s="28" t="s">
        <v>114</v>
      </c>
      <c r="C9" s="29" t="s">
        <v>119</v>
      </c>
      <c r="D9" s="28" t="s">
        <v>120</v>
      </c>
      <c r="E9" s="27" t="str">
        <f aca="false">IF($C9="","",IF(MID($C9,5,1)="S","S(봄)",IF(MID($C9,5,1)="M","M(여름)",IF(MID($C9,5,1)="X","X(사계절)",MID($C9,5,1)))))</f>
        <v>S(봄)</v>
      </c>
      <c r="F9" s="29" t="s">
        <v>113</v>
      </c>
      <c r="G9" s="30" t="s">
        <v>55</v>
      </c>
      <c r="H9" s="27" t="str">
        <f aca="false">IF($C9="","",REPLACE($C9,6,2,"26"))</f>
        <v>JWTBS26113</v>
      </c>
      <c r="I9" s="31" t="str">
        <f aca="false">IFERROR(INDEX(전년출고참조!$B$4:$B$438,MATCH($H9,전년출고참조!$A$4:$A$438,0)),"")</f>
        <v/>
      </c>
      <c r="J9" s="31" t="n">
        <f aca="false">IF($G9&lt;&gt;"",IFERROR(DATE(IF(VALUE(LEFT($G9,FIND("월",$G9)-1))&gt;=9,기준정보!$C$6-1,기준정보!$C$6),VALUE(LEFT($G9,FIND("월",$G9)-1)),1+7*(VALUE(SUBSTITUTE(MID($G9,FIND("월",$G9)+1,5),"주",""))-1)),""),IF($I9="","",IF(ISNUMBER($I9),$I9+364,IFERROR(DATE(IF(VALUE(LEFT($I9,FIND("월",$I9)-1))&gt;=9,기준정보!$C$6-1,기준정보!$C$6),VALUE(LEFT($I9,FIND("월",$I9)-1)),1+7*(VALUE(SUBSTITUTE(MID($I9,FIND("월",$I9)+1,5),"주",""))-1)),""))))</f>
        <v>46402</v>
      </c>
      <c r="K9" s="27" t="str">
        <f aca="false">IF($G9&lt;&gt;"","계획 주차",IF($J9&lt;&gt;"","전년+1년 예측","미정"))</f>
        <v>계획 주차</v>
      </c>
      <c r="L9" s="31" t="n">
        <f aca="false">IF($J9="","",$J9-기준정보!$C$5)</f>
        <v>46312</v>
      </c>
      <c r="M9" s="32" t="n">
        <f aca="false">IF($L9="","",$L9-기준정보!$C$4)</f>
        <v>72</v>
      </c>
      <c r="N9" s="30"/>
      <c r="O9" s="19"/>
      <c r="P9" s="30"/>
      <c r="Q9" s="29" t="str">
        <f aca="false">IF($P9="CMT","본사(소재팀)",IF($P9="사입","생산처",""))</f>
        <v/>
      </c>
      <c r="R9" s="18"/>
      <c r="S9" s="18"/>
      <c r="T9" s="29" t="str">
        <f aca="false">IF($J9="","출고일 미정",IF($N9="X","작지 미등록",IF(AND($O9&lt;&gt;"",$O9&gt;$L9),"소재입고 마감("&amp;TEXT($L9,"MM/DD")&amp;") 초과",IF($N9="","작지 등록여부 확인 필요",IF($O9="","소재 입고일정 확인 필요","정상")))))</f>
        <v>작지 등록여부 확인 필요</v>
      </c>
      <c r="U9" s="27" t="str">
        <f aca="false">IF($J9="","",IF(OR($T9="작지 미등록",LEFT($T9,4)="소재입고"),IF(LEFT($E9,1)="S","★ 납기위험(S코드)","◆ 지연주의"),IF($T9="정상","✓ 정상","? 확인필요")))</f>
        <v>? 확인필요</v>
      </c>
      <c r="V9" s="30"/>
      <c r="W9" s="18"/>
    </row>
    <row r="10" customFormat="false" ht="15" hidden="false" customHeight="false" outlineLevel="0" collapsed="false">
      <c r="A10" s="27" t="n">
        <v>6</v>
      </c>
      <c r="B10" s="28" t="s">
        <v>114</v>
      </c>
      <c r="C10" s="29" t="s">
        <v>121</v>
      </c>
      <c r="D10" s="28" t="s">
        <v>122</v>
      </c>
      <c r="E10" s="27" t="str">
        <f aca="false">IF($C10="","",IF(MID($C10,5,1)="S","S(봄)",IF(MID($C10,5,1)="M","M(여름)",IF(MID($C10,5,1)="X","X(사계절)",MID($C10,5,1)))))</f>
        <v>S(봄)</v>
      </c>
      <c r="F10" s="29" t="s">
        <v>113</v>
      </c>
      <c r="G10" s="30" t="s">
        <v>55</v>
      </c>
      <c r="H10" s="27" t="str">
        <f aca="false">IF($C10="","",REPLACE($C10,6,2,"26"))</f>
        <v>JWTBS26115</v>
      </c>
      <c r="I10" s="31" t="str">
        <f aca="false">IFERROR(INDEX(전년출고참조!$B$4:$B$438,MATCH($H10,전년출고참조!$A$4:$A$438,0)),"")</f>
        <v/>
      </c>
      <c r="J10" s="31" t="n">
        <f aca="false">IF($G10&lt;&gt;"",IFERROR(DATE(IF(VALUE(LEFT($G10,FIND("월",$G10)-1))&gt;=9,기준정보!$C$6-1,기준정보!$C$6),VALUE(LEFT($G10,FIND("월",$G10)-1)),1+7*(VALUE(SUBSTITUTE(MID($G10,FIND("월",$G10)+1,5),"주",""))-1)),""),IF($I10="","",IF(ISNUMBER($I10),$I10+364,IFERROR(DATE(IF(VALUE(LEFT($I10,FIND("월",$I10)-1))&gt;=9,기준정보!$C$6-1,기준정보!$C$6),VALUE(LEFT($I10,FIND("월",$I10)-1)),1+7*(VALUE(SUBSTITUTE(MID($I10,FIND("월",$I10)+1,5),"주",""))-1)),""))))</f>
        <v>46402</v>
      </c>
      <c r="K10" s="27" t="str">
        <f aca="false">IF($G10&lt;&gt;"","계획 주차",IF($J10&lt;&gt;"","전년+1년 예측","미정"))</f>
        <v>계획 주차</v>
      </c>
      <c r="L10" s="31" t="n">
        <f aca="false">IF($J10="","",$J10-기준정보!$C$5)</f>
        <v>46312</v>
      </c>
      <c r="M10" s="32" t="n">
        <f aca="false">IF($L10="","",$L10-기준정보!$C$4)</f>
        <v>72</v>
      </c>
      <c r="N10" s="30"/>
      <c r="O10" s="19"/>
      <c r="P10" s="30"/>
      <c r="Q10" s="29" t="str">
        <f aca="false">IF($P10="CMT","본사(소재팀)",IF($P10="사입","생산처",""))</f>
        <v/>
      </c>
      <c r="R10" s="18"/>
      <c r="S10" s="18"/>
      <c r="T10" s="29" t="str">
        <f aca="false">IF($J10="","출고일 미정",IF($N10="X","작지 미등록",IF(AND($O10&lt;&gt;"",$O10&gt;$L10),"소재입고 마감("&amp;TEXT($L10,"MM/DD")&amp;") 초과",IF($N10="","작지 등록여부 확인 필요",IF($O10="","소재 입고일정 확인 필요","정상")))))</f>
        <v>작지 등록여부 확인 필요</v>
      </c>
      <c r="U10" s="27" t="str">
        <f aca="false">IF($J10="","",IF(OR($T10="작지 미등록",LEFT($T10,4)="소재입고"),IF(LEFT($E10,1)="S","★ 납기위험(S코드)","◆ 지연주의"),IF($T10="정상","✓ 정상","? 확인필요")))</f>
        <v>? 확인필요</v>
      </c>
      <c r="V10" s="30"/>
      <c r="W10" s="18"/>
    </row>
    <row r="11" customFormat="false" ht="15" hidden="false" customHeight="false" outlineLevel="0" collapsed="false">
      <c r="A11" s="27" t="n">
        <v>7</v>
      </c>
      <c r="B11" s="28" t="s">
        <v>114</v>
      </c>
      <c r="C11" s="29" t="s">
        <v>123</v>
      </c>
      <c r="D11" s="28" t="s">
        <v>124</v>
      </c>
      <c r="E11" s="27" t="str">
        <f aca="false">IF($C11="","",IF(MID($C11,5,1)="S","S(봄)",IF(MID($C11,5,1)="M","M(여름)",IF(MID($C11,5,1)="X","X(사계절)",MID($C11,5,1)))))</f>
        <v>S(봄)</v>
      </c>
      <c r="F11" s="29" t="s">
        <v>113</v>
      </c>
      <c r="G11" s="30" t="s">
        <v>55</v>
      </c>
      <c r="H11" s="27" t="str">
        <f aca="false">IF($C11="","",REPLACE($C11,6,2,"26"))</f>
        <v>JWVAS26131</v>
      </c>
      <c r="I11" s="31" t="str">
        <f aca="false">IFERROR(INDEX(전년출고참조!$B$4:$B$438,MATCH($H11,전년출고참조!$A$4:$A$438,0)),"")</f>
        <v/>
      </c>
      <c r="J11" s="31" t="n">
        <f aca="false">IF($G11&lt;&gt;"",IFERROR(DATE(IF(VALUE(LEFT($G11,FIND("월",$G11)-1))&gt;=9,기준정보!$C$6-1,기준정보!$C$6),VALUE(LEFT($G11,FIND("월",$G11)-1)),1+7*(VALUE(SUBSTITUTE(MID($G11,FIND("월",$G11)+1,5),"주",""))-1)),""),IF($I11="","",IF(ISNUMBER($I11),$I11+364,IFERROR(DATE(IF(VALUE(LEFT($I11,FIND("월",$I11)-1))&gt;=9,기준정보!$C$6-1,기준정보!$C$6),VALUE(LEFT($I11,FIND("월",$I11)-1)),1+7*(VALUE(SUBSTITUTE(MID($I11,FIND("월",$I11)+1,5),"주",""))-1)),""))))</f>
        <v>46402</v>
      </c>
      <c r="K11" s="27" t="str">
        <f aca="false">IF($G11&lt;&gt;"","계획 주차",IF($J11&lt;&gt;"","전년+1년 예측","미정"))</f>
        <v>계획 주차</v>
      </c>
      <c r="L11" s="31" t="n">
        <f aca="false">IF($J11="","",$J11-기준정보!$C$5)</f>
        <v>46312</v>
      </c>
      <c r="M11" s="32" t="n">
        <f aca="false">IF($L11="","",$L11-기준정보!$C$4)</f>
        <v>72</v>
      </c>
      <c r="N11" s="30"/>
      <c r="O11" s="19"/>
      <c r="P11" s="30"/>
      <c r="Q11" s="29" t="str">
        <f aca="false">IF($P11="CMT","본사(소재팀)",IF($P11="사입","생산처",""))</f>
        <v/>
      </c>
      <c r="R11" s="18"/>
      <c r="S11" s="18"/>
      <c r="T11" s="29" t="str">
        <f aca="false">IF($J11="","출고일 미정",IF($N11="X","작지 미등록",IF(AND($O11&lt;&gt;"",$O11&gt;$L11),"소재입고 마감("&amp;TEXT($L11,"MM/DD")&amp;") 초과",IF($N11="","작지 등록여부 확인 필요",IF($O11="","소재 입고일정 확인 필요","정상")))))</f>
        <v>작지 등록여부 확인 필요</v>
      </c>
      <c r="U11" s="27" t="str">
        <f aca="false">IF($J11="","",IF(OR($T11="작지 미등록",LEFT($T11,4)="소재입고"),IF(LEFT($E11,1)="S","★ 납기위험(S코드)","◆ 지연주의"),IF($T11="정상","✓ 정상","? 확인필요")))</f>
        <v>? 확인필요</v>
      </c>
      <c r="V11" s="30"/>
      <c r="W11" s="18"/>
    </row>
    <row r="12" customFormat="false" ht="15" hidden="false" customHeight="false" outlineLevel="0" collapsed="false">
      <c r="A12" s="27" t="n">
        <v>8</v>
      </c>
      <c r="B12" s="28" t="s">
        <v>125</v>
      </c>
      <c r="C12" s="29" t="s">
        <v>126</v>
      </c>
      <c r="D12" s="28" t="s">
        <v>127</v>
      </c>
      <c r="E12" s="27" t="str">
        <f aca="false">IF($C12="","",IF(MID($C12,5,1)="S","S(봄)",IF(MID($C12,5,1)="M","M(여름)",IF(MID($C12,5,1)="X","X(사계절)",MID($C12,5,1)))))</f>
        <v>S(봄)</v>
      </c>
      <c r="F12" s="29" t="s">
        <v>128</v>
      </c>
      <c r="G12" s="30" t="s">
        <v>55</v>
      </c>
      <c r="H12" s="27" t="str">
        <f aca="false">IF($C12="","",REPLACE($C12,6,2,"26"))</f>
        <v>TLJJS26501</v>
      </c>
      <c r="I12" s="31" t="str">
        <f aca="false">IFERROR(INDEX(전년출고참조!$B$4:$B$438,MATCH($H12,전년출고참조!$A$4:$A$438,0)),"")</f>
        <v/>
      </c>
      <c r="J12" s="31" t="n">
        <f aca="false">IF($G12&lt;&gt;"",IFERROR(DATE(IF(VALUE(LEFT($G12,FIND("월",$G12)-1))&gt;=9,기준정보!$C$6-1,기준정보!$C$6),VALUE(LEFT($G12,FIND("월",$G12)-1)),1+7*(VALUE(SUBSTITUTE(MID($G12,FIND("월",$G12)+1,5),"주",""))-1)),""),IF($I12="","",IF(ISNUMBER($I12),$I12+364,IFERROR(DATE(IF(VALUE(LEFT($I12,FIND("월",$I12)-1))&gt;=9,기준정보!$C$6-1,기준정보!$C$6),VALUE(LEFT($I12,FIND("월",$I12)-1)),1+7*(VALUE(SUBSTITUTE(MID($I12,FIND("월",$I12)+1,5),"주",""))-1)),""))))</f>
        <v>46402</v>
      </c>
      <c r="K12" s="27" t="str">
        <f aca="false">IF($G12&lt;&gt;"","계획 주차",IF($J12&lt;&gt;"","전년+1년 예측","미정"))</f>
        <v>계획 주차</v>
      </c>
      <c r="L12" s="31" t="n">
        <f aca="false">IF($J12="","",$J12-기준정보!$C$5)</f>
        <v>46312</v>
      </c>
      <c r="M12" s="32" t="n">
        <f aca="false">IF($L12="","",$L12-기준정보!$C$4)</f>
        <v>72</v>
      </c>
      <c r="N12" s="30"/>
      <c r="O12" s="19"/>
      <c r="P12" s="30"/>
      <c r="Q12" s="29" t="str">
        <f aca="false">IF($P12="CMT","본사(소재팀)",IF($P12="사입","생산처",""))</f>
        <v/>
      </c>
      <c r="R12" s="18"/>
      <c r="S12" s="18"/>
      <c r="T12" s="29" t="str">
        <f aca="false">IF($J12="","출고일 미정",IF($N12="X","작지 미등록",IF(AND($O12&lt;&gt;"",$O12&gt;$L12),"소재입고 마감("&amp;TEXT($L12,"MM/DD")&amp;") 초과",IF($N12="","작지 등록여부 확인 필요",IF($O12="","소재 입고일정 확인 필요","정상")))))</f>
        <v>작지 등록여부 확인 필요</v>
      </c>
      <c r="U12" s="27" t="str">
        <f aca="false">IF($J12="","",IF(OR($T12="작지 미등록",LEFT($T12,4)="소재입고"),IF(LEFT($E12,1)="S","★ 납기위험(S코드)","◆ 지연주의"),IF($T12="정상","✓ 정상","? 확인필요")))</f>
        <v>? 확인필요</v>
      </c>
      <c r="V12" s="30"/>
      <c r="W12" s="18"/>
    </row>
    <row r="13" customFormat="false" ht="15" hidden="false" customHeight="false" outlineLevel="0" collapsed="false">
      <c r="A13" s="27" t="n">
        <v>9</v>
      </c>
      <c r="B13" s="28" t="s">
        <v>125</v>
      </c>
      <c r="C13" s="29" t="s">
        <v>129</v>
      </c>
      <c r="D13" s="28" t="s">
        <v>130</v>
      </c>
      <c r="E13" s="27" t="str">
        <f aca="false">IF($C13="","",IF(MID($C13,5,1)="S","S(봄)",IF(MID($C13,5,1)="M","M(여름)",IF(MID($C13,5,1)="X","X(사계절)",MID($C13,5,1)))))</f>
        <v>S(봄)</v>
      </c>
      <c r="F13" s="29" t="s">
        <v>128</v>
      </c>
      <c r="G13" s="30" t="s">
        <v>55</v>
      </c>
      <c r="H13" s="27" t="str">
        <f aca="false">IF($C13="","",REPLACE($C13,6,2,"26"))</f>
        <v>TLJJS26521</v>
      </c>
      <c r="I13" s="31" t="str">
        <f aca="false">IFERROR(INDEX(전년출고참조!$B$4:$B$438,MATCH($H13,전년출고참조!$A$4:$A$438,0)),"")</f>
        <v/>
      </c>
      <c r="J13" s="31" t="n">
        <f aca="false">IF($G13&lt;&gt;"",IFERROR(DATE(IF(VALUE(LEFT($G13,FIND("월",$G13)-1))&gt;=9,기준정보!$C$6-1,기준정보!$C$6),VALUE(LEFT($G13,FIND("월",$G13)-1)),1+7*(VALUE(SUBSTITUTE(MID($G13,FIND("월",$G13)+1,5),"주",""))-1)),""),IF($I13="","",IF(ISNUMBER($I13),$I13+364,IFERROR(DATE(IF(VALUE(LEFT($I13,FIND("월",$I13)-1))&gt;=9,기준정보!$C$6-1,기준정보!$C$6),VALUE(LEFT($I13,FIND("월",$I13)-1)),1+7*(VALUE(SUBSTITUTE(MID($I13,FIND("월",$I13)+1,5),"주",""))-1)),""))))</f>
        <v>46402</v>
      </c>
      <c r="K13" s="27" t="str">
        <f aca="false">IF($G13&lt;&gt;"","계획 주차",IF($J13&lt;&gt;"","전년+1년 예측","미정"))</f>
        <v>계획 주차</v>
      </c>
      <c r="L13" s="31" t="n">
        <f aca="false">IF($J13="","",$J13-기준정보!$C$5)</f>
        <v>46312</v>
      </c>
      <c r="M13" s="32" t="n">
        <f aca="false">IF($L13="","",$L13-기준정보!$C$4)</f>
        <v>72</v>
      </c>
      <c r="N13" s="30"/>
      <c r="O13" s="19"/>
      <c r="P13" s="30"/>
      <c r="Q13" s="29" t="str">
        <f aca="false">IF($P13="CMT","본사(소재팀)",IF($P13="사입","생산처",""))</f>
        <v/>
      </c>
      <c r="R13" s="18"/>
      <c r="S13" s="18"/>
      <c r="T13" s="29" t="str">
        <f aca="false">IF($J13="","출고일 미정",IF($N13="X","작지 미등록",IF(AND($O13&lt;&gt;"",$O13&gt;$L13),"소재입고 마감("&amp;TEXT($L13,"MM/DD")&amp;") 초과",IF($N13="","작지 등록여부 확인 필요",IF($O13="","소재 입고일정 확인 필요","정상")))))</f>
        <v>작지 등록여부 확인 필요</v>
      </c>
      <c r="U13" s="27" t="str">
        <f aca="false">IF($J13="","",IF(OR($T13="작지 미등록",LEFT($T13,4)="소재입고"),IF(LEFT($E13,1)="S","★ 납기위험(S코드)","◆ 지연주의"),IF($T13="정상","✓ 정상","? 확인필요")))</f>
        <v>? 확인필요</v>
      </c>
      <c r="V13" s="30"/>
      <c r="W13" s="18"/>
    </row>
    <row r="14" customFormat="false" ht="15" hidden="false" customHeight="false" outlineLevel="0" collapsed="false">
      <c r="A14" s="27" t="n">
        <v>10</v>
      </c>
      <c r="B14" s="28" t="s">
        <v>125</v>
      </c>
      <c r="C14" s="29" t="s">
        <v>131</v>
      </c>
      <c r="D14" s="28" t="s">
        <v>132</v>
      </c>
      <c r="E14" s="27" t="str">
        <f aca="false">IF($C14="","",IF(MID($C14,5,1)="S","S(봄)",IF(MID($C14,5,1)="M","M(여름)",IF(MID($C14,5,1)="X","X(사계절)",MID($C14,5,1)))))</f>
        <v>S(봄)</v>
      </c>
      <c r="F14" s="28" t="s">
        <v>133</v>
      </c>
      <c r="G14" s="30" t="s">
        <v>55</v>
      </c>
      <c r="H14" s="27" t="str">
        <f aca="false">IF($C14="","",REPLACE($C14,6,2,"26"))</f>
        <v>TLJJS26551</v>
      </c>
      <c r="I14" s="31" t="str">
        <f aca="false">IFERROR(INDEX(전년출고참조!$B$4:$B$438,MATCH($H14,전년출고참조!$A$4:$A$438,0)),"")</f>
        <v/>
      </c>
      <c r="J14" s="31" t="n">
        <f aca="false">IF($G14&lt;&gt;"",IFERROR(DATE(IF(VALUE(LEFT($G14,FIND("월",$G14)-1))&gt;=9,기준정보!$C$6-1,기준정보!$C$6),VALUE(LEFT($G14,FIND("월",$G14)-1)),1+7*(VALUE(SUBSTITUTE(MID($G14,FIND("월",$G14)+1,5),"주",""))-1)),""),IF($I14="","",IF(ISNUMBER($I14),$I14+364,IFERROR(DATE(IF(VALUE(LEFT($I14,FIND("월",$I14)-1))&gt;=9,기준정보!$C$6-1,기준정보!$C$6),VALUE(LEFT($I14,FIND("월",$I14)-1)),1+7*(VALUE(SUBSTITUTE(MID($I14,FIND("월",$I14)+1,5),"주",""))-1)),""))))</f>
        <v>46402</v>
      </c>
      <c r="K14" s="27" t="str">
        <f aca="false">IF($G14&lt;&gt;"","계획 주차",IF($J14&lt;&gt;"","전년+1년 예측","미정"))</f>
        <v>계획 주차</v>
      </c>
      <c r="L14" s="31" t="n">
        <f aca="false">IF($J14="","",$J14-기준정보!$C$5)</f>
        <v>46312</v>
      </c>
      <c r="M14" s="32" t="n">
        <f aca="false">IF($L14="","",$L14-기준정보!$C$4)</f>
        <v>72</v>
      </c>
      <c r="N14" s="30"/>
      <c r="O14" s="19"/>
      <c r="P14" s="30"/>
      <c r="Q14" s="29" t="str">
        <f aca="false">IF($P14="CMT","본사(소재팀)",IF($P14="사입","생산처",""))</f>
        <v/>
      </c>
      <c r="R14" s="18"/>
      <c r="S14" s="18"/>
      <c r="T14" s="29" t="str">
        <f aca="false">IF($J14="","출고일 미정",IF($N14="X","작지 미등록",IF(AND($O14&lt;&gt;"",$O14&gt;$L14),"소재입고 마감("&amp;TEXT($L14,"MM/DD")&amp;") 초과",IF($N14="","작지 등록여부 확인 필요",IF($O14="","소재 입고일정 확인 필요","정상")))))</f>
        <v>작지 등록여부 확인 필요</v>
      </c>
      <c r="U14" s="27" t="str">
        <f aca="false">IF($J14="","",IF(OR($T14="작지 미등록",LEFT($T14,4)="소재입고"),IF(LEFT($E14,1)="S","★ 납기위험(S코드)","◆ 지연주의"),IF($T14="정상","✓ 정상","? 확인필요")))</f>
        <v>? 확인필요</v>
      </c>
      <c r="V14" s="30"/>
      <c r="W14" s="18"/>
    </row>
    <row r="15" customFormat="false" ht="15" hidden="false" customHeight="false" outlineLevel="0" collapsed="false">
      <c r="A15" s="27" t="n">
        <v>11</v>
      </c>
      <c r="B15" s="28" t="s">
        <v>125</v>
      </c>
      <c r="C15" s="29" t="s">
        <v>134</v>
      </c>
      <c r="D15" s="28" t="s">
        <v>135</v>
      </c>
      <c r="E15" s="27" t="str">
        <f aca="false">IF($C15="","",IF(MID($C15,5,1)="S","S(봄)",IF(MID($C15,5,1)="M","M(여름)",IF(MID($C15,5,1)="X","X(사계절)",MID($C15,5,1)))))</f>
        <v>S(봄)</v>
      </c>
      <c r="F15" s="29" t="s">
        <v>128</v>
      </c>
      <c r="G15" s="30" t="s">
        <v>55</v>
      </c>
      <c r="H15" s="27" t="str">
        <f aca="false">IF($C15="","",REPLACE($C15,6,2,"26"))</f>
        <v>TVPNS26512</v>
      </c>
      <c r="I15" s="31" t="str">
        <f aca="false">IFERROR(INDEX(전년출고참조!$B$4:$B$438,MATCH($H15,전년출고참조!$A$4:$A$438,0)),"")</f>
        <v/>
      </c>
      <c r="J15" s="31" t="n">
        <f aca="false">IF($G15&lt;&gt;"",IFERROR(DATE(IF(VALUE(LEFT($G15,FIND("월",$G15)-1))&gt;=9,기준정보!$C$6-1,기준정보!$C$6),VALUE(LEFT($G15,FIND("월",$G15)-1)),1+7*(VALUE(SUBSTITUTE(MID($G15,FIND("월",$G15)+1,5),"주",""))-1)),""),IF($I15="","",IF(ISNUMBER($I15),$I15+364,IFERROR(DATE(IF(VALUE(LEFT($I15,FIND("월",$I15)-1))&gt;=9,기준정보!$C$6-1,기준정보!$C$6),VALUE(LEFT($I15,FIND("월",$I15)-1)),1+7*(VALUE(SUBSTITUTE(MID($I15,FIND("월",$I15)+1,5),"주",""))-1)),""))))</f>
        <v>46402</v>
      </c>
      <c r="K15" s="27" t="str">
        <f aca="false">IF($G15&lt;&gt;"","계획 주차",IF($J15&lt;&gt;"","전년+1년 예측","미정"))</f>
        <v>계획 주차</v>
      </c>
      <c r="L15" s="31" t="n">
        <f aca="false">IF($J15="","",$J15-기준정보!$C$5)</f>
        <v>46312</v>
      </c>
      <c r="M15" s="32" t="n">
        <f aca="false">IF($L15="","",$L15-기준정보!$C$4)</f>
        <v>72</v>
      </c>
      <c r="N15" s="30"/>
      <c r="O15" s="19"/>
      <c r="P15" s="30"/>
      <c r="Q15" s="29" t="str">
        <f aca="false">IF($P15="CMT","본사(소재팀)",IF($P15="사입","생산처",""))</f>
        <v/>
      </c>
      <c r="R15" s="18"/>
      <c r="S15" s="18"/>
      <c r="T15" s="29" t="str">
        <f aca="false">IF($J15="","출고일 미정",IF($N15="X","작지 미등록",IF(AND($O15&lt;&gt;"",$O15&gt;$L15),"소재입고 마감("&amp;TEXT($L15,"MM/DD")&amp;") 초과",IF($N15="","작지 등록여부 확인 필요",IF($O15="","소재 입고일정 확인 필요","정상")))))</f>
        <v>작지 등록여부 확인 필요</v>
      </c>
      <c r="U15" s="27" t="str">
        <f aca="false">IF($J15="","",IF(OR($T15="작지 미등록",LEFT($T15,4)="소재입고"),IF(LEFT($E15,1)="S","★ 납기위험(S코드)","◆ 지연주의"),IF($T15="정상","✓ 정상","? 확인필요")))</f>
        <v>? 확인필요</v>
      </c>
      <c r="V15" s="30"/>
      <c r="W15" s="18"/>
    </row>
    <row r="16" customFormat="false" ht="15" hidden="false" customHeight="false" outlineLevel="0" collapsed="false">
      <c r="A16" s="27" t="n">
        <v>12</v>
      </c>
      <c r="B16" s="28" t="s">
        <v>125</v>
      </c>
      <c r="C16" s="29" t="s">
        <v>136</v>
      </c>
      <c r="D16" s="28" t="s">
        <v>137</v>
      </c>
      <c r="E16" s="27" t="str">
        <f aca="false">IF($C16="","",IF(MID($C16,5,1)="S","S(봄)",IF(MID($C16,5,1)="M","M(여름)",IF(MID($C16,5,1)="X","X(사계절)",MID($C16,5,1)))))</f>
        <v>S(봄)</v>
      </c>
      <c r="F16" s="29" t="s">
        <v>128</v>
      </c>
      <c r="G16" s="30" t="s">
        <v>55</v>
      </c>
      <c r="H16" s="27" t="str">
        <f aca="false">IF($C16="","",REPLACE($C16,6,2,"26"))</f>
        <v>TVPNS26522</v>
      </c>
      <c r="I16" s="31" t="str">
        <f aca="false">IFERROR(INDEX(전년출고참조!$B$4:$B$438,MATCH($H16,전년출고참조!$A$4:$A$438,0)),"")</f>
        <v/>
      </c>
      <c r="J16" s="31" t="n">
        <f aca="false">IF($G16&lt;&gt;"",IFERROR(DATE(IF(VALUE(LEFT($G16,FIND("월",$G16)-1))&gt;=9,기준정보!$C$6-1,기준정보!$C$6),VALUE(LEFT($G16,FIND("월",$G16)-1)),1+7*(VALUE(SUBSTITUTE(MID($G16,FIND("월",$G16)+1,5),"주",""))-1)),""),IF($I16="","",IF(ISNUMBER($I16),$I16+364,IFERROR(DATE(IF(VALUE(LEFT($I16,FIND("월",$I16)-1))&gt;=9,기준정보!$C$6-1,기준정보!$C$6),VALUE(LEFT($I16,FIND("월",$I16)-1)),1+7*(VALUE(SUBSTITUTE(MID($I16,FIND("월",$I16)+1,5),"주",""))-1)),""))))</f>
        <v>46402</v>
      </c>
      <c r="K16" s="27" t="str">
        <f aca="false">IF($G16&lt;&gt;"","계획 주차",IF($J16&lt;&gt;"","전년+1년 예측","미정"))</f>
        <v>계획 주차</v>
      </c>
      <c r="L16" s="31" t="n">
        <f aca="false">IF($J16="","",$J16-기준정보!$C$5)</f>
        <v>46312</v>
      </c>
      <c r="M16" s="32" t="n">
        <f aca="false">IF($L16="","",$L16-기준정보!$C$4)</f>
        <v>72</v>
      </c>
      <c r="N16" s="30"/>
      <c r="O16" s="19"/>
      <c r="P16" s="30"/>
      <c r="Q16" s="29" t="str">
        <f aca="false">IF($P16="CMT","본사(소재팀)",IF($P16="사입","생산처",""))</f>
        <v/>
      </c>
      <c r="R16" s="18"/>
      <c r="S16" s="18"/>
      <c r="T16" s="29" t="str">
        <f aca="false">IF($J16="","출고일 미정",IF($N16="X","작지 미등록",IF(AND($O16&lt;&gt;"",$O16&gt;$L16),"소재입고 마감("&amp;TEXT($L16,"MM/DD")&amp;") 초과",IF($N16="","작지 등록여부 확인 필요",IF($O16="","소재 입고일정 확인 필요","정상")))))</f>
        <v>작지 등록여부 확인 필요</v>
      </c>
      <c r="U16" s="27" t="str">
        <f aca="false">IF($J16="","",IF(OR($T16="작지 미등록",LEFT($T16,4)="소재입고"),IF(LEFT($E16,1)="S","★ 납기위험(S코드)","◆ 지연주의"),IF($T16="정상","✓ 정상","? 확인필요")))</f>
        <v>? 확인필요</v>
      </c>
      <c r="V16" s="30"/>
      <c r="W16" s="18"/>
    </row>
    <row r="17" customFormat="false" ht="15" hidden="false" customHeight="false" outlineLevel="0" collapsed="false">
      <c r="A17" s="27" t="n">
        <v>13</v>
      </c>
      <c r="B17" s="28" t="s">
        <v>125</v>
      </c>
      <c r="C17" s="29" t="s">
        <v>138</v>
      </c>
      <c r="D17" s="28" t="s">
        <v>139</v>
      </c>
      <c r="E17" s="27" t="str">
        <f aca="false">IF($C17="","",IF(MID($C17,5,1)="S","S(봄)",IF(MID($C17,5,1)="M","M(여름)",IF(MID($C17,5,1)="X","X(사계절)",MID($C17,5,1)))))</f>
        <v>S(봄)</v>
      </c>
      <c r="F17" s="29" t="s">
        <v>128</v>
      </c>
      <c r="G17" s="30" t="s">
        <v>55</v>
      </c>
      <c r="H17" s="27" t="str">
        <f aca="false">IF($C17="","",REPLACE($C17,6,2,"26"))</f>
        <v>TVPNS26532</v>
      </c>
      <c r="I17" s="31" t="str">
        <f aca="false">IFERROR(INDEX(전년출고참조!$B$4:$B$438,MATCH($H17,전년출고참조!$A$4:$A$438,0)),"")</f>
        <v/>
      </c>
      <c r="J17" s="31" t="n">
        <f aca="false">IF($G17&lt;&gt;"",IFERROR(DATE(IF(VALUE(LEFT($G17,FIND("월",$G17)-1))&gt;=9,기준정보!$C$6-1,기준정보!$C$6),VALUE(LEFT($G17,FIND("월",$G17)-1)),1+7*(VALUE(SUBSTITUTE(MID($G17,FIND("월",$G17)+1,5),"주",""))-1)),""),IF($I17="","",IF(ISNUMBER($I17),$I17+364,IFERROR(DATE(IF(VALUE(LEFT($I17,FIND("월",$I17)-1))&gt;=9,기준정보!$C$6-1,기준정보!$C$6),VALUE(LEFT($I17,FIND("월",$I17)-1)),1+7*(VALUE(SUBSTITUTE(MID($I17,FIND("월",$I17)+1,5),"주",""))-1)),""))))</f>
        <v>46402</v>
      </c>
      <c r="K17" s="27" t="str">
        <f aca="false">IF($G17&lt;&gt;"","계획 주차",IF($J17&lt;&gt;"","전년+1년 예측","미정"))</f>
        <v>계획 주차</v>
      </c>
      <c r="L17" s="31" t="n">
        <f aca="false">IF($J17="","",$J17-기준정보!$C$5)</f>
        <v>46312</v>
      </c>
      <c r="M17" s="32" t="n">
        <f aca="false">IF($L17="","",$L17-기준정보!$C$4)</f>
        <v>72</v>
      </c>
      <c r="N17" s="30"/>
      <c r="O17" s="19"/>
      <c r="P17" s="30"/>
      <c r="Q17" s="29" t="str">
        <f aca="false">IF($P17="CMT","본사(소재팀)",IF($P17="사입","생산처",""))</f>
        <v/>
      </c>
      <c r="R17" s="18"/>
      <c r="S17" s="18"/>
      <c r="T17" s="29" t="str">
        <f aca="false">IF($J17="","출고일 미정",IF($N17="X","작지 미등록",IF(AND($O17&lt;&gt;"",$O17&gt;$L17),"소재입고 마감("&amp;TEXT($L17,"MM/DD")&amp;") 초과",IF($N17="","작지 등록여부 확인 필요",IF($O17="","소재 입고일정 확인 필요","정상")))))</f>
        <v>작지 등록여부 확인 필요</v>
      </c>
      <c r="U17" s="27" t="str">
        <f aca="false">IF($J17="","",IF(OR($T17="작지 미등록",LEFT($T17,4)="소재입고"),IF(LEFT($E17,1)="S","★ 납기위험(S코드)","◆ 지연주의"),IF($T17="정상","✓ 정상","? 확인필요")))</f>
        <v>? 확인필요</v>
      </c>
      <c r="V17" s="30"/>
      <c r="W17" s="18"/>
    </row>
    <row r="18" customFormat="false" ht="15" hidden="false" customHeight="false" outlineLevel="0" collapsed="false">
      <c r="A18" s="27" t="n">
        <v>14</v>
      </c>
      <c r="B18" s="28" t="s">
        <v>125</v>
      </c>
      <c r="C18" s="29" t="s">
        <v>140</v>
      </c>
      <c r="D18" s="28" t="s">
        <v>141</v>
      </c>
      <c r="E18" s="27" t="str">
        <f aca="false">IF($C18="","",IF(MID($C18,5,1)="S","S(봄)",IF(MID($C18,5,1)="M","M(여름)",IF(MID($C18,5,1)="X","X(사계절)",MID($C18,5,1)))))</f>
        <v>S(봄)</v>
      </c>
      <c r="F18" s="29" t="s">
        <v>128</v>
      </c>
      <c r="G18" s="30" t="s">
        <v>55</v>
      </c>
      <c r="H18" s="27" t="str">
        <f aca="false">IF($C18="","",REPLACE($C18,6,2,"26"))</f>
        <v>TVPNS26542</v>
      </c>
      <c r="I18" s="31" t="str">
        <f aca="false">IFERROR(INDEX(전년출고참조!$B$4:$B$438,MATCH($H18,전년출고참조!$A$4:$A$438,0)),"")</f>
        <v/>
      </c>
      <c r="J18" s="31" t="n">
        <f aca="false">IF($G18&lt;&gt;"",IFERROR(DATE(IF(VALUE(LEFT($G18,FIND("월",$G18)-1))&gt;=9,기준정보!$C$6-1,기준정보!$C$6),VALUE(LEFT($G18,FIND("월",$G18)-1)),1+7*(VALUE(SUBSTITUTE(MID($G18,FIND("월",$G18)+1,5),"주",""))-1)),""),IF($I18="","",IF(ISNUMBER($I18),$I18+364,IFERROR(DATE(IF(VALUE(LEFT($I18,FIND("월",$I18)-1))&gt;=9,기준정보!$C$6-1,기준정보!$C$6),VALUE(LEFT($I18,FIND("월",$I18)-1)),1+7*(VALUE(SUBSTITUTE(MID($I18,FIND("월",$I18)+1,5),"주",""))-1)),""))))</f>
        <v>46402</v>
      </c>
      <c r="K18" s="27" t="str">
        <f aca="false">IF($G18&lt;&gt;"","계획 주차",IF($J18&lt;&gt;"","전년+1년 예측","미정"))</f>
        <v>계획 주차</v>
      </c>
      <c r="L18" s="31" t="n">
        <f aca="false">IF($J18="","",$J18-기준정보!$C$5)</f>
        <v>46312</v>
      </c>
      <c r="M18" s="32" t="n">
        <f aca="false">IF($L18="","",$L18-기준정보!$C$4)</f>
        <v>72</v>
      </c>
      <c r="N18" s="30"/>
      <c r="O18" s="19"/>
      <c r="P18" s="30"/>
      <c r="Q18" s="29" t="str">
        <f aca="false">IF($P18="CMT","본사(소재팀)",IF($P18="사입","생산처",""))</f>
        <v/>
      </c>
      <c r="R18" s="18"/>
      <c r="S18" s="18"/>
      <c r="T18" s="29" t="str">
        <f aca="false">IF($J18="","출고일 미정",IF($N18="X","작지 미등록",IF(AND($O18&lt;&gt;"",$O18&gt;$L18),"소재입고 마감("&amp;TEXT($L18,"MM/DD")&amp;") 초과",IF($N18="","작지 등록여부 확인 필요",IF($O18="","소재 입고일정 확인 필요","정상")))))</f>
        <v>작지 등록여부 확인 필요</v>
      </c>
      <c r="U18" s="27" t="str">
        <f aca="false">IF($J18="","",IF(OR($T18="작지 미등록",LEFT($T18,4)="소재입고"),IF(LEFT($E18,1)="S","★ 납기위험(S코드)","◆ 지연주의"),IF($T18="정상","✓ 정상","? 확인필요")))</f>
        <v>? 확인필요</v>
      </c>
      <c r="V18" s="30"/>
      <c r="W18" s="18"/>
    </row>
    <row r="19" customFormat="false" ht="15" hidden="false" customHeight="false" outlineLevel="0" collapsed="false">
      <c r="A19" s="27" t="n">
        <v>15</v>
      </c>
      <c r="B19" s="28" t="s">
        <v>114</v>
      </c>
      <c r="C19" s="29" t="s">
        <v>142</v>
      </c>
      <c r="D19" s="28" t="s">
        <v>143</v>
      </c>
      <c r="E19" s="27" t="str">
        <f aca="false">IF($C19="","",IF(MID($C19,5,1)="S","S(봄)",IF(MID($C19,5,1)="M","M(여름)",IF(MID($C19,5,1)="X","X(사계절)",MID($C19,5,1)))))</f>
        <v>S(봄)</v>
      </c>
      <c r="F19" s="29" t="s">
        <v>113</v>
      </c>
      <c r="G19" s="30" t="s">
        <v>144</v>
      </c>
      <c r="H19" s="27" t="str">
        <f aca="false">IF($C19="","",REPLACE($C19,6,2,"26"))</f>
        <v>JWTBS26117</v>
      </c>
      <c r="I19" s="31" t="str">
        <f aca="false">IFERROR(INDEX(전년출고참조!$B$4:$B$438,MATCH($H19,전년출고참조!$A$4:$A$438,0)),"")</f>
        <v/>
      </c>
      <c r="J19" s="31" t="n">
        <f aca="false">IF($G19&lt;&gt;"",IFERROR(DATE(IF(VALUE(LEFT($G19,FIND("월",$G19)-1))&gt;=9,기준정보!$C$6-1,기준정보!$C$6),VALUE(LEFT($G19,FIND("월",$G19)-1)),1+7*(VALUE(SUBSTITUTE(MID($G19,FIND("월",$G19)+1,5),"주",""))-1)),""),IF($I19="","",IF(ISNUMBER($I19),$I19+364,IFERROR(DATE(IF(VALUE(LEFT($I19,FIND("월",$I19)-1))&gt;=9,기준정보!$C$6-1,기준정보!$C$6),VALUE(LEFT($I19,FIND("월",$I19)-1)),1+7*(VALUE(SUBSTITUTE(MID($I19,FIND("월",$I19)+1,5),"주",""))-1)),""))))</f>
        <v>46409</v>
      </c>
      <c r="K19" s="27" t="str">
        <f aca="false">IF($G19&lt;&gt;"","계획 주차",IF($J19&lt;&gt;"","전년+1년 예측","미정"))</f>
        <v>계획 주차</v>
      </c>
      <c r="L19" s="31" t="n">
        <f aca="false">IF($J19="","",$J19-기준정보!$C$5)</f>
        <v>46319</v>
      </c>
      <c r="M19" s="32" t="n">
        <f aca="false">IF($L19="","",$L19-기준정보!$C$4)</f>
        <v>79</v>
      </c>
      <c r="N19" s="30"/>
      <c r="O19" s="19"/>
      <c r="P19" s="30"/>
      <c r="Q19" s="29" t="str">
        <f aca="false">IF($P19="CMT","본사(소재팀)",IF($P19="사입","생산처",""))</f>
        <v/>
      </c>
      <c r="R19" s="18"/>
      <c r="S19" s="18"/>
      <c r="T19" s="29" t="str">
        <f aca="false">IF($J19="","출고일 미정",IF($N19="X","작지 미등록",IF(AND($O19&lt;&gt;"",$O19&gt;$L19),"소재입고 마감("&amp;TEXT($L19,"MM/DD")&amp;") 초과",IF($N19="","작지 등록여부 확인 필요",IF($O19="","소재 입고일정 확인 필요","정상")))))</f>
        <v>작지 등록여부 확인 필요</v>
      </c>
      <c r="U19" s="27" t="str">
        <f aca="false">IF($J19="","",IF(OR($T19="작지 미등록",LEFT($T19,4)="소재입고"),IF(LEFT($E19,1)="S","★ 납기위험(S코드)","◆ 지연주의"),IF($T19="정상","✓ 정상","? 확인필요")))</f>
        <v>? 확인필요</v>
      </c>
      <c r="V19" s="30"/>
      <c r="W19" s="18"/>
    </row>
    <row r="20" customFormat="false" ht="15" hidden="false" customHeight="false" outlineLevel="0" collapsed="false">
      <c r="A20" s="27" t="n">
        <v>16</v>
      </c>
      <c r="B20" s="28" t="s">
        <v>114</v>
      </c>
      <c r="C20" s="29" t="s">
        <v>145</v>
      </c>
      <c r="D20" s="28" t="s">
        <v>146</v>
      </c>
      <c r="E20" s="27" t="str">
        <f aca="false">IF($C20="","",IF(MID($C20,5,1)="S","S(봄)",IF(MID($C20,5,1)="M","M(여름)",IF(MID($C20,5,1)="X","X(사계절)",MID($C20,5,1)))))</f>
        <v>S(봄)</v>
      </c>
      <c r="F20" s="29" t="s">
        <v>113</v>
      </c>
      <c r="G20" s="30" t="s">
        <v>144</v>
      </c>
      <c r="H20" s="27" t="str">
        <f aca="false">IF($C20="","",REPLACE($C20,6,2,"26"))</f>
        <v>JWTBS26119</v>
      </c>
      <c r="I20" s="31" t="str">
        <f aca="false">IFERROR(INDEX(전년출고참조!$B$4:$B$438,MATCH($H20,전년출고참조!$A$4:$A$438,0)),"")</f>
        <v/>
      </c>
      <c r="J20" s="31" t="n">
        <f aca="false">IF($G20&lt;&gt;"",IFERROR(DATE(IF(VALUE(LEFT($G20,FIND("월",$G20)-1))&gt;=9,기준정보!$C$6-1,기준정보!$C$6),VALUE(LEFT($G20,FIND("월",$G20)-1)),1+7*(VALUE(SUBSTITUTE(MID($G20,FIND("월",$G20)+1,5),"주",""))-1)),""),IF($I20="","",IF(ISNUMBER($I20),$I20+364,IFERROR(DATE(IF(VALUE(LEFT($I20,FIND("월",$I20)-1))&gt;=9,기준정보!$C$6-1,기준정보!$C$6),VALUE(LEFT($I20,FIND("월",$I20)-1)),1+7*(VALUE(SUBSTITUTE(MID($I20,FIND("월",$I20)+1,5),"주",""))-1)),""))))</f>
        <v>46409</v>
      </c>
      <c r="K20" s="27" t="str">
        <f aca="false">IF($G20&lt;&gt;"","계획 주차",IF($J20&lt;&gt;"","전년+1년 예측","미정"))</f>
        <v>계획 주차</v>
      </c>
      <c r="L20" s="31" t="n">
        <f aca="false">IF($J20="","",$J20-기준정보!$C$5)</f>
        <v>46319</v>
      </c>
      <c r="M20" s="32" t="n">
        <f aca="false">IF($L20="","",$L20-기준정보!$C$4)</f>
        <v>79</v>
      </c>
      <c r="N20" s="30"/>
      <c r="O20" s="19"/>
      <c r="P20" s="30"/>
      <c r="Q20" s="29" t="str">
        <f aca="false">IF($P20="CMT","본사(소재팀)",IF($P20="사입","생산처",""))</f>
        <v/>
      </c>
      <c r="R20" s="18"/>
      <c r="S20" s="18"/>
      <c r="T20" s="29" t="str">
        <f aca="false">IF($J20="","출고일 미정",IF($N20="X","작지 미등록",IF(AND($O20&lt;&gt;"",$O20&gt;$L20),"소재입고 마감("&amp;TEXT($L20,"MM/DD")&amp;") 초과",IF($N20="","작지 등록여부 확인 필요",IF($O20="","소재 입고일정 확인 필요","정상")))))</f>
        <v>작지 등록여부 확인 필요</v>
      </c>
      <c r="U20" s="27" t="str">
        <f aca="false">IF($J20="","",IF(OR($T20="작지 미등록",LEFT($T20,4)="소재입고"),IF(LEFT($E20,1)="S","★ 납기위험(S코드)","◆ 지연주의"),IF($T20="정상","✓ 정상","? 확인필요")))</f>
        <v>? 확인필요</v>
      </c>
      <c r="V20" s="30"/>
      <c r="W20" s="18"/>
    </row>
    <row r="21" customFormat="false" ht="15" hidden="false" customHeight="false" outlineLevel="0" collapsed="false">
      <c r="A21" s="27" t="n">
        <v>17</v>
      </c>
      <c r="B21" s="28" t="s">
        <v>114</v>
      </c>
      <c r="C21" s="29" t="s">
        <v>147</v>
      </c>
      <c r="D21" s="28" t="s">
        <v>148</v>
      </c>
      <c r="E21" s="27" t="str">
        <f aca="false">IF($C21="","",IF(MID($C21,5,1)="S","S(봄)",IF(MID($C21,5,1)="M","M(여름)",IF(MID($C21,5,1)="X","X(사계절)",MID($C21,5,1)))))</f>
        <v>S(봄)</v>
      </c>
      <c r="F21" s="29" t="s">
        <v>113</v>
      </c>
      <c r="G21" s="30" t="s">
        <v>52</v>
      </c>
      <c r="H21" s="27" t="str">
        <f aca="false">IF($C21="","",REPLACE($C21,6,2,"26"))</f>
        <v>JKJGS26102</v>
      </c>
      <c r="I21" s="31" t="str">
        <f aca="false">IFERROR(INDEX(전년출고참조!$B$4:$B$438,MATCH($H21,전년출고참조!$A$4:$A$438,0)),"")</f>
        <v/>
      </c>
      <c r="J21" s="31" t="n">
        <f aca="false">IF($G21&lt;&gt;"",IFERROR(DATE(IF(VALUE(LEFT($G21,FIND("월",$G21)-1))&gt;=9,기준정보!$C$6-1,기준정보!$C$6),VALUE(LEFT($G21,FIND("월",$G21)-1)),1+7*(VALUE(SUBSTITUTE(MID($G21,FIND("월",$G21)+1,5),"주",""))-1)),""),IF($I21="","",IF(ISNUMBER($I21),$I21+364,IFERROR(DATE(IF(VALUE(LEFT($I21,FIND("월",$I21)-1))&gt;=9,기준정보!$C$6-1,기준정보!$C$6),VALUE(LEFT($I21,FIND("월",$I21)-1)),1+7*(VALUE(SUBSTITUTE(MID($I21,FIND("월",$I21)+1,5),"주",""))-1)),""))))</f>
        <v>46419</v>
      </c>
      <c r="K21" s="27" t="str">
        <f aca="false">IF($G21&lt;&gt;"","계획 주차",IF($J21&lt;&gt;"","전년+1년 예측","미정"))</f>
        <v>계획 주차</v>
      </c>
      <c r="L21" s="31" t="n">
        <f aca="false">IF($J21="","",$J21-기준정보!$C$5)</f>
        <v>46329</v>
      </c>
      <c r="M21" s="32" t="n">
        <f aca="false">IF($L21="","",$L21-기준정보!$C$4)</f>
        <v>89</v>
      </c>
      <c r="N21" s="30"/>
      <c r="O21" s="19"/>
      <c r="P21" s="30"/>
      <c r="Q21" s="29" t="str">
        <f aca="false">IF($P21="CMT","본사(소재팀)",IF($P21="사입","생산처",""))</f>
        <v/>
      </c>
      <c r="R21" s="18"/>
      <c r="S21" s="18"/>
      <c r="T21" s="29" t="str">
        <f aca="false">IF($J21="","출고일 미정",IF($N21="X","작지 미등록",IF(AND($O21&lt;&gt;"",$O21&gt;$L21),"소재입고 마감("&amp;TEXT($L21,"MM/DD")&amp;") 초과",IF($N21="","작지 등록여부 확인 필요",IF($O21="","소재 입고일정 확인 필요","정상")))))</f>
        <v>작지 등록여부 확인 필요</v>
      </c>
      <c r="U21" s="27" t="str">
        <f aca="false">IF($J21="","",IF(OR($T21="작지 미등록",LEFT($T21,4)="소재입고"),IF(LEFT($E21,1)="S","★ 납기위험(S코드)","◆ 지연주의"),IF($T21="정상","✓ 정상","? 확인필요")))</f>
        <v>? 확인필요</v>
      </c>
      <c r="V21" s="30"/>
      <c r="W21" s="18"/>
    </row>
    <row r="22" customFormat="false" ht="15" hidden="false" customHeight="false" outlineLevel="0" collapsed="false">
      <c r="A22" s="27" t="n">
        <v>18</v>
      </c>
      <c r="B22" s="28" t="s">
        <v>114</v>
      </c>
      <c r="C22" s="29" t="s">
        <v>149</v>
      </c>
      <c r="D22" s="28" t="s">
        <v>150</v>
      </c>
      <c r="E22" s="27" t="str">
        <f aca="false">IF($C22="","",IF(MID($C22,5,1)="S","S(봄)",IF(MID($C22,5,1)="M","M(여름)",IF(MID($C22,5,1)="X","X(사계절)",MID($C22,5,1)))))</f>
        <v>S(봄)</v>
      </c>
      <c r="F22" s="29" t="s">
        <v>113</v>
      </c>
      <c r="G22" s="30" t="s">
        <v>52</v>
      </c>
      <c r="H22" s="27" t="str">
        <f aca="false">IF($C22="","",REPLACE($C22,6,2,"26"))</f>
        <v>JKJGS26104</v>
      </c>
      <c r="I22" s="31" t="str">
        <f aca="false">IFERROR(INDEX(전년출고참조!$B$4:$B$438,MATCH($H22,전년출고참조!$A$4:$A$438,0)),"")</f>
        <v/>
      </c>
      <c r="J22" s="31" t="n">
        <f aca="false">IF($G22&lt;&gt;"",IFERROR(DATE(IF(VALUE(LEFT($G22,FIND("월",$G22)-1))&gt;=9,기준정보!$C$6-1,기준정보!$C$6),VALUE(LEFT($G22,FIND("월",$G22)-1)),1+7*(VALUE(SUBSTITUTE(MID($G22,FIND("월",$G22)+1,5),"주",""))-1)),""),IF($I22="","",IF(ISNUMBER($I22),$I22+364,IFERROR(DATE(IF(VALUE(LEFT($I22,FIND("월",$I22)-1))&gt;=9,기준정보!$C$6-1,기준정보!$C$6),VALUE(LEFT($I22,FIND("월",$I22)-1)),1+7*(VALUE(SUBSTITUTE(MID($I22,FIND("월",$I22)+1,5),"주",""))-1)),""))))</f>
        <v>46419</v>
      </c>
      <c r="K22" s="27" t="str">
        <f aca="false">IF($G22&lt;&gt;"","계획 주차",IF($J22&lt;&gt;"","전년+1년 예측","미정"))</f>
        <v>계획 주차</v>
      </c>
      <c r="L22" s="31" t="n">
        <f aca="false">IF($J22="","",$J22-기준정보!$C$5)</f>
        <v>46329</v>
      </c>
      <c r="M22" s="32" t="n">
        <f aca="false">IF($L22="","",$L22-기준정보!$C$4)</f>
        <v>89</v>
      </c>
      <c r="N22" s="30"/>
      <c r="O22" s="19"/>
      <c r="P22" s="30"/>
      <c r="Q22" s="29" t="str">
        <f aca="false">IF($P22="CMT","본사(소재팀)",IF($P22="사입","생산처",""))</f>
        <v/>
      </c>
      <c r="R22" s="18"/>
      <c r="S22" s="18"/>
      <c r="T22" s="29" t="str">
        <f aca="false">IF($J22="","출고일 미정",IF($N22="X","작지 미등록",IF(AND($O22&lt;&gt;"",$O22&gt;$L22),"소재입고 마감("&amp;TEXT($L22,"MM/DD")&amp;") 초과",IF($N22="","작지 등록여부 확인 필요",IF($O22="","소재 입고일정 확인 필요","정상")))))</f>
        <v>작지 등록여부 확인 필요</v>
      </c>
      <c r="U22" s="27" t="str">
        <f aca="false">IF($J22="","",IF(OR($T22="작지 미등록",LEFT($T22,4)="소재입고"),IF(LEFT($E22,1)="S","★ 납기위험(S코드)","◆ 지연주의"),IF($T22="정상","✓ 정상","? 확인필요")))</f>
        <v>? 확인필요</v>
      </c>
      <c r="V22" s="30"/>
      <c r="W22" s="18"/>
    </row>
    <row r="23" customFormat="false" ht="15" hidden="false" customHeight="false" outlineLevel="0" collapsed="false">
      <c r="A23" s="27" t="n">
        <v>19</v>
      </c>
      <c r="B23" s="28" t="s">
        <v>114</v>
      </c>
      <c r="C23" s="29" t="s">
        <v>151</v>
      </c>
      <c r="D23" s="28" t="s">
        <v>152</v>
      </c>
      <c r="E23" s="27" t="str">
        <f aca="false">IF($C23="","",IF(MID($C23,5,1)="S","S(봄)",IF(MID($C23,5,1)="M","M(여름)",IF(MID($C23,5,1)="X","X(사계절)",MID($C23,5,1)))))</f>
        <v>S(봄)</v>
      </c>
      <c r="F23" s="29" t="s">
        <v>113</v>
      </c>
      <c r="G23" s="30" t="s">
        <v>52</v>
      </c>
      <c r="H23" s="27" t="str">
        <f aca="false">IF($C23="","",REPLACE($C23,6,2,"26"))</f>
        <v>JKJWS26106</v>
      </c>
      <c r="I23" s="31" t="str">
        <f aca="false">IFERROR(INDEX(전년출고참조!$B$4:$B$438,MATCH($H23,전년출고참조!$A$4:$A$438,0)),"")</f>
        <v/>
      </c>
      <c r="J23" s="31" t="n">
        <f aca="false">IF($G23&lt;&gt;"",IFERROR(DATE(IF(VALUE(LEFT($G23,FIND("월",$G23)-1))&gt;=9,기준정보!$C$6-1,기준정보!$C$6),VALUE(LEFT($G23,FIND("월",$G23)-1)),1+7*(VALUE(SUBSTITUTE(MID($G23,FIND("월",$G23)+1,5),"주",""))-1)),""),IF($I23="","",IF(ISNUMBER($I23),$I23+364,IFERROR(DATE(IF(VALUE(LEFT($I23,FIND("월",$I23)-1))&gt;=9,기준정보!$C$6-1,기준정보!$C$6),VALUE(LEFT($I23,FIND("월",$I23)-1)),1+7*(VALUE(SUBSTITUTE(MID($I23,FIND("월",$I23)+1,5),"주",""))-1)),""))))</f>
        <v>46419</v>
      </c>
      <c r="K23" s="27" t="str">
        <f aca="false">IF($G23&lt;&gt;"","계획 주차",IF($J23&lt;&gt;"","전년+1년 예측","미정"))</f>
        <v>계획 주차</v>
      </c>
      <c r="L23" s="31" t="n">
        <f aca="false">IF($J23="","",$J23-기준정보!$C$5)</f>
        <v>46329</v>
      </c>
      <c r="M23" s="32" t="n">
        <f aca="false">IF($L23="","",$L23-기준정보!$C$4)</f>
        <v>89</v>
      </c>
      <c r="N23" s="30"/>
      <c r="O23" s="19"/>
      <c r="P23" s="30"/>
      <c r="Q23" s="29" t="str">
        <f aca="false">IF($P23="CMT","본사(소재팀)",IF($P23="사입","생산처",""))</f>
        <v/>
      </c>
      <c r="R23" s="18"/>
      <c r="S23" s="18"/>
      <c r="T23" s="29" t="str">
        <f aca="false">IF($J23="","출고일 미정",IF($N23="X","작지 미등록",IF(AND($O23&lt;&gt;"",$O23&gt;$L23),"소재입고 마감("&amp;TEXT($L23,"MM/DD")&amp;") 초과",IF($N23="","작지 등록여부 확인 필요",IF($O23="","소재 입고일정 확인 필요","정상")))))</f>
        <v>작지 등록여부 확인 필요</v>
      </c>
      <c r="U23" s="27" t="str">
        <f aca="false">IF($J23="","",IF(OR($T23="작지 미등록",LEFT($T23,4)="소재입고"),IF(LEFT($E23,1)="S","★ 납기위험(S코드)","◆ 지연주의"),IF($T23="정상","✓ 정상","? 확인필요")))</f>
        <v>? 확인필요</v>
      </c>
      <c r="V23" s="30"/>
      <c r="W23" s="18"/>
    </row>
    <row r="24" customFormat="false" ht="15" hidden="false" customHeight="false" outlineLevel="0" collapsed="false">
      <c r="A24" s="27" t="n">
        <v>20</v>
      </c>
      <c r="B24" s="28" t="s">
        <v>114</v>
      </c>
      <c r="C24" s="29" t="s">
        <v>153</v>
      </c>
      <c r="D24" s="28" t="s">
        <v>154</v>
      </c>
      <c r="E24" s="27" t="str">
        <f aca="false">IF($C24="","",IF(MID($C24,5,1)="S","S(봄)",IF(MID($C24,5,1)="M","M(여름)",IF(MID($C24,5,1)="X","X(사계절)",MID($C24,5,1)))))</f>
        <v>S(봄)</v>
      </c>
      <c r="F24" s="29" t="s">
        <v>113</v>
      </c>
      <c r="G24" s="30" t="s">
        <v>52</v>
      </c>
      <c r="H24" s="27" t="str">
        <f aca="false">IF($C24="","",REPLACE($C24,6,2,"26"))</f>
        <v>JWJGS26101</v>
      </c>
      <c r="I24" s="31" t="str">
        <f aca="false">IFERROR(INDEX(전년출고참조!$B$4:$B$438,MATCH($H24,전년출고참조!$A$4:$A$438,0)),"")</f>
        <v/>
      </c>
      <c r="J24" s="31" t="n">
        <f aca="false">IF($G24&lt;&gt;"",IFERROR(DATE(IF(VALUE(LEFT($G24,FIND("월",$G24)-1))&gt;=9,기준정보!$C$6-1,기준정보!$C$6),VALUE(LEFT($G24,FIND("월",$G24)-1)),1+7*(VALUE(SUBSTITUTE(MID($G24,FIND("월",$G24)+1,5),"주",""))-1)),""),IF($I24="","",IF(ISNUMBER($I24),$I24+364,IFERROR(DATE(IF(VALUE(LEFT($I24,FIND("월",$I24)-1))&gt;=9,기준정보!$C$6-1,기준정보!$C$6),VALUE(LEFT($I24,FIND("월",$I24)-1)),1+7*(VALUE(SUBSTITUTE(MID($I24,FIND("월",$I24)+1,5),"주",""))-1)),""))))</f>
        <v>46419</v>
      </c>
      <c r="K24" s="27" t="str">
        <f aca="false">IF($G24&lt;&gt;"","계획 주차",IF($J24&lt;&gt;"","전년+1년 예측","미정"))</f>
        <v>계획 주차</v>
      </c>
      <c r="L24" s="31" t="n">
        <f aca="false">IF($J24="","",$J24-기준정보!$C$5)</f>
        <v>46329</v>
      </c>
      <c r="M24" s="32" t="n">
        <f aca="false">IF($L24="","",$L24-기준정보!$C$4)</f>
        <v>89</v>
      </c>
      <c r="N24" s="30"/>
      <c r="O24" s="19"/>
      <c r="P24" s="30"/>
      <c r="Q24" s="29" t="str">
        <f aca="false">IF($P24="CMT","본사(소재팀)",IF($P24="사입","생산처",""))</f>
        <v/>
      </c>
      <c r="R24" s="18"/>
      <c r="S24" s="18"/>
      <c r="T24" s="29" t="str">
        <f aca="false">IF($J24="","출고일 미정",IF($N24="X","작지 미등록",IF(AND($O24&lt;&gt;"",$O24&gt;$L24),"소재입고 마감("&amp;TEXT($L24,"MM/DD")&amp;") 초과",IF($N24="","작지 등록여부 확인 필요",IF($O24="","소재 입고일정 확인 필요","정상")))))</f>
        <v>작지 등록여부 확인 필요</v>
      </c>
      <c r="U24" s="27" t="str">
        <f aca="false">IF($J24="","",IF(OR($T24="작지 미등록",LEFT($T24,4)="소재입고"),IF(LEFT($E24,1)="S","★ 납기위험(S코드)","◆ 지연주의"),IF($T24="정상","✓ 정상","? 확인필요")))</f>
        <v>? 확인필요</v>
      </c>
      <c r="V24" s="30"/>
      <c r="W24" s="18"/>
    </row>
    <row r="25" customFormat="false" ht="15" hidden="false" customHeight="false" outlineLevel="0" collapsed="false">
      <c r="A25" s="27" t="n">
        <v>21</v>
      </c>
      <c r="B25" s="28" t="s">
        <v>114</v>
      </c>
      <c r="C25" s="29" t="s">
        <v>155</v>
      </c>
      <c r="D25" s="28" t="s">
        <v>156</v>
      </c>
      <c r="E25" s="27" t="str">
        <f aca="false">IF($C25="","",IF(MID($C25,5,1)="S","S(봄)",IF(MID($C25,5,1)="M","M(여름)",IF(MID($C25,5,1)="X","X(사계절)",MID($C25,5,1)))))</f>
        <v>S(봄)</v>
      </c>
      <c r="F25" s="29" t="s">
        <v>113</v>
      </c>
      <c r="G25" s="30" t="s">
        <v>52</v>
      </c>
      <c r="H25" s="27" t="str">
        <f aca="false">IF($C25="","",REPLACE($C25,6,2,"26"))</f>
        <v>JWJGS26103</v>
      </c>
      <c r="I25" s="31" t="str">
        <f aca="false">IFERROR(INDEX(전년출고참조!$B$4:$B$438,MATCH($H25,전년출고참조!$A$4:$A$438,0)),"")</f>
        <v/>
      </c>
      <c r="J25" s="31" t="n">
        <f aca="false">IF($G25&lt;&gt;"",IFERROR(DATE(IF(VALUE(LEFT($G25,FIND("월",$G25)-1))&gt;=9,기준정보!$C$6-1,기준정보!$C$6),VALUE(LEFT($G25,FIND("월",$G25)-1)),1+7*(VALUE(SUBSTITUTE(MID($G25,FIND("월",$G25)+1,5),"주",""))-1)),""),IF($I25="","",IF(ISNUMBER($I25),$I25+364,IFERROR(DATE(IF(VALUE(LEFT($I25,FIND("월",$I25)-1))&gt;=9,기준정보!$C$6-1,기준정보!$C$6),VALUE(LEFT($I25,FIND("월",$I25)-1)),1+7*(VALUE(SUBSTITUTE(MID($I25,FIND("월",$I25)+1,5),"주",""))-1)),""))))</f>
        <v>46419</v>
      </c>
      <c r="K25" s="27" t="str">
        <f aca="false">IF($G25&lt;&gt;"","계획 주차",IF($J25&lt;&gt;"","전년+1년 예측","미정"))</f>
        <v>계획 주차</v>
      </c>
      <c r="L25" s="31" t="n">
        <f aca="false">IF($J25="","",$J25-기준정보!$C$5)</f>
        <v>46329</v>
      </c>
      <c r="M25" s="32" t="n">
        <f aca="false">IF($L25="","",$L25-기준정보!$C$4)</f>
        <v>89</v>
      </c>
      <c r="N25" s="30"/>
      <c r="O25" s="19"/>
      <c r="P25" s="30"/>
      <c r="Q25" s="29" t="str">
        <f aca="false">IF($P25="CMT","본사(소재팀)",IF($P25="사입","생산처",""))</f>
        <v/>
      </c>
      <c r="R25" s="18"/>
      <c r="S25" s="18"/>
      <c r="T25" s="29" t="str">
        <f aca="false">IF($J25="","출고일 미정",IF($N25="X","작지 미등록",IF(AND($O25&lt;&gt;"",$O25&gt;$L25),"소재입고 마감("&amp;TEXT($L25,"MM/DD")&amp;") 초과",IF($N25="","작지 등록여부 확인 필요",IF($O25="","소재 입고일정 확인 필요","정상")))))</f>
        <v>작지 등록여부 확인 필요</v>
      </c>
      <c r="U25" s="27" t="str">
        <f aca="false">IF($J25="","",IF(OR($T25="작지 미등록",LEFT($T25,4)="소재입고"),IF(LEFT($E25,1)="S","★ 납기위험(S코드)","◆ 지연주의"),IF($T25="정상","✓ 정상","? 확인필요")))</f>
        <v>? 확인필요</v>
      </c>
      <c r="V25" s="30"/>
      <c r="W25" s="18"/>
    </row>
    <row r="26" customFormat="false" ht="15" hidden="false" customHeight="false" outlineLevel="0" collapsed="false">
      <c r="A26" s="27" t="n">
        <v>22</v>
      </c>
      <c r="B26" s="28" t="s">
        <v>114</v>
      </c>
      <c r="C26" s="29" t="s">
        <v>157</v>
      </c>
      <c r="D26" s="28" t="s">
        <v>158</v>
      </c>
      <c r="E26" s="27" t="str">
        <f aca="false">IF($C26="","",IF(MID($C26,5,1)="S","S(봄)",IF(MID($C26,5,1)="M","M(여름)",IF(MID($C26,5,1)="X","X(사계절)",MID($C26,5,1)))))</f>
        <v>S(봄)</v>
      </c>
      <c r="F26" s="29" t="s">
        <v>113</v>
      </c>
      <c r="G26" s="30" t="s">
        <v>52</v>
      </c>
      <c r="H26" s="27" t="str">
        <f aca="false">IF($C26="","",REPLACE($C26,6,2,"26"))</f>
        <v>JWJJS26135</v>
      </c>
      <c r="I26" s="31" t="str">
        <f aca="false">IFERROR(INDEX(전년출고참조!$B$4:$B$438,MATCH($H26,전년출고참조!$A$4:$A$438,0)),"")</f>
        <v/>
      </c>
      <c r="J26" s="31" t="n">
        <f aca="false">IF($G26&lt;&gt;"",IFERROR(DATE(IF(VALUE(LEFT($G26,FIND("월",$G26)-1))&gt;=9,기준정보!$C$6-1,기준정보!$C$6),VALUE(LEFT($G26,FIND("월",$G26)-1)),1+7*(VALUE(SUBSTITUTE(MID($G26,FIND("월",$G26)+1,5),"주",""))-1)),""),IF($I26="","",IF(ISNUMBER($I26),$I26+364,IFERROR(DATE(IF(VALUE(LEFT($I26,FIND("월",$I26)-1))&gt;=9,기준정보!$C$6-1,기준정보!$C$6),VALUE(LEFT($I26,FIND("월",$I26)-1)),1+7*(VALUE(SUBSTITUTE(MID($I26,FIND("월",$I26)+1,5),"주",""))-1)),""))))</f>
        <v>46419</v>
      </c>
      <c r="K26" s="27" t="str">
        <f aca="false">IF($G26&lt;&gt;"","계획 주차",IF($J26&lt;&gt;"","전년+1년 예측","미정"))</f>
        <v>계획 주차</v>
      </c>
      <c r="L26" s="31" t="n">
        <f aca="false">IF($J26="","",$J26-기준정보!$C$5)</f>
        <v>46329</v>
      </c>
      <c r="M26" s="32" t="n">
        <f aca="false">IF($L26="","",$L26-기준정보!$C$4)</f>
        <v>89</v>
      </c>
      <c r="N26" s="30"/>
      <c r="O26" s="19"/>
      <c r="P26" s="30"/>
      <c r="Q26" s="29" t="str">
        <f aca="false">IF($P26="CMT","본사(소재팀)",IF($P26="사입","생산처",""))</f>
        <v/>
      </c>
      <c r="R26" s="18"/>
      <c r="S26" s="18"/>
      <c r="T26" s="29" t="str">
        <f aca="false">IF($J26="","출고일 미정",IF($N26="X","작지 미등록",IF(AND($O26&lt;&gt;"",$O26&gt;$L26),"소재입고 마감("&amp;TEXT($L26,"MM/DD")&amp;") 초과",IF($N26="","작지 등록여부 확인 필요",IF($O26="","소재 입고일정 확인 필요","정상")))))</f>
        <v>작지 등록여부 확인 필요</v>
      </c>
      <c r="U26" s="27" t="str">
        <f aca="false">IF($J26="","",IF(OR($T26="작지 미등록",LEFT($T26,4)="소재입고"),IF(LEFT($E26,1)="S","★ 납기위험(S코드)","◆ 지연주의"),IF($T26="정상","✓ 정상","? 확인필요")))</f>
        <v>? 확인필요</v>
      </c>
      <c r="V26" s="30"/>
      <c r="W26" s="18"/>
    </row>
    <row r="27" customFormat="false" ht="15" hidden="false" customHeight="false" outlineLevel="0" collapsed="false">
      <c r="A27" s="27" t="n">
        <v>23</v>
      </c>
      <c r="B27" s="28" t="s">
        <v>114</v>
      </c>
      <c r="C27" s="29" t="s">
        <v>159</v>
      </c>
      <c r="D27" s="28" t="s">
        <v>160</v>
      </c>
      <c r="E27" s="27" t="str">
        <f aca="false">IF($C27="","",IF(MID($C27,5,1)="S","S(봄)",IF(MID($C27,5,1)="M","M(여름)",IF(MID($C27,5,1)="X","X(사계절)",MID($C27,5,1)))))</f>
        <v>S(봄)</v>
      </c>
      <c r="F27" s="29" t="s">
        <v>113</v>
      </c>
      <c r="G27" s="30" t="s">
        <v>52</v>
      </c>
      <c r="H27" s="27" t="str">
        <f aca="false">IF($C27="","",REPLACE($C27,6,2,"26"))</f>
        <v>JWJWS26105</v>
      </c>
      <c r="I27" s="31" t="str">
        <f aca="false">IFERROR(INDEX(전년출고참조!$B$4:$B$438,MATCH($H27,전년출고참조!$A$4:$A$438,0)),"")</f>
        <v/>
      </c>
      <c r="J27" s="31" t="n">
        <f aca="false">IF($G27&lt;&gt;"",IFERROR(DATE(IF(VALUE(LEFT($G27,FIND("월",$G27)-1))&gt;=9,기준정보!$C$6-1,기준정보!$C$6),VALUE(LEFT($G27,FIND("월",$G27)-1)),1+7*(VALUE(SUBSTITUTE(MID($G27,FIND("월",$G27)+1,5),"주",""))-1)),""),IF($I27="","",IF(ISNUMBER($I27),$I27+364,IFERROR(DATE(IF(VALUE(LEFT($I27,FIND("월",$I27)-1))&gt;=9,기준정보!$C$6-1,기준정보!$C$6),VALUE(LEFT($I27,FIND("월",$I27)-1)),1+7*(VALUE(SUBSTITUTE(MID($I27,FIND("월",$I27)+1,5),"주",""))-1)),""))))</f>
        <v>46419</v>
      </c>
      <c r="K27" s="27" t="str">
        <f aca="false">IF($G27&lt;&gt;"","계획 주차",IF($J27&lt;&gt;"","전년+1년 예측","미정"))</f>
        <v>계획 주차</v>
      </c>
      <c r="L27" s="31" t="n">
        <f aca="false">IF($J27="","",$J27-기준정보!$C$5)</f>
        <v>46329</v>
      </c>
      <c r="M27" s="32" t="n">
        <f aca="false">IF($L27="","",$L27-기준정보!$C$4)</f>
        <v>89</v>
      </c>
      <c r="N27" s="30"/>
      <c r="O27" s="19"/>
      <c r="P27" s="30"/>
      <c r="Q27" s="29" t="str">
        <f aca="false">IF($P27="CMT","본사(소재팀)",IF($P27="사입","생산처",""))</f>
        <v/>
      </c>
      <c r="R27" s="18"/>
      <c r="S27" s="18"/>
      <c r="T27" s="29" t="str">
        <f aca="false">IF($J27="","출고일 미정",IF($N27="X","작지 미등록",IF(AND($O27&lt;&gt;"",$O27&gt;$L27),"소재입고 마감("&amp;TEXT($L27,"MM/DD")&amp;") 초과",IF($N27="","작지 등록여부 확인 필요",IF($O27="","소재 입고일정 확인 필요","정상")))))</f>
        <v>작지 등록여부 확인 필요</v>
      </c>
      <c r="U27" s="27" t="str">
        <f aca="false">IF($J27="","",IF(OR($T27="작지 미등록",LEFT($T27,4)="소재입고"),IF(LEFT($E27,1)="S","★ 납기위험(S코드)","◆ 지연주의"),IF($T27="정상","✓ 정상","? 확인필요")))</f>
        <v>? 확인필요</v>
      </c>
      <c r="V27" s="30"/>
      <c r="W27" s="18"/>
    </row>
    <row r="28" customFormat="false" ht="15" hidden="false" customHeight="false" outlineLevel="0" collapsed="false">
      <c r="A28" s="27" t="n">
        <v>24</v>
      </c>
      <c r="B28" s="28" t="s">
        <v>125</v>
      </c>
      <c r="C28" s="29" t="s">
        <v>161</v>
      </c>
      <c r="D28" s="28" t="s">
        <v>162</v>
      </c>
      <c r="E28" s="27" t="str">
        <f aca="false">IF($C28="","",IF(MID($C28,5,1)="S","S(봄)",IF(MID($C28,5,1)="M","M(여름)",IF(MID($C28,5,1)="X","X(사계절)",MID($C28,5,1)))))</f>
        <v>S(봄)</v>
      </c>
      <c r="F28" s="29" t="s">
        <v>128</v>
      </c>
      <c r="G28" s="30" t="s">
        <v>52</v>
      </c>
      <c r="H28" s="27" t="str">
        <f aca="false">IF($C28="","",REPLACE($C28,6,2,"26"))</f>
        <v>TLJJS26503</v>
      </c>
      <c r="I28" s="31" t="str">
        <f aca="false">IFERROR(INDEX(전년출고참조!$B$4:$B$438,MATCH($H28,전년출고참조!$A$4:$A$438,0)),"")</f>
        <v/>
      </c>
      <c r="J28" s="31" t="n">
        <f aca="false">IF($G28&lt;&gt;"",IFERROR(DATE(IF(VALUE(LEFT($G28,FIND("월",$G28)-1))&gt;=9,기준정보!$C$6-1,기준정보!$C$6),VALUE(LEFT($G28,FIND("월",$G28)-1)),1+7*(VALUE(SUBSTITUTE(MID($G28,FIND("월",$G28)+1,5),"주",""))-1)),""),IF($I28="","",IF(ISNUMBER($I28),$I28+364,IFERROR(DATE(IF(VALUE(LEFT($I28,FIND("월",$I28)-1))&gt;=9,기준정보!$C$6-1,기준정보!$C$6),VALUE(LEFT($I28,FIND("월",$I28)-1)),1+7*(VALUE(SUBSTITUTE(MID($I28,FIND("월",$I28)+1,5),"주",""))-1)),""))))</f>
        <v>46419</v>
      </c>
      <c r="K28" s="27" t="str">
        <f aca="false">IF($G28&lt;&gt;"","계획 주차",IF($J28&lt;&gt;"","전년+1년 예측","미정"))</f>
        <v>계획 주차</v>
      </c>
      <c r="L28" s="31" t="n">
        <f aca="false">IF($J28="","",$J28-기준정보!$C$5)</f>
        <v>46329</v>
      </c>
      <c r="M28" s="32" t="n">
        <f aca="false">IF($L28="","",$L28-기준정보!$C$4)</f>
        <v>89</v>
      </c>
      <c r="N28" s="30"/>
      <c r="O28" s="19"/>
      <c r="P28" s="30"/>
      <c r="Q28" s="29" t="str">
        <f aca="false">IF($P28="CMT","본사(소재팀)",IF($P28="사입","생산처",""))</f>
        <v/>
      </c>
      <c r="R28" s="18"/>
      <c r="S28" s="18"/>
      <c r="T28" s="29" t="str">
        <f aca="false">IF($J28="","출고일 미정",IF($N28="X","작지 미등록",IF(AND($O28&lt;&gt;"",$O28&gt;$L28),"소재입고 마감("&amp;TEXT($L28,"MM/DD")&amp;") 초과",IF($N28="","작지 등록여부 확인 필요",IF($O28="","소재 입고일정 확인 필요","정상")))))</f>
        <v>작지 등록여부 확인 필요</v>
      </c>
      <c r="U28" s="27" t="str">
        <f aca="false">IF($J28="","",IF(OR($T28="작지 미등록",LEFT($T28,4)="소재입고"),IF(LEFT($E28,1)="S","★ 납기위험(S코드)","◆ 지연주의"),IF($T28="정상","✓ 정상","? 확인필요")))</f>
        <v>? 확인필요</v>
      </c>
      <c r="V28" s="30"/>
      <c r="W28" s="18"/>
    </row>
    <row r="29" customFormat="false" ht="15" hidden="false" customHeight="false" outlineLevel="0" collapsed="false">
      <c r="A29" s="27" t="n">
        <v>25</v>
      </c>
      <c r="B29" s="28" t="s">
        <v>125</v>
      </c>
      <c r="C29" s="29" t="s">
        <v>163</v>
      </c>
      <c r="D29" s="28" t="s">
        <v>164</v>
      </c>
      <c r="E29" s="27" t="str">
        <f aca="false">IF($C29="","",IF(MID($C29,5,1)="S","S(봄)",IF(MID($C29,5,1)="M","M(여름)",IF(MID($C29,5,1)="X","X(사계절)",MID($C29,5,1)))))</f>
        <v>S(봄)</v>
      </c>
      <c r="F29" s="29" t="s">
        <v>128</v>
      </c>
      <c r="G29" s="30" t="s">
        <v>52</v>
      </c>
      <c r="H29" s="27" t="str">
        <f aca="false">IF($C29="","",REPLACE($C29,6,2,"26"))</f>
        <v>TLJJS26511</v>
      </c>
      <c r="I29" s="31" t="str">
        <f aca="false">IFERROR(INDEX(전년출고참조!$B$4:$B$438,MATCH($H29,전년출고참조!$A$4:$A$438,0)),"")</f>
        <v/>
      </c>
      <c r="J29" s="31" t="n">
        <f aca="false">IF($G29&lt;&gt;"",IFERROR(DATE(IF(VALUE(LEFT($G29,FIND("월",$G29)-1))&gt;=9,기준정보!$C$6-1,기준정보!$C$6),VALUE(LEFT($G29,FIND("월",$G29)-1)),1+7*(VALUE(SUBSTITUTE(MID($G29,FIND("월",$G29)+1,5),"주",""))-1)),""),IF($I29="","",IF(ISNUMBER($I29),$I29+364,IFERROR(DATE(IF(VALUE(LEFT($I29,FIND("월",$I29)-1))&gt;=9,기준정보!$C$6-1,기준정보!$C$6),VALUE(LEFT($I29,FIND("월",$I29)-1)),1+7*(VALUE(SUBSTITUTE(MID($I29,FIND("월",$I29)+1,5),"주",""))-1)),""))))</f>
        <v>46419</v>
      </c>
      <c r="K29" s="27" t="str">
        <f aca="false">IF($G29&lt;&gt;"","계획 주차",IF($J29&lt;&gt;"","전년+1년 예측","미정"))</f>
        <v>계획 주차</v>
      </c>
      <c r="L29" s="31" t="n">
        <f aca="false">IF($J29="","",$J29-기준정보!$C$5)</f>
        <v>46329</v>
      </c>
      <c r="M29" s="32" t="n">
        <f aca="false">IF($L29="","",$L29-기준정보!$C$4)</f>
        <v>89</v>
      </c>
      <c r="N29" s="30"/>
      <c r="O29" s="19"/>
      <c r="P29" s="30"/>
      <c r="Q29" s="29" t="str">
        <f aca="false">IF($P29="CMT","본사(소재팀)",IF($P29="사입","생산처",""))</f>
        <v/>
      </c>
      <c r="R29" s="18"/>
      <c r="S29" s="18"/>
      <c r="T29" s="29" t="str">
        <f aca="false">IF($J29="","출고일 미정",IF($N29="X","작지 미등록",IF(AND($O29&lt;&gt;"",$O29&gt;$L29),"소재입고 마감("&amp;TEXT($L29,"MM/DD")&amp;") 초과",IF($N29="","작지 등록여부 확인 필요",IF($O29="","소재 입고일정 확인 필요","정상")))))</f>
        <v>작지 등록여부 확인 필요</v>
      </c>
      <c r="U29" s="27" t="str">
        <f aca="false">IF($J29="","",IF(OR($T29="작지 미등록",LEFT($T29,4)="소재입고"),IF(LEFT($E29,1)="S","★ 납기위험(S코드)","◆ 지연주의"),IF($T29="정상","✓ 정상","? 확인필요")))</f>
        <v>? 확인필요</v>
      </c>
      <c r="V29" s="30"/>
      <c r="W29" s="18"/>
    </row>
    <row r="30" customFormat="false" ht="15" hidden="false" customHeight="false" outlineLevel="0" collapsed="false">
      <c r="A30" s="27" t="n">
        <v>26</v>
      </c>
      <c r="B30" s="28" t="s">
        <v>125</v>
      </c>
      <c r="C30" s="29" t="s">
        <v>165</v>
      </c>
      <c r="D30" s="28" t="s">
        <v>166</v>
      </c>
      <c r="E30" s="27" t="str">
        <f aca="false">IF($C30="","",IF(MID($C30,5,1)="S","S(봄)",IF(MID($C30,5,1)="M","M(여름)",IF(MID($C30,5,1)="X","X(사계절)",MID($C30,5,1)))))</f>
        <v>S(봄)</v>
      </c>
      <c r="F30" s="29" t="s">
        <v>128</v>
      </c>
      <c r="G30" s="30" t="s">
        <v>52</v>
      </c>
      <c r="H30" s="27" t="str">
        <f aca="false">IF($C30="","",REPLACE($C30,6,2,"26"))</f>
        <v>TLJJS26531</v>
      </c>
      <c r="I30" s="31" t="str">
        <f aca="false">IFERROR(INDEX(전년출고참조!$B$4:$B$438,MATCH($H30,전년출고참조!$A$4:$A$438,0)),"")</f>
        <v/>
      </c>
      <c r="J30" s="31" t="n">
        <f aca="false">IF($G30&lt;&gt;"",IFERROR(DATE(IF(VALUE(LEFT($G30,FIND("월",$G30)-1))&gt;=9,기준정보!$C$6-1,기준정보!$C$6),VALUE(LEFT($G30,FIND("월",$G30)-1)),1+7*(VALUE(SUBSTITUTE(MID($G30,FIND("월",$G30)+1,5),"주",""))-1)),""),IF($I30="","",IF(ISNUMBER($I30),$I30+364,IFERROR(DATE(IF(VALUE(LEFT($I30,FIND("월",$I30)-1))&gt;=9,기준정보!$C$6-1,기준정보!$C$6),VALUE(LEFT($I30,FIND("월",$I30)-1)),1+7*(VALUE(SUBSTITUTE(MID($I30,FIND("월",$I30)+1,5),"주",""))-1)),""))))</f>
        <v>46419</v>
      </c>
      <c r="K30" s="27" t="str">
        <f aca="false">IF($G30&lt;&gt;"","계획 주차",IF($J30&lt;&gt;"","전년+1년 예측","미정"))</f>
        <v>계획 주차</v>
      </c>
      <c r="L30" s="31" t="n">
        <f aca="false">IF($J30="","",$J30-기준정보!$C$5)</f>
        <v>46329</v>
      </c>
      <c r="M30" s="32" t="n">
        <f aca="false">IF($L30="","",$L30-기준정보!$C$4)</f>
        <v>89</v>
      </c>
      <c r="N30" s="30"/>
      <c r="O30" s="19"/>
      <c r="P30" s="30"/>
      <c r="Q30" s="29" t="str">
        <f aca="false">IF($P30="CMT","본사(소재팀)",IF($P30="사입","생산처",""))</f>
        <v/>
      </c>
      <c r="R30" s="18"/>
      <c r="S30" s="18"/>
      <c r="T30" s="29" t="str">
        <f aca="false">IF($J30="","출고일 미정",IF($N30="X","작지 미등록",IF(AND($O30&lt;&gt;"",$O30&gt;$L30),"소재입고 마감("&amp;TEXT($L30,"MM/DD")&amp;") 초과",IF($N30="","작지 등록여부 확인 필요",IF($O30="","소재 입고일정 확인 필요","정상")))))</f>
        <v>작지 등록여부 확인 필요</v>
      </c>
      <c r="U30" s="27" t="str">
        <f aca="false">IF($J30="","",IF(OR($T30="작지 미등록",LEFT($T30,4)="소재입고"),IF(LEFT($E30,1)="S","★ 납기위험(S코드)","◆ 지연주의"),IF($T30="정상","✓ 정상","? 확인필요")))</f>
        <v>? 확인필요</v>
      </c>
      <c r="V30" s="30"/>
      <c r="W30" s="18"/>
    </row>
    <row r="31" customFormat="false" ht="15" hidden="false" customHeight="false" outlineLevel="0" collapsed="false">
      <c r="A31" s="27" t="n">
        <v>27</v>
      </c>
      <c r="B31" s="28" t="s">
        <v>125</v>
      </c>
      <c r="C31" s="29" t="s">
        <v>167</v>
      </c>
      <c r="D31" s="28" t="s">
        <v>168</v>
      </c>
      <c r="E31" s="27" t="str">
        <f aca="false">IF($C31="","",IF(MID($C31,5,1)="S","S(봄)",IF(MID($C31,5,1)="M","M(여름)",IF(MID($C31,5,1)="X","X(사계절)",MID($C31,5,1)))))</f>
        <v>S(봄)</v>
      </c>
      <c r="F31" s="29" t="s">
        <v>128</v>
      </c>
      <c r="G31" s="30" t="s">
        <v>52</v>
      </c>
      <c r="H31" s="27" t="str">
        <f aca="false">IF($C31="","",REPLACE($C31,6,2,"26"))</f>
        <v>TLJJS26541</v>
      </c>
      <c r="I31" s="31" t="str">
        <f aca="false">IFERROR(INDEX(전년출고참조!$B$4:$B$438,MATCH($H31,전년출고참조!$A$4:$A$438,0)),"")</f>
        <v/>
      </c>
      <c r="J31" s="31" t="n">
        <f aca="false">IF($G31&lt;&gt;"",IFERROR(DATE(IF(VALUE(LEFT($G31,FIND("월",$G31)-1))&gt;=9,기준정보!$C$6-1,기준정보!$C$6),VALUE(LEFT($G31,FIND("월",$G31)-1)),1+7*(VALUE(SUBSTITUTE(MID($G31,FIND("월",$G31)+1,5),"주",""))-1)),""),IF($I31="","",IF(ISNUMBER($I31),$I31+364,IFERROR(DATE(IF(VALUE(LEFT($I31,FIND("월",$I31)-1))&gt;=9,기준정보!$C$6-1,기준정보!$C$6),VALUE(LEFT($I31,FIND("월",$I31)-1)),1+7*(VALUE(SUBSTITUTE(MID($I31,FIND("월",$I31)+1,5),"주",""))-1)),""))))</f>
        <v>46419</v>
      </c>
      <c r="K31" s="27" t="str">
        <f aca="false">IF($G31&lt;&gt;"","계획 주차",IF($J31&lt;&gt;"","전년+1년 예측","미정"))</f>
        <v>계획 주차</v>
      </c>
      <c r="L31" s="31" t="n">
        <f aca="false">IF($J31="","",$J31-기준정보!$C$5)</f>
        <v>46329</v>
      </c>
      <c r="M31" s="32" t="n">
        <f aca="false">IF($L31="","",$L31-기준정보!$C$4)</f>
        <v>89</v>
      </c>
      <c r="N31" s="30"/>
      <c r="O31" s="19"/>
      <c r="P31" s="30"/>
      <c r="Q31" s="29" t="str">
        <f aca="false">IF($P31="CMT","본사(소재팀)",IF($P31="사입","생산처",""))</f>
        <v/>
      </c>
      <c r="R31" s="18"/>
      <c r="S31" s="18"/>
      <c r="T31" s="29" t="str">
        <f aca="false">IF($J31="","출고일 미정",IF($N31="X","작지 미등록",IF(AND($O31&lt;&gt;"",$O31&gt;$L31),"소재입고 마감("&amp;TEXT($L31,"MM/DD")&amp;") 초과",IF($N31="","작지 등록여부 확인 필요",IF($O31="","소재 입고일정 확인 필요","정상")))))</f>
        <v>작지 등록여부 확인 필요</v>
      </c>
      <c r="U31" s="27" t="str">
        <f aca="false">IF($J31="","",IF(OR($T31="작지 미등록",LEFT($T31,4)="소재입고"),IF(LEFT($E31,1)="S","★ 납기위험(S코드)","◆ 지연주의"),IF($T31="정상","✓ 정상","? 확인필요")))</f>
        <v>? 확인필요</v>
      </c>
      <c r="V31" s="30"/>
      <c r="W31" s="18"/>
    </row>
    <row r="32" customFormat="false" ht="15" hidden="false" customHeight="false" outlineLevel="0" collapsed="false">
      <c r="A32" s="27" t="n">
        <v>28</v>
      </c>
      <c r="B32" s="28" t="s">
        <v>125</v>
      </c>
      <c r="C32" s="29" t="s">
        <v>169</v>
      </c>
      <c r="D32" s="28" t="s">
        <v>170</v>
      </c>
      <c r="E32" s="27" t="str">
        <f aca="false">IF($C32="","",IF(MID($C32,5,1)="S","S(봄)",IF(MID($C32,5,1)="M","M(여름)",IF(MID($C32,5,1)="X","X(사계절)",MID($C32,5,1)))))</f>
        <v>S(봄)</v>
      </c>
      <c r="F32" s="28" t="s">
        <v>133</v>
      </c>
      <c r="G32" s="30" t="s">
        <v>52</v>
      </c>
      <c r="H32" s="27" t="str">
        <f aca="false">IF($C32="","",REPLACE($C32,6,2,"26"))</f>
        <v>TLJJS26561</v>
      </c>
      <c r="I32" s="31" t="str">
        <f aca="false">IFERROR(INDEX(전년출고참조!$B$4:$B$438,MATCH($H32,전년출고참조!$A$4:$A$438,0)),"")</f>
        <v/>
      </c>
      <c r="J32" s="31" t="n">
        <f aca="false">IF($G32&lt;&gt;"",IFERROR(DATE(IF(VALUE(LEFT($G32,FIND("월",$G32)-1))&gt;=9,기준정보!$C$6-1,기준정보!$C$6),VALUE(LEFT($G32,FIND("월",$G32)-1)),1+7*(VALUE(SUBSTITUTE(MID($G32,FIND("월",$G32)+1,5),"주",""))-1)),""),IF($I32="","",IF(ISNUMBER($I32),$I32+364,IFERROR(DATE(IF(VALUE(LEFT($I32,FIND("월",$I32)-1))&gt;=9,기준정보!$C$6-1,기준정보!$C$6),VALUE(LEFT($I32,FIND("월",$I32)-1)),1+7*(VALUE(SUBSTITUTE(MID($I32,FIND("월",$I32)+1,5),"주",""))-1)),""))))</f>
        <v>46419</v>
      </c>
      <c r="K32" s="27" t="str">
        <f aca="false">IF($G32&lt;&gt;"","계획 주차",IF($J32&lt;&gt;"","전년+1년 예측","미정"))</f>
        <v>계획 주차</v>
      </c>
      <c r="L32" s="31" t="n">
        <f aca="false">IF($J32="","",$J32-기준정보!$C$5)</f>
        <v>46329</v>
      </c>
      <c r="M32" s="32" t="n">
        <f aca="false">IF($L32="","",$L32-기준정보!$C$4)</f>
        <v>89</v>
      </c>
      <c r="N32" s="30"/>
      <c r="O32" s="19"/>
      <c r="P32" s="30"/>
      <c r="Q32" s="29" t="str">
        <f aca="false">IF($P32="CMT","본사(소재팀)",IF($P32="사입","생산처",""))</f>
        <v/>
      </c>
      <c r="R32" s="18"/>
      <c r="S32" s="18"/>
      <c r="T32" s="29" t="str">
        <f aca="false">IF($J32="","출고일 미정",IF($N32="X","작지 미등록",IF(AND($O32&lt;&gt;"",$O32&gt;$L32),"소재입고 마감("&amp;TEXT($L32,"MM/DD")&amp;") 초과",IF($N32="","작지 등록여부 확인 필요",IF($O32="","소재 입고일정 확인 필요","정상")))))</f>
        <v>작지 등록여부 확인 필요</v>
      </c>
      <c r="U32" s="27" t="str">
        <f aca="false">IF($J32="","",IF(OR($T32="작지 미등록",LEFT($T32,4)="소재입고"),IF(LEFT($E32,1)="S","★ 납기위험(S코드)","◆ 지연주의"),IF($T32="정상","✓ 정상","? 확인필요")))</f>
        <v>? 확인필요</v>
      </c>
      <c r="V32" s="30"/>
      <c r="W32" s="18"/>
    </row>
    <row r="33" customFormat="false" ht="15" hidden="false" customHeight="false" outlineLevel="0" collapsed="false">
      <c r="A33" s="27" t="n">
        <v>29</v>
      </c>
      <c r="B33" s="28" t="s">
        <v>171</v>
      </c>
      <c r="C33" s="29" t="s">
        <v>172</v>
      </c>
      <c r="D33" s="29"/>
      <c r="E33" s="27" t="str">
        <f aca="false">IF($C33="","",IF(MID($C33,5,1)="S","S(봄)",IF(MID($C33,5,1)="M","M(여름)",IF(MID($C33,5,1)="X","X(사계절)",MID($C33,5,1)))))</f>
        <v>S(봄)</v>
      </c>
      <c r="F33" s="29" t="s">
        <v>128</v>
      </c>
      <c r="G33" s="30" t="s">
        <v>52</v>
      </c>
      <c r="H33" s="27" t="str">
        <f aca="false">IF($C33="","",REPLACE($C33,6,2,"26"))</f>
        <v>TVJJS26542</v>
      </c>
      <c r="I33" s="31" t="str">
        <f aca="false">IFERROR(INDEX(전년출고참조!$B$4:$B$438,MATCH($H33,전년출고참조!$A$4:$A$438,0)),"")</f>
        <v/>
      </c>
      <c r="J33" s="31" t="n">
        <f aca="false">IF($G33&lt;&gt;"",IFERROR(DATE(IF(VALUE(LEFT($G33,FIND("월",$G33)-1))&gt;=9,기준정보!$C$6-1,기준정보!$C$6),VALUE(LEFT($G33,FIND("월",$G33)-1)),1+7*(VALUE(SUBSTITUTE(MID($G33,FIND("월",$G33)+1,5),"주",""))-1)),""),IF($I33="","",IF(ISNUMBER($I33),$I33+364,IFERROR(DATE(IF(VALUE(LEFT($I33,FIND("월",$I33)-1))&gt;=9,기준정보!$C$6-1,기준정보!$C$6),VALUE(LEFT($I33,FIND("월",$I33)-1)),1+7*(VALUE(SUBSTITUTE(MID($I33,FIND("월",$I33)+1,5),"주",""))-1)),""))))</f>
        <v>46419</v>
      </c>
      <c r="K33" s="27" t="str">
        <f aca="false">IF($G33&lt;&gt;"","계획 주차",IF($J33&lt;&gt;"","전년+1년 예측","미정"))</f>
        <v>계획 주차</v>
      </c>
      <c r="L33" s="31" t="n">
        <f aca="false">IF($J33="","",$J33-기준정보!$C$5)</f>
        <v>46329</v>
      </c>
      <c r="M33" s="32" t="n">
        <f aca="false">IF($L33="","",$L33-기준정보!$C$4)</f>
        <v>89</v>
      </c>
      <c r="N33" s="30"/>
      <c r="O33" s="19"/>
      <c r="P33" s="30"/>
      <c r="Q33" s="29" t="str">
        <f aca="false">IF($P33="CMT","본사(소재팀)",IF($P33="사입","생산처",""))</f>
        <v/>
      </c>
      <c r="R33" s="18"/>
      <c r="S33" s="18"/>
      <c r="T33" s="29" t="str">
        <f aca="false">IF($J33="","출고일 미정",IF($N33="X","작지 미등록",IF(AND($O33&lt;&gt;"",$O33&gt;$L33),"소재입고 마감("&amp;TEXT($L33,"MM/DD")&amp;") 초과",IF($N33="","작지 등록여부 확인 필요",IF($O33="","소재 입고일정 확인 필요","정상")))))</f>
        <v>작지 등록여부 확인 필요</v>
      </c>
      <c r="U33" s="27" t="str">
        <f aca="false">IF($J33="","",IF(OR($T33="작지 미등록",LEFT($T33,4)="소재입고"),IF(LEFT($E33,1)="S","★ 납기위험(S코드)","◆ 지연주의"),IF($T33="정상","✓ 정상","? 확인필요")))</f>
        <v>? 확인필요</v>
      </c>
      <c r="V33" s="30"/>
      <c r="W33" s="18"/>
    </row>
    <row r="34" customFormat="false" ht="15" hidden="false" customHeight="false" outlineLevel="0" collapsed="false">
      <c r="A34" s="27" t="n">
        <v>30</v>
      </c>
      <c r="B34" s="28" t="s">
        <v>125</v>
      </c>
      <c r="C34" s="29" t="s">
        <v>173</v>
      </c>
      <c r="D34" s="28" t="s">
        <v>174</v>
      </c>
      <c r="E34" s="27" t="str">
        <f aca="false">IF($C34="","",IF(MID($C34,5,1)="S","S(봄)",IF(MID($C34,5,1)="M","M(여름)",IF(MID($C34,5,1)="X","X(사계절)",MID($C34,5,1)))))</f>
        <v>S(봄)</v>
      </c>
      <c r="F34" s="29" t="s">
        <v>128</v>
      </c>
      <c r="G34" s="30" t="s">
        <v>52</v>
      </c>
      <c r="H34" s="27" t="str">
        <f aca="false">IF($C34="","",REPLACE($C34,6,2,"26"))</f>
        <v>TVPNS26552</v>
      </c>
      <c r="I34" s="31" t="str">
        <f aca="false">IFERROR(INDEX(전년출고참조!$B$4:$B$438,MATCH($H34,전년출고참조!$A$4:$A$438,0)),"")</f>
        <v/>
      </c>
      <c r="J34" s="31" t="n">
        <f aca="false">IF($G34&lt;&gt;"",IFERROR(DATE(IF(VALUE(LEFT($G34,FIND("월",$G34)-1))&gt;=9,기준정보!$C$6-1,기준정보!$C$6),VALUE(LEFT($G34,FIND("월",$G34)-1)),1+7*(VALUE(SUBSTITUTE(MID($G34,FIND("월",$G34)+1,5),"주",""))-1)),""),IF($I34="","",IF(ISNUMBER($I34),$I34+364,IFERROR(DATE(IF(VALUE(LEFT($I34,FIND("월",$I34)-1))&gt;=9,기준정보!$C$6-1,기준정보!$C$6),VALUE(LEFT($I34,FIND("월",$I34)-1)),1+7*(VALUE(SUBSTITUTE(MID($I34,FIND("월",$I34)+1,5),"주",""))-1)),""))))</f>
        <v>46419</v>
      </c>
      <c r="K34" s="27" t="str">
        <f aca="false">IF($G34&lt;&gt;"","계획 주차",IF($J34&lt;&gt;"","전년+1년 예측","미정"))</f>
        <v>계획 주차</v>
      </c>
      <c r="L34" s="31" t="n">
        <f aca="false">IF($J34="","",$J34-기준정보!$C$5)</f>
        <v>46329</v>
      </c>
      <c r="M34" s="32" t="n">
        <f aca="false">IF($L34="","",$L34-기준정보!$C$4)</f>
        <v>89</v>
      </c>
      <c r="N34" s="30"/>
      <c r="O34" s="19"/>
      <c r="P34" s="30"/>
      <c r="Q34" s="29" t="str">
        <f aca="false">IF($P34="CMT","본사(소재팀)",IF($P34="사입","생산처",""))</f>
        <v/>
      </c>
      <c r="R34" s="18"/>
      <c r="S34" s="18"/>
      <c r="T34" s="29" t="str">
        <f aca="false">IF($J34="","출고일 미정",IF($N34="X","작지 미등록",IF(AND($O34&lt;&gt;"",$O34&gt;$L34),"소재입고 마감("&amp;TEXT($L34,"MM/DD")&amp;") 초과",IF($N34="","작지 등록여부 확인 필요",IF($O34="","소재 입고일정 확인 필요","정상")))))</f>
        <v>작지 등록여부 확인 필요</v>
      </c>
      <c r="U34" s="27" t="str">
        <f aca="false">IF($J34="","",IF(OR($T34="작지 미등록",LEFT($T34,4)="소재입고"),IF(LEFT($E34,1)="S","★ 납기위험(S코드)","◆ 지연주의"),IF($T34="정상","✓ 정상","? 확인필요")))</f>
        <v>? 확인필요</v>
      </c>
      <c r="V34" s="30"/>
      <c r="W34" s="18"/>
    </row>
    <row r="35" customFormat="false" ht="15" hidden="false" customHeight="false" outlineLevel="0" collapsed="false">
      <c r="A35" s="27" t="n">
        <v>31</v>
      </c>
      <c r="B35" s="28" t="s">
        <v>125</v>
      </c>
      <c r="C35" s="29" t="s">
        <v>175</v>
      </c>
      <c r="D35" s="28" t="s">
        <v>176</v>
      </c>
      <c r="E35" s="27" t="str">
        <f aca="false">IF($C35="","",IF(MID($C35,5,1)="S","S(봄)",IF(MID($C35,5,1)="M","M(여름)",IF(MID($C35,5,1)="X","X(사계절)",MID($C35,5,1)))))</f>
        <v>S(봄)</v>
      </c>
      <c r="F35" s="28" t="s">
        <v>133</v>
      </c>
      <c r="G35" s="30" t="s">
        <v>52</v>
      </c>
      <c r="H35" s="27" t="str">
        <f aca="false">IF($C35="","",REPLACE($C35,6,2,"26"))</f>
        <v>TVPNS26902</v>
      </c>
      <c r="I35" s="31" t="str">
        <f aca="false">IFERROR(INDEX(전년출고참조!$B$4:$B$438,MATCH($H35,전년출고참조!$A$4:$A$438,0)),"")</f>
        <v/>
      </c>
      <c r="J35" s="31" t="n">
        <f aca="false">IF($G35&lt;&gt;"",IFERROR(DATE(IF(VALUE(LEFT($G35,FIND("월",$G35)-1))&gt;=9,기준정보!$C$6-1,기준정보!$C$6),VALUE(LEFT($G35,FIND("월",$G35)-1)),1+7*(VALUE(SUBSTITUTE(MID($G35,FIND("월",$G35)+1,5),"주",""))-1)),""),IF($I35="","",IF(ISNUMBER($I35),$I35+364,IFERROR(DATE(IF(VALUE(LEFT($I35,FIND("월",$I35)-1))&gt;=9,기준정보!$C$6-1,기준정보!$C$6),VALUE(LEFT($I35,FIND("월",$I35)-1)),1+7*(VALUE(SUBSTITUTE(MID($I35,FIND("월",$I35)+1,5),"주",""))-1)),""))))</f>
        <v>46419</v>
      </c>
      <c r="K35" s="27" t="str">
        <f aca="false">IF($G35&lt;&gt;"","계획 주차",IF($J35&lt;&gt;"","전년+1년 예측","미정"))</f>
        <v>계획 주차</v>
      </c>
      <c r="L35" s="31" t="n">
        <f aca="false">IF($J35="","",$J35-기준정보!$C$5)</f>
        <v>46329</v>
      </c>
      <c r="M35" s="32" t="n">
        <f aca="false">IF($L35="","",$L35-기준정보!$C$4)</f>
        <v>89</v>
      </c>
      <c r="N35" s="30"/>
      <c r="O35" s="19"/>
      <c r="P35" s="30"/>
      <c r="Q35" s="29" t="str">
        <f aca="false">IF($P35="CMT","본사(소재팀)",IF($P35="사입","생산처",""))</f>
        <v/>
      </c>
      <c r="R35" s="18"/>
      <c r="S35" s="18"/>
      <c r="T35" s="29" t="str">
        <f aca="false">IF($J35="","출고일 미정",IF($N35="X","작지 미등록",IF(AND($O35&lt;&gt;"",$O35&gt;$L35),"소재입고 마감("&amp;TEXT($L35,"MM/DD")&amp;") 초과",IF($N35="","작지 등록여부 확인 필요",IF($O35="","소재 입고일정 확인 필요","정상")))))</f>
        <v>작지 등록여부 확인 필요</v>
      </c>
      <c r="U35" s="27" t="str">
        <f aca="false">IF($J35="","",IF(OR($T35="작지 미등록",LEFT($T35,4)="소재입고"),IF(LEFT($E35,1)="S","★ 납기위험(S코드)","◆ 지연주의"),IF($T35="정상","✓ 정상","? 확인필요")))</f>
        <v>? 확인필요</v>
      </c>
      <c r="V35" s="30"/>
      <c r="W35" s="18"/>
    </row>
    <row r="36" customFormat="false" ht="15" hidden="false" customHeight="false" outlineLevel="0" collapsed="false">
      <c r="A36" s="27" t="n">
        <v>32</v>
      </c>
      <c r="B36" s="28" t="s">
        <v>125</v>
      </c>
      <c r="C36" s="29" t="s">
        <v>177</v>
      </c>
      <c r="D36" s="28" t="s">
        <v>178</v>
      </c>
      <c r="E36" s="27" t="str">
        <f aca="false">IF($C36="","",IF(MID($C36,5,1)="S","S(봄)",IF(MID($C36,5,1)="M","M(여름)",IF(MID($C36,5,1)="X","X(사계절)",MID($C36,5,1)))))</f>
        <v>S(봄)</v>
      </c>
      <c r="F36" s="29" t="s">
        <v>128</v>
      </c>
      <c r="G36" s="30" t="s">
        <v>52</v>
      </c>
      <c r="H36" s="27" t="str">
        <f aca="false">IF($C36="","",REPLACE($C36,6,2,"26"))</f>
        <v>TVPOS26502</v>
      </c>
      <c r="I36" s="31" t="str">
        <f aca="false">IFERROR(INDEX(전년출고참조!$B$4:$B$438,MATCH($H36,전년출고참조!$A$4:$A$438,0)),"")</f>
        <v/>
      </c>
      <c r="J36" s="31" t="n">
        <f aca="false">IF($G36&lt;&gt;"",IFERROR(DATE(IF(VALUE(LEFT($G36,FIND("월",$G36)-1))&gt;=9,기준정보!$C$6-1,기준정보!$C$6),VALUE(LEFT($G36,FIND("월",$G36)-1)),1+7*(VALUE(SUBSTITUTE(MID($G36,FIND("월",$G36)+1,5),"주",""))-1)),""),IF($I36="","",IF(ISNUMBER($I36),$I36+364,IFERROR(DATE(IF(VALUE(LEFT($I36,FIND("월",$I36)-1))&gt;=9,기준정보!$C$6-1,기준정보!$C$6),VALUE(LEFT($I36,FIND("월",$I36)-1)),1+7*(VALUE(SUBSTITUTE(MID($I36,FIND("월",$I36)+1,5),"주",""))-1)),""))))</f>
        <v>46419</v>
      </c>
      <c r="K36" s="27" t="str">
        <f aca="false">IF($G36&lt;&gt;"","계획 주차",IF($J36&lt;&gt;"","전년+1년 예측","미정"))</f>
        <v>계획 주차</v>
      </c>
      <c r="L36" s="31" t="n">
        <f aca="false">IF($J36="","",$J36-기준정보!$C$5)</f>
        <v>46329</v>
      </c>
      <c r="M36" s="32" t="n">
        <f aca="false">IF($L36="","",$L36-기준정보!$C$4)</f>
        <v>89</v>
      </c>
      <c r="N36" s="30"/>
      <c r="O36" s="19"/>
      <c r="P36" s="30"/>
      <c r="Q36" s="29" t="str">
        <f aca="false">IF($P36="CMT","본사(소재팀)",IF($P36="사입","생산처",""))</f>
        <v/>
      </c>
      <c r="R36" s="18"/>
      <c r="S36" s="18"/>
      <c r="T36" s="29" t="str">
        <f aca="false">IF($J36="","출고일 미정",IF($N36="X","작지 미등록",IF(AND($O36&lt;&gt;"",$O36&gt;$L36),"소재입고 마감("&amp;TEXT($L36,"MM/DD")&amp;") 초과",IF($N36="","작지 등록여부 확인 필요",IF($O36="","소재 입고일정 확인 필요","정상")))))</f>
        <v>작지 등록여부 확인 필요</v>
      </c>
      <c r="U36" s="27" t="str">
        <f aca="false">IF($J36="","",IF(OR($T36="작지 미등록",LEFT($T36,4)="소재입고"),IF(LEFT($E36,1)="S","★ 납기위험(S코드)","◆ 지연주의"),IF($T36="정상","✓ 정상","? 확인필요")))</f>
        <v>? 확인필요</v>
      </c>
      <c r="V36" s="30"/>
      <c r="W36" s="18"/>
    </row>
    <row r="37" customFormat="false" ht="15" hidden="false" customHeight="false" outlineLevel="0" collapsed="false">
      <c r="A37" s="27" t="n">
        <v>33</v>
      </c>
      <c r="B37" s="28" t="s">
        <v>114</v>
      </c>
      <c r="C37" s="29" t="s">
        <v>179</v>
      </c>
      <c r="D37" s="28" t="s">
        <v>180</v>
      </c>
      <c r="E37" s="27" t="str">
        <f aca="false">IF($C37="","",IF(MID($C37,5,1)="S","S(봄)",IF(MID($C37,5,1)="M","M(여름)",IF(MID($C37,5,1)="X","X(사계절)",MID($C37,5,1)))))</f>
        <v>S(봄)</v>
      </c>
      <c r="F37" s="29" t="s">
        <v>181</v>
      </c>
      <c r="G37" s="30" t="s">
        <v>182</v>
      </c>
      <c r="H37" s="27" t="str">
        <f aca="false">IF($C37="","",REPLACE($C37,6,2,"26"))</f>
        <v>JWJJS26107</v>
      </c>
      <c r="I37" s="31" t="str">
        <f aca="false">IFERROR(INDEX(전년출고참조!$B$4:$B$438,MATCH($H37,전년출고참조!$A$4:$A$438,0)),"")</f>
        <v/>
      </c>
      <c r="J37" s="31" t="n">
        <f aca="false">IF($G37&lt;&gt;"",IFERROR(DATE(IF(VALUE(LEFT($G37,FIND("월",$G37)-1))&gt;=9,기준정보!$C$6-1,기준정보!$C$6),VALUE(LEFT($G37,FIND("월",$G37)-1)),1+7*(VALUE(SUBSTITUTE(MID($G37,FIND("월",$G37)+1,5),"주",""))-1)),""),IF($I37="","",IF(ISNUMBER($I37),$I37+364,IFERROR(DATE(IF(VALUE(LEFT($I37,FIND("월",$I37)-1))&gt;=9,기준정보!$C$6-1,기준정보!$C$6),VALUE(LEFT($I37,FIND("월",$I37)-1)),1+7*(VALUE(SUBSTITUTE(MID($I37,FIND("월",$I37)+1,5),"주",""))-1)),""))))</f>
        <v>46478</v>
      </c>
      <c r="K37" s="27" t="str">
        <f aca="false">IF($G37&lt;&gt;"","계획 주차",IF($J37&lt;&gt;"","전년+1년 예측","미정"))</f>
        <v>계획 주차</v>
      </c>
      <c r="L37" s="31" t="n">
        <f aca="false">IF($J37="","",$J37-기준정보!$C$5)</f>
        <v>46388</v>
      </c>
      <c r="M37" s="32" t="n">
        <f aca="false">IF($L37="","",$L37-기준정보!$C$4)</f>
        <v>148</v>
      </c>
      <c r="N37" s="30"/>
      <c r="O37" s="19"/>
      <c r="P37" s="30"/>
      <c r="Q37" s="29" t="str">
        <f aca="false">IF($P37="CMT","본사(소재팀)",IF($P37="사입","생산처",""))</f>
        <v/>
      </c>
      <c r="R37" s="18"/>
      <c r="S37" s="18"/>
      <c r="T37" s="29" t="str">
        <f aca="false">IF($J37="","출고일 미정",IF($N37="X","작지 미등록",IF(AND($O37&lt;&gt;"",$O37&gt;$L37),"소재입고 마감("&amp;TEXT($L37,"MM/DD")&amp;") 초과",IF($N37="","작지 등록여부 확인 필요",IF($O37="","소재 입고일정 확인 필요","정상")))))</f>
        <v>작지 등록여부 확인 필요</v>
      </c>
      <c r="U37" s="27" t="str">
        <f aca="false">IF($J37="","",IF(OR($T37="작지 미등록",LEFT($T37,4)="소재입고"),IF(LEFT($E37,1)="S","★ 납기위험(S코드)","◆ 지연주의"),IF($T37="정상","✓ 정상","? 확인필요")))</f>
        <v>? 확인필요</v>
      </c>
      <c r="V37" s="30"/>
      <c r="W37" s="18"/>
    </row>
    <row r="38" customFormat="false" ht="15" hidden="false" customHeight="false" outlineLevel="0" collapsed="false">
      <c r="A38" s="27" t="n">
        <v>34</v>
      </c>
      <c r="B38" s="28" t="s">
        <v>114</v>
      </c>
      <c r="C38" s="29" t="s">
        <v>183</v>
      </c>
      <c r="D38" s="28" t="s">
        <v>180</v>
      </c>
      <c r="E38" s="27" t="str">
        <f aca="false">IF($C38="","",IF(MID($C38,5,1)="S","S(봄)",IF(MID($C38,5,1)="M","M(여름)",IF(MID($C38,5,1)="X","X(사계절)",MID($C38,5,1)))))</f>
        <v>S(봄)</v>
      </c>
      <c r="F38" s="29" t="s">
        <v>181</v>
      </c>
      <c r="G38" s="30" t="s">
        <v>182</v>
      </c>
      <c r="H38" s="27" t="str">
        <f aca="false">IF($C38="","",REPLACE($C38,6,2,"26"))</f>
        <v>JWJJS26109</v>
      </c>
      <c r="I38" s="31" t="str">
        <f aca="false">IFERROR(INDEX(전년출고참조!$B$4:$B$438,MATCH($H38,전년출고참조!$A$4:$A$438,0)),"")</f>
        <v/>
      </c>
      <c r="J38" s="31" t="n">
        <f aca="false">IF($G38&lt;&gt;"",IFERROR(DATE(IF(VALUE(LEFT($G38,FIND("월",$G38)-1))&gt;=9,기준정보!$C$6-1,기준정보!$C$6),VALUE(LEFT($G38,FIND("월",$G38)-1)),1+7*(VALUE(SUBSTITUTE(MID($G38,FIND("월",$G38)+1,5),"주",""))-1)),""),IF($I38="","",IF(ISNUMBER($I38),$I38+364,IFERROR(DATE(IF(VALUE(LEFT($I38,FIND("월",$I38)-1))&gt;=9,기준정보!$C$6-1,기준정보!$C$6),VALUE(LEFT($I38,FIND("월",$I38)-1)),1+7*(VALUE(SUBSTITUTE(MID($I38,FIND("월",$I38)+1,5),"주",""))-1)),""))))</f>
        <v>46478</v>
      </c>
      <c r="K38" s="27" t="str">
        <f aca="false">IF($G38&lt;&gt;"","계획 주차",IF($J38&lt;&gt;"","전년+1년 예측","미정"))</f>
        <v>계획 주차</v>
      </c>
      <c r="L38" s="31" t="n">
        <f aca="false">IF($J38="","",$J38-기준정보!$C$5)</f>
        <v>46388</v>
      </c>
      <c r="M38" s="32" t="n">
        <f aca="false">IF($L38="","",$L38-기준정보!$C$4)</f>
        <v>148</v>
      </c>
      <c r="N38" s="30"/>
      <c r="O38" s="19"/>
      <c r="P38" s="30"/>
      <c r="Q38" s="29" t="str">
        <f aca="false">IF($P38="CMT","본사(소재팀)",IF($P38="사입","생산처",""))</f>
        <v/>
      </c>
      <c r="R38" s="18"/>
      <c r="S38" s="18"/>
      <c r="T38" s="29" t="str">
        <f aca="false">IF($J38="","출고일 미정",IF($N38="X","작지 미등록",IF(AND($O38&lt;&gt;"",$O38&gt;$L38),"소재입고 마감("&amp;TEXT($L38,"MM/DD")&amp;") 초과",IF($N38="","작지 등록여부 확인 필요",IF($O38="","소재 입고일정 확인 필요","정상")))))</f>
        <v>작지 등록여부 확인 필요</v>
      </c>
      <c r="U38" s="27" t="str">
        <f aca="false">IF($J38="","",IF(OR($T38="작지 미등록",LEFT($T38,4)="소재입고"),IF(LEFT($E38,1)="S","★ 납기위험(S코드)","◆ 지연주의"),IF($T38="정상","✓ 정상","? 확인필요")))</f>
        <v>? 확인필요</v>
      </c>
      <c r="V38" s="30"/>
      <c r="W38" s="18"/>
    </row>
    <row r="39" customFormat="false" ht="15" hidden="false" customHeight="false" outlineLevel="0" collapsed="false">
      <c r="A39" s="27" t="n">
        <v>35</v>
      </c>
      <c r="B39" s="28" t="s">
        <v>114</v>
      </c>
      <c r="C39" s="29" t="s">
        <v>184</v>
      </c>
      <c r="D39" s="28" t="s">
        <v>185</v>
      </c>
      <c r="E39" s="27" t="str">
        <f aca="false">IF($C39="","",IF(MID($C39,5,1)="S","S(봄)",IF(MID($C39,5,1)="M","M(여름)",IF(MID($C39,5,1)="X","X(사계절)",MID($C39,5,1)))))</f>
        <v>S(봄)</v>
      </c>
      <c r="F39" s="29" t="s">
        <v>181</v>
      </c>
      <c r="G39" s="30" t="s">
        <v>182</v>
      </c>
      <c r="H39" s="27" t="str">
        <f aca="false">IF($C39="","",REPLACE($C39,6,2,"26"))</f>
        <v>JWTBS26101</v>
      </c>
      <c r="I39" s="31" t="str">
        <f aca="false">IFERROR(INDEX(전년출고참조!$B$4:$B$438,MATCH($H39,전년출고참조!$A$4:$A$438,0)),"")</f>
        <v/>
      </c>
      <c r="J39" s="31" t="n">
        <f aca="false">IF($G39&lt;&gt;"",IFERROR(DATE(IF(VALUE(LEFT($G39,FIND("월",$G39)-1))&gt;=9,기준정보!$C$6-1,기준정보!$C$6),VALUE(LEFT($G39,FIND("월",$G39)-1)),1+7*(VALUE(SUBSTITUTE(MID($G39,FIND("월",$G39)+1,5),"주",""))-1)),""),IF($I39="","",IF(ISNUMBER($I39),$I39+364,IFERROR(DATE(IF(VALUE(LEFT($I39,FIND("월",$I39)-1))&gt;=9,기준정보!$C$6-1,기준정보!$C$6),VALUE(LEFT($I39,FIND("월",$I39)-1)),1+7*(VALUE(SUBSTITUTE(MID($I39,FIND("월",$I39)+1,5),"주",""))-1)),""))))</f>
        <v>46478</v>
      </c>
      <c r="K39" s="27" t="str">
        <f aca="false">IF($G39&lt;&gt;"","계획 주차",IF($J39&lt;&gt;"","전년+1년 예측","미정"))</f>
        <v>계획 주차</v>
      </c>
      <c r="L39" s="31" t="n">
        <f aca="false">IF($J39="","",$J39-기준정보!$C$5)</f>
        <v>46388</v>
      </c>
      <c r="M39" s="32" t="n">
        <f aca="false">IF($L39="","",$L39-기준정보!$C$4)</f>
        <v>148</v>
      </c>
      <c r="N39" s="30"/>
      <c r="O39" s="19"/>
      <c r="P39" s="30"/>
      <c r="Q39" s="29" t="str">
        <f aca="false">IF($P39="CMT","본사(소재팀)",IF($P39="사입","생산처",""))</f>
        <v/>
      </c>
      <c r="R39" s="18"/>
      <c r="S39" s="18"/>
      <c r="T39" s="29" t="str">
        <f aca="false">IF($J39="","출고일 미정",IF($N39="X","작지 미등록",IF(AND($O39&lt;&gt;"",$O39&gt;$L39),"소재입고 마감("&amp;TEXT($L39,"MM/DD")&amp;") 초과",IF($N39="","작지 등록여부 확인 필요",IF($O39="","소재 입고일정 확인 필요","정상")))))</f>
        <v>작지 등록여부 확인 필요</v>
      </c>
      <c r="U39" s="27" t="str">
        <f aca="false">IF($J39="","",IF(OR($T39="작지 미등록",LEFT($T39,4)="소재입고"),IF(LEFT($E39,1)="S","★ 납기위험(S코드)","◆ 지연주의"),IF($T39="정상","✓ 정상","? 확인필요")))</f>
        <v>? 확인필요</v>
      </c>
      <c r="V39" s="30"/>
      <c r="W39" s="18"/>
    </row>
    <row r="40" customFormat="false" ht="15" hidden="false" customHeight="false" outlineLevel="0" collapsed="false">
      <c r="A40" s="27" t="n">
        <v>36</v>
      </c>
      <c r="B40" s="28" t="s">
        <v>114</v>
      </c>
      <c r="C40" s="29" t="s">
        <v>186</v>
      </c>
      <c r="D40" s="28" t="s">
        <v>187</v>
      </c>
      <c r="E40" s="27" t="str">
        <f aca="false">IF($C40="","",IF(MID($C40,5,1)="S","S(봄)",IF(MID($C40,5,1)="M","M(여름)",IF(MID($C40,5,1)="X","X(사계절)",MID($C40,5,1)))))</f>
        <v>S(봄)</v>
      </c>
      <c r="F40" s="29" t="s">
        <v>181</v>
      </c>
      <c r="G40" s="30" t="s">
        <v>182</v>
      </c>
      <c r="H40" s="27" t="str">
        <f aca="false">IF($C40="","",REPLACE($C40,6,2,"26"))</f>
        <v>JWTBS26103</v>
      </c>
      <c r="I40" s="31" t="str">
        <f aca="false">IFERROR(INDEX(전년출고참조!$B$4:$B$438,MATCH($H40,전년출고참조!$A$4:$A$438,0)),"")</f>
        <v/>
      </c>
      <c r="J40" s="31" t="n">
        <f aca="false">IF($G40&lt;&gt;"",IFERROR(DATE(IF(VALUE(LEFT($G40,FIND("월",$G40)-1))&gt;=9,기준정보!$C$6-1,기준정보!$C$6),VALUE(LEFT($G40,FIND("월",$G40)-1)),1+7*(VALUE(SUBSTITUTE(MID($G40,FIND("월",$G40)+1,5),"주",""))-1)),""),IF($I40="","",IF(ISNUMBER($I40),$I40+364,IFERROR(DATE(IF(VALUE(LEFT($I40,FIND("월",$I40)-1))&gt;=9,기준정보!$C$6-1,기준정보!$C$6),VALUE(LEFT($I40,FIND("월",$I40)-1)),1+7*(VALUE(SUBSTITUTE(MID($I40,FIND("월",$I40)+1,5),"주",""))-1)),""))))</f>
        <v>46478</v>
      </c>
      <c r="K40" s="27" t="str">
        <f aca="false">IF($G40&lt;&gt;"","계획 주차",IF($J40&lt;&gt;"","전년+1년 예측","미정"))</f>
        <v>계획 주차</v>
      </c>
      <c r="L40" s="31" t="n">
        <f aca="false">IF($J40="","",$J40-기준정보!$C$5)</f>
        <v>46388</v>
      </c>
      <c r="M40" s="32" t="n">
        <f aca="false">IF($L40="","",$L40-기준정보!$C$4)</f>
        <v>148</v>
      </c>
      <c r="N40" s="30"/>
      <c r="O40" s="19"/>
      <c r="P40" s="30"/>
      <c r="Q40" s="29" t="str">
        <f aca="false">IF($P40="CMT","본사(소재팀)",IF($P40="사입","생산처",""))</f>
        <v/>
      </c>
      <c r="R40" s="18"/>
      <c r="S40" s="18"/>
      <c r="T40" s="29" t="str">
        <f aca="false">IF($J40="","출고일 미정",IF($N40="X","작지 미등록",IF(AND($O40&lt;&gt;"",$O40&gt;$L40),"소재입고 마감("&amp;TEXT($L40,"MM/DD")&amp;") 초과",IF($N40="","작지 등록여부 확인 필요",IF($O40="","소재 입고일정 확인 필요","정상")))))</f>
        <v>작지 등록여부 확인 필요</v>
      </c>
      <c r="U40" s="27" t="str">
        <f aca="false">IF($J40="","",IF(OR($T40="작지 미등록",LEFT($T40,4)="소재입고"),IF(LEFT($E40,1)="S","★ 납기위험(S코드)","◆ 지연주의"),IF($T40="정상","✓ 정상","? 확인필요")))</f>
        <v>? 확인필요</v>
      </c>
      <c r="V40" s="30"/>
      <c r="W40" s="18"/>
    </row>
    <row r="41" customFormat="false" ht="15" hidden="false" customHeight="false" outlineLevel="0" collapsed="false">
      <c r="A41" s="27" t="n">
        <v>37</v>
      </c>
      <c r="B41" s="28" t="s">
        <v>114</v>
      </c>
      <c r="C41" s="29" t="s">
        <v>188</v>
      </c>
      <c r="D41" s="28" t="s">
        <v>185</v>
      </c>
      <c r="E41" s="27" t="str">
        <f aca="false">IF($C41="","",IF(MID($C41,5,1)="S","S(봄)",IF(MID($C41,5,1)="M","M(여름)",IF(MID($C41,5,1)="X","X(사계절)",MID($C41,5,1)))))</f>
        <v>S(봄)</v>
      </c>
      <c r="F41" s="29" t="s">
        <v>181</v>
      </c>
      <c r="G41" s="30" t="s">
        <v>182</v>
      </c>
      <c r="H41" s="27" t="str">
        <f aca="false">IF($C41="","",REPLACE($C41,6,2,"26"))</f>
        <v>JWTBS26107</v>
      </c>
      <c r="I41" s="31" t="str">
        <f aca="false">IFERROR(INDEX(전년출고참조!$B$4:$B$438,MATCH($H41,전년출고참조!$A$4:$A$438,0)),"")</f>
        <v/>
      </c>
      <c r="J41" s="31" t="n">
        <f aca="false">IF($G41&lt;&gt;"",IFERROR(DATE(IF(VALUE(LEFT($G41,FIND("월",$G41)-1))&gt;=9,기준정보!$C$6-1,기준정보!$C$6),VALUE(LEFT($G41,FIND("월",$G41)-1)),1+7*(VALUE(SUBSTITUTE(MID($G41,FIND("월",$G41)+1,5),"주",""))-1)),""),IF($I41="","",IF(ISNUMBER($I41),$I41+364,IFERROR(DATE(IF(VALUE(LEFT($I41,FIND("월",$I41)-1))&gt;=9,기준정보!$C$6-1,기준정보!$C$6),VALUE(LEFT($I41,FIND("월",$I41)-1)),1+7*(VALUE(SUBSTITUTE(MID($I41,FIND("월",$I41)+1,5),"주",""))-1)),""))))</f>
        <v>46478</v>
      </c>
      <c r="K41" s="27" t="str">
        <f aca="false">IF($G41&lt;&gt;"","계획 주차",IF($J41&lt;&gt;"","전년+1년 예측","미정"))</f>
        <v>계획 주차</v>
      </c>
      <c r="L41" s="31" t="n">
        <f aca="false">IF($J41="","",$J41-기준정보!$C$5)</f>
        <v>46388</v>
      </c>
      <c r="M41" s="32" t="n">
        <f aca="false">IF($L41="","",$L41-기준정보!$C$4)</f>
        <v>148</v>
      </c>
      <c r="N41" s="30"/>
      <c r="O41" s="19"/>
      <c r="P41" s="30"/>
      <c r="Q41" s="29" t="str">
        <f aca="false">IF($P41="CMT","본사(소재팀)",IF($P41="사입","생산처",""))</f>
        <v/>
      </c>
      <c r="R41" s="18"/>
      <c r="S41" s="18"/>
      <c r="T41" s="29" t="str">
        <f aca="false">IF($J41="","출고일 미정",IF($N41="X","작지 미등록",IF(AND($O41&lt;&gt;"",$O41&gt;$L41),"소재입고 마감("&amp;TEXT($L41,"MM/DD")&amp;") 초과",IF($N41="","작지 등록여부 확인 필요",IF($O41="","소재 입고일정 확인 필요","정상")))))</f>
        <v>작지 등록여부 확인 필요</v>
      </c>
      <c r="U41" s="27" t="str">
        <f aca="false">IF($J41="","",IF(OR($T41="작지 미등록",LEFT($T41,4)="소재입고"),IF(LEFT($E41,1)="S","★ 납기위험(S코드)","◆ 지연주의"),IF($T41="정상","✓ 정상","? 확인필요")))</f>
        <v>? 확인필요</v>
      </c>
      <c r="V41" s="30"/>
      <c r="W41" s="18"/>
    </row>
    <row r="42" customFormat="false" ht="15" hidden="false" customHeight="false" outlineLevel="0" collapsed="false">
      <c r="A42" s="27" t="n">
        <v>38</v>
      </c>
      <c r="B42" s="28" t="s">
        <v>114</v>
      </c>
      <c r="C42" s="29" t="s">
        <v>189</v>
      </c>
      <c r="D42" s="28" t="s">
        <v>187</v>
      </c>
      <c r="E42" s="27" t="str">
        <f aca="false">IF($C42="","",IF(MID($C42,5,1)="S","S(봄)",IF(MID($C42,5,1)="M","M(여름)",IF(MID($C42,5,1)="X","X(사계절)",MID($C42,5,1)))))</f>
        <v>S(봄)</v>
      </c>
      <c r="F42" s="29" t="s">
        <v>181</v>
      </c>
      <c r="G42" s="30" t="s">
        <v>182</v>
      </c>
      <c r="H42" s="27" t="str">
        <f aca="false">IF($C42="","",REPLACE($C42,6,2,"26"))</f>
        <v>JWTBS26109</v>
      </c>
      <c r="I42" s="31" t="str">
        <f aca="false">IFERROR(INDEX(전년출고참조!$B$4:$B$438,MATCH($H42,전년출고참조!$A$4:$A$438,0)),"")</f>
        <v/>
      </c>
      <c r="J42" s="31" t="n">
        <f aca="false">IF($G42&lt;&gt;"",IFERROR(DATE(IF(VALUE(LEFT($G42,FIND("월",$G42)-1))&gt;=9,기준정보!$C$6-1,기준정보!$C$6),VALUE(LEFT($G42,FIND("월",$G42)-1)),1+7*(VALUE(SUBSTITUTE(MID($G42,FIND("월",$G42)+1,5),"주",""))-1)),""),IF($I42="","",IF(ISNUMBER($I42),$I42+364,IFERROR(DATE(IF(VALUE(LEFT($I42,FIND("월",$I42)-1))&gt;=9,기준정보!$C$6-1,기준정보!$C$6),VALUE(LEFT($I42,FIND("월",$I42)-1)),1+7*(VALUE(SUBSTITUTE(MID($I42,FIND("월",$I42)+1,5),"주",""))-1)),""))))</f>
        <v>46478</v>
      </c>
      <c r="K42" s="27" t="str">
        <f aca="false">IF($G42&lt;&gt;"","계획 주차",IF($J42&lt;&gt;"","전년+1년 예측","미정"))</f>
        <v>계획 주차</v>
      </c>
      <c r="L42" s="31" t="n">
        <f aca="false">IF($J42="","",$J42-기준정보!$C$5)</f>
        <v>46388</v>
      </c>
      <c r="M42" s="32" t="n">
        <f aca="false">IF($L42="","",$L42-기준정보!$C$4)</f>
        <v>148</v>
      </c>
      <c r="N42" s="30"/>
      <c r="O42" s="19"/>
      <c r="P42" s="30"/>
      <c r="Q42" s="29" t="str">
        <f aca="false">IF($P42="CMT","본사(소재팀)",IF($P42="사입","생산처",""))</f>
        <v/>
      </c>
      <c r="R42" s="18"/>
      <c r="S42" s="18"/>
      <c r="T42" s="29" t="str">
        <f aca="false">IF($J42="","출고일 미정",IF($N42="X","작지 미등록",IF(AND($O42&lt;&gt;"",$O42&gt;$L42),"소재입고 마감("&amp;TEXT($L42,"MM/DD")&amp;") 초과",IF($N42="","작지 등록여부 확인 필요",IF($O42="","소재 입고일정 확인 필요","정상")))))</f>
        <v>작지 등록여부 확인 필요</v>
      </c>
      <c r="U42" s="27" t="str">
        <f aca="false">IF($J42="","",IF(OR($T42="작지 미등록",LEFT($T42,4)="소재입고"),IF(LEFT($E42,1)="S","★ 납기위험(S코드)","◆ 지연주의"),IF($T42="정상","✓ 정상","? 확인필요")))</f>
        <v>? 확인필요</v>
      </c>
      <c r="V42" s="30"/>
      <c r="W42" s="18"/>
    </row>
    <row r="43" customFormat="false" ht="15" hidden="false" customHeight="false" outlineLevel="0" collapsed="false">
      <c r="A43" s="27" t="n">
        <v>39</v>
      </c>
      <c r="B43" s="28" t="s">
        <v>114</v>
      </c>
      <c r="C43" s="29" t="s">
        <v>190</v>
      </c>
      <c r="D43" s="28" t="s">
        <v>191</v>
      </c>
      <c r="E43" s="27" t="str">
        <f aca="false">IF($C43="","",IF(MID($C43,5,1)="S","S(봄)",IF(MID($C43,5,1)="M","M(여름)",IF(MID($C43,5,1)="X","X(사계절)",MID($C43,5,1)))))</f>
        <v>S(봄)</v>
      </c>
      <c r="F43" s="29" t="s">
        <v>181</v>
      </c>
      <c r="G43" s="30" t="s">
        <v>182</v>
      </c>
      <c r="H43" s="27" t="str">
        <f aca="false">IF($C43="","",REPLACE($C43,6,2,"26"))</f>
        <v>JWVAS26109</v>
      </c>
      <c r="I43" s="31" t="str">
        <f aca="false">IFERROR(INDEX(전년출고참조!$B$4:$B$438,MATCH($H43,전년출고참조!$A$4:$A$438,0)),"")</f>
        <v/>
      </c>
      <c r="J43" s="31" t="n">
        <f aca="false">IF($G43&lt;&gt;"",IFERROR(DATE(IF(VALUE(LEFT($G43,FIND("월",$G43)-1))&gt;=9,기준정보!$C$6-1,기준정보!$C$6),VALUE(LEFT($G43,FIND("월",$G43)-1)),1+7*(VALUE(SUBSTITUTE(MID($G43,FIND("월",$G43)+1,5),"주",""))-1)),""),IF($I43="","",IF(ISNUMBER($I43),$I43+364,IFERROR(DATE(IF(VALUE(LEFT($I43,FIND("월",$I43)-1))&gt;=9,기준정보!$C$6-1,기준정보!$C$6),VALUE(LEFT($I43,FIND("월",$I43)-1)),1+7*(VALUE(SUBSTITUTE(MID($I43,FIND("월",$I43)+1,5),"주",""))-1)),""))))</f>
        <v>46478</v>
      </c>
      <c r="K43" s="27" t="str">
        <f aca="false">IF($G43&lt;&gt;"","계획 주차",IF($J43&lt;&gt;"","전년+1년 예측","미정"))</f>
        <v>계획 주차</v>
      </c>
      <c r="L43" s="31" t="n">
        <f aca="false">IF($J43="","",$J43-기준정보!$C$5)</f>
        <v>46388</v>
      </c>
      <c r="M43" s="32" t="n">
        <f aca="false">IF($L43="","",$L43-기준정보!$C$4)</f>
        <v>148</v>
      </c>
      <c r="N43" s="30"/>
      <c r="O43" s="19"/>
      <c r="P43" s="30"/>
      <c r="Q43" s="29" t="str">
        <f aca="false">IF($P43="CMT","본사(소재팀)",IF($P43="사입","생산처",""))</f>
        <v/>
      </c>
      <c r="R43" s="18"/>
      <c r="S43" s="18"/>
      <c r="T43" s="29" t="str">
        <f aca="false">IF($J43="","출고일 미정",IF($N43="X","작지 미등록",IF(AND($O43&lt;&gt;"",$O43&gt;$L43),"소재입고 마감("&amp;TEXT($L43,"MM/DD")&amp;") 초과",IF($N43="","작지 등록여부 확인 필요",IF($O43="","소재 입고일정 확인 필요","정상")))))</f>
        <v>작지 등록여부 확인 필요</v>
      </c>
      <c r="U43" s="27" t="str">
        <f aca="false">IF($J43="","",IF(OR($T43="작지 미등록",LEFT($T43,4)="소재입고"),IF(LEFT($E43,1)="S","★ 납기위험(S코드)","◆ 지연주의"),IF($T43="정상","✓ 정상","? 확인필요")))</f>
        <v>? 확인필요</v>
      </c>
      <c r="V43" s="30"/>
      <c r="W43" s="18"/>
    </row>
    <row r="44" customFormat="false" ht="15" hidden="false" customHeight="false" outlineLevel="0" collapsed="false">
      <c r="A44" s="27" t="n">
        <v>40</v>
      </c>
      <c r="B44" s="28" t="s">
        <v>114</v>
      </c>
      <c r="C44" s="29" t="s">
        <v>192</v>
      </c>
      <c r="D44" s="28" t="s">
        <v>193</v>
      </c>
      <c r="E44" s="27" t="str">
        <f aca="false">IF($C44="","",IF(MID($C44,5,1)="S","S(봄)",IF(MID($C44,5,1)="M","M(여름)",IF(MID($C44,5,1)="X","X(사계절)",MID($C44,5,1)))))</f>
        <v>S(봄)</v>
      </c>
      <c r="F44" s="29" t="s">
        <v>181</v>
      </c>
      <c r="G44" s="30" t="s">
        <v>182</v>
      </c>
      <c r="H44" s="27" t="str">
        <f aca="false">IF($C44="","",REPLACE($C44,6,2,"26"))</f>
        <v>JWVAS26907</v>
      </c>
      <c r="I44" s="31" t="str">
        <f aca="false">IFERROR(INDEX(전년출고참조!$B$4:$B$438,MATCH($H44,전년출고참조!$A$4:$A$438,0)),"")</f>
        <v/>
      </c>
      <c r="J44" s="31" t="n">
        <f aca="false">IF($G44&lt;&gt;"",IFERROR(DATE(IF(VALUE(LEFT($G44,FIND("월",$G44)-1))&gt;=9,기준정보!$C$6-1,기준정보!$C$6),VALUE(LEFT($G44,FIND("월",$G44)-1)),1+7*(VALUE(SUBSTITUTE(MID($G44,FIND("월",$G44)+1,5),"주",""))-1)),""),IF($I44="","",IF(ISNUMBER($I44),$I44+364,IFERROR(DATE(IF(VALUE(LEFT($I44,FIND("월",$I44)-1))&gt;=9,기준정보!$C$6-1,기준정보!$C$6),VALUE(LEFT($I44,FIND("월",$I44)-1)),1+7*(VALUE(SUBSTITUTE(MID($I44,FIND("월",$I44)+1,5),"주",""))-1)),""))))</f>
        <v>46478</v>
      </c>
      <c r="K44" s="27" t="str">
        <f aca="false">IF($G44&lt;&gt;"","계획 주차",IF($J44&lt;&gt;"","전년+1년 예측","미정"))</f>
        <v>계획 주차</v>
      </c>
      <c r="L44" s="31" t="n">
        <f aca="false">IF($J44="","",$J44-기준정보!$C$5)</f>
        <v>46388</v>
      </c>
      <c r="M44" s="32" t="n">
        <f aca="false">IF($L44="","",$L44-기준정보!$C$4)</f>
        <v>148</v>
      </c>
      <c r="N44" s="30"/>
      <c r="O44" s="19"/>
      <c r="P44" s="30"/>
      <c r="Q44" s="29" t="str">
        <f aca="false">IF($P44="CMT","본사(소재팀)",IF($P44="사입","생산처",""))</f>
        <v/>
      </c>
      <c r="R44" s="18"/>
      <c r="S44" s="18"/>
      <c r="T44" s="29" t="str">
        <f aca="false">IF($J44="","출고일 미정",IF($N44="X","작지 미등록",IF(AND($O44&lt;&gt;"",$O44&gt;$L44),"소재입고 마감("&amp;TEXT($L44,"MM/DD")&amp;") 초과",IF($N44="","작지 등록여부 확인 필요",IF($O44="","소재 입고일정 확인 필요","정상")))))</f>
        <v>작지 등록여부 확인 필요</v>
      </c>
      <c r="U44" s="27" t="str">
        <f aca="false">IF($J44="","",IF(OR($T44="작지 미등록",LEFT($T44,4)="소재입고"),IF(LEFT($E44,1)="S","★ 납기위험(S코드)","◆ 지연주의"),IF($T44="정상","✓ 정상","? 확인필요")))</f>
        <v>? 확인필요</v>
      </c>
      <c r="V44" s="30"/>
      <c r="W44" s="18"/>
    </row>
    <row r="45" customFormat="false" ht="15" hidden="false" customHeight="false" outlineLevel="0" collapsed="false">
      <c r="A45" s="27" t="n">
        <v>41</v>
      </c>
      <c r="B45" s="28" t="s">
        <v>114</v>
      </c>
      <c r="C45" s="29" t="s">
        <v>194</v>
      </c>
      <c r="D45" s="28" t="s">
        <v>195</v>
      </c>
      <c r="E45" s="27" t="str">
        <f aca="false">IF($C45="","",IF(MID($C45,5,1)="S","S(봄)",IF(MID($C45,5,1)="M","M(여름)",IF(MID($C45,5,1)="X","X(사계절)",MID($C45,5,1)))))</f>
        <v>M(여름)</v>
      </c>
      <c r="F45" s="29" t="s">
        <v>181</v>
      </c>
      <c r="G45" s="30" t="s">
        <v>196</v>
      </c>
      <c r="H45" s="27" t="str">
        <f aca="false">IF($C45="","",REPLACE($C45,6,2,"26"))</f>
        <v>JWTBM26121</v>
      </c>
      <c r="I45" s="31" t="str">
        <f aca="false">IFERROR(INDEX(전년출고참조!$B$4:$B$438,MATCH($H45,전년출고참조!$A$4:$A$438,0)),"")</f>
        <v/>
      </c>
      <c r="J45" s="31" t="n">
        <f aca="false">IF($G45&lt;&gt;"",IFERROR(DATE(IF(VALUE(LEFT($G45,FIND("월",$G45)-1))&gt;=9,기준정보!$C$6-1,기준정보!$C$6),VALUE(LEFT($G45,FIND("월",$G45)-1)),1+7*(VALUE(SUBSTITUTE(MID($G45,FIND("월",$G45)+1,5),"주",""))-1)),""),IF($I45="","",IF(ISNUMBER($I45),$I45+364,IFERROR(DATE(IF(VALUE(LEFT($I45,FIND("월",$I45)-1))&gt;=9,기준정보!$C$6-1,기준정보!$C$6),VALUE(LEFT($I45,FIND("월",$I45)-1)),1+7*(VALUE(SUBSTITUTE(MID($I45,FIND("월",$I45)+1,5),"주",""))-1)),""))))</f>
        <v>46440</v>
      </c>
      <c r="K45" s="27" t="str">
        <f aca="false">IF($G45&lt;&gt;"","계획 주차",IF($J45&lt;&gt;"","전년+1년 예측","미정"))</f>
        <v>계획 주차</v>
      </c>
      <c r="L45" s="31" t="n">
        <f aca="false">IF($J45="","",$J45-기준정보!$C$5)</f>
        <v>46350</v>
      </c>
      <c r="M45" s="32" t="n">
        <f aca="false">IF($L45="","",$L45-기준정보!$C$4)</f>
        <v>110</v>
      </c>
      <c r="N45" s="30"/>
      <c r="O45" s="19"/>
      <c r="P45" s="30"/>
      <c r="Q45" s="29" t="str">
        <f aca="false">IF($P45="CMT","본사(소재팀)",IF($P45="사입","생산처",""))</f>
        <v/>
      </c>
      <c r="R45" s="18"/>
      <c r="S45" s="18"/>
      <c r="T45" s="29" t="str">
        <f aca="false">IF($J45="","출고일 미정",IF($N45="X","작지 미등록",IF(AND($O45&lt;&gt;"",$O45&gt;$L45),"소재입고 마감("&amp;TEXT($L45,"MM/DD")&amp;") 초과",IF($N45="","작지 등록여부 확인 필요",IF($O45="","소재 입고일정 확인 필요","정상")))))</f>
        <v>작지 등록여부 확인 필요</v>
      </c>
      <c r="U45" s="27" t="str">
        <f aca="false">IF($J45="","",IF(OR($T45="작지 미등록",LEFT($T45,4)="소재입고"),IF(LEFT($E45,1)="S","★ 납기위험(S코드)","◆ 지연주의"),IF($T45="정상","✓ 정상","? 확인필요")))</f>
        <v>? 확인필요</v>
      </c>
      <c r="V45" s="30"/>
      <c r="W45" s="18"/>
    </row>
    <row r="46" customFormat="false" ht="15" hidden="false" customHeight="false" outlineLevel="0" collapsed="false">
      <c r="A46" s="27" t="n">
        <v>42</v>
      </c>
      <c r="B46" s="28" t="s">
        <v>114</v>
      </c>
      <c r="C46" s="29" t="s">
        <v>197</v>
      </c>
      <c r="D46" s="28" t="s">
        <v>198</v>
      </c>
      <c r="E46" s="27" t="str">
        <f aca="false">IF($C46="","",IF(MID($C46,5,1)="S","S(봄)",IF(MID($C46,5,1)="M","M(여름)",IF(MID($C46,5,1)="X","X(사계절)",MID($C46,5,1)))))</f>
        <v>M(여름)</v>
      </c>
      <c r="F46" s="29" t="s">
        <v>181</v>
      </c>
      <c r="G46" s="30" t="s">
        <v>196</v>
      </c>
      <c r="H46" s="27" t="str">
        <f aca="false">IF($C46="","",REPLACE($C46,6,2,"26"))</f>
        <v>JWTBM26125</v>
      </c>
      <c r="I46" s="31" t="str">
        <f aca="false">IFERROR(INDEX(전년출고참조!$B$4:$B$438,MATCH($H46,전년출고참조!$A$4:$A$438,0)),"")</f>
        <v/>
      </c>
      <c r="J46" s="31" t="n">
        <f aca="false">IF($G46&lt;&gt;"",IFERROR(DATE(IF(VALUE(LEFT($G46,FIND("월",$G46)-1))&gt;=9,기준정보!$C$6-1,기준정보!$C$6),VALUE(LEFT($G46,FIND("월",$G46)-1)),1+7*(VALUE(SUBSTITUTE(MID($G46,FIND("월",$G46)+1,5),"주",""))-1)),""),IF($I46="","",IF(ISNUMBER($I46),$I46+364,IFERROR(DATE(IF(VALUE(LEFT($I46,FIND("월",$I46)-1))&gt;=9,기준정보!$C$6-1,기준정보!$C$6),VALUE(LEFT($I46,FIND("월",$I46)-1)),1+7*(VALUE(SUBSTITUTE(MID($I46,FIND("월",$I46)+1,5),"주",""))-1)),""))))</f>
        <v>46440</v>
      </c>
      <c r="K46" s="27" t="str">
        <f aca="false">IF($G46&lt;&gt;"","계획 주차",IF($J46&lt;&gt;"","전년+1년 예측","미정"))</f>
        <v>계획 주차</v>
      </c>
      <c r="L46" s="31" t="n">
        <f aca="false">IF($J46="","",$J46-기준정보!$C$5)</f>
        <v>46350</v>
      </c>
      <c r="M46" s="32" t="n">
        <f aca="false">IF($L46="","",$L46-기준정보!$C$4)</f>
        <v>110</v>
      </c>
      <c r="N46" s="30"/>
      <c r="O46" s="19"/>
      <c r="P46" s="30"/>
      <c r="Q46" s="29" t="str">
        <f aca="false">IF($P46="CMT","본사(소재팀)",IF($P46="사입","생산처",""))</f>
        <v/>
      </c>
      <c r="R46" s="18"/>
      <c r="S46" s="18"/>
      <c r="T46" s="29" t="str">
        <f aca="false">IF($J46="","출고일 미정",IF($N46="X","작지 미등록",IF(AND($O46&lt;&gt;"",$O46&gt;$L46),"소재입고 마감("&amp;TEXT($L46,"MM/DD")&amp;") 초과",IF($N46="","작지 등록여부 확인 필요",IF($O46="","소재 입고일정 확인 필요","정상")))))</f>
        <v>작지 등록여부 확인 필요</v>
      </c>
      <c r="U46" s="27" t="str">
        <f aca="false">IF($J46="","",IF(OR($T46="작지 미등록",LEFT($T46,4)="소재입고"),IF(LEFT($E46,1)="S","★ 납기위험(S코드)","◆ 지연주의"),IF($T46="정상","✓ 정상","? 확인필요")))</f>
        <v>? 확인필요</v>
      </c>
      <c r="V46" s="30"/>
      <c r="W46" s="18"/>
    </row>
    <row r="47" customFormat="false" ht="15" hidden="false" customHeight="false" outlineLevel="0" collapsed="false">
      <c r="A47" s="27" t="n">
        <v>43</v>
      </c>
      <c r="B47" s="28" t="s">
        <v>114</v>
      </c>
      <c r="C47" s="29" t="s">
        <v>199</v>
      </c>
      <c r="D47" s="28" t="s">
        <v>195</v>
      </c>
      <c r="E47" s="27" t="str">
        <f aca="false">IF($C47="","",IF(MID($C47,5,1)="S","S(봄)",IF(MID($C47,5,1)="M","M(여름)",IF(MID($C47,5,1)="X","X(사계절)",MID($C47,5,1)))))</f>
        <v>M(여름)</v>
      </c>
      <c r="F47" s="29" t="s">
        <v>181</v>
      </c>
      <c r="G47" s="30" t="s">
        <v>196</v>
      </c>
      <c r="H47" s="27" t="str">
        <f aca="false">IF($C47="","",REPLACE($C47,6,2,"26"))</f>
        <v>JWTBM26127</v>
      </c>
      <c r="I47" s="31" t="str">
        <f aca="false">IFERROR(INDEX(전년출고참조!$B$4:$B$438,MATCH($H47,전년출고참조!$A$4:$A$438,0)),"")</f>
        <v/>
      </c>
      <c r="J47" s="31" t="n">
        <f aca="false">IF($G47&lt;&gt;"",IFERROR(DATE(IF(VALUE(LEFT($G47,FIND("월",$G47)-1))&gt;=9,기준정보!$C$6-1,기준정보!$C$6),VALUE(LEFT($G47,FIND("월",$G47)-1)),1+7*(VALUE(SUBSTITUTE(MID($G47,FIND("월",$G47)+1,5),"주",""))-1)),""),IF($I47="","",IF(ISNUMBER($I47),$I47+364,IFERROR(DATE(IF(VALUE(LEFT($I47,FIND("월",$I47)-1))&gt;=9,기준정보!$C$6-1,기준정보!$C$6),VALUE(LEFT($I47,FIND("월",$I47)-1)),1+7*(VALUE(SUBSTITUTE(MID($I47,FIND("월",$I47)+1,5),"주",""))-1)),""))))</f>
        <v>46440</v>
      </c>
      <c r="K47" s="27" t="str">
        <f aca="false">IF($G47&lt;&gt;"","계획 주차",IF($J47&lt;&gt;"","전년+1년 예측","미정"))</f>
        <v>계획 주차</v>
      </c>
      <c r="L47" s="31" t="n">
        <f aca="false">IF($J47="","",$J47-기준정보!$C$5)</f>
        <v>46350</v>
      </c>
      <c r="M47" s="32" t="n">
        <f aca="false">IF($L47="","",$L47-기준정보!$C$4)</f>
        <v>110</v>
      </c>
      <c r="N47" s="30"/>
      <c r="O47" s="19"/>
      <c r="P47" s="30"/>
      <c r="Q47" s="29" t="str">
        <f aca="false">IF($P47="CMT","본사(소재팀)",IF($P47="사입","생산처",""))</f>
        <v/>
      </c>
      <c r="R47" s="18"/>
      <c r="S47" s="18"/>
      <c r="T47" s="29" t="str">
        <f aca="false">IF($J47="","출고일 미정",IF($N47="X","작지 미등록",IF(AND($O47&lt;&gt;"",$O47&gt;$L47),"소재입고 마감("&amp;TEXT($L47,"MM/DD")&amp;") 초과",IF($N47="","작지 등록여부 확인 필요",IF($O47="","소재 입고일정 확인 필요","정상")))))</f>
        <v>작지 등록여부 확인 필요</v>
      </c>
      <c r="U47" s="27" t="str">
        <f aca="false">IF($J47="","",IF(OR($T47="작지 미등록",LEFT($T47,4)="소재입고"),IF(LEFT($E47,1)="S","★ 납기위험(S코드)","◆ 지연주의"),IF($T47="정상","✓ 정상","? 확인필요")))</f>
        <v>? 확인필요</v>
      </c>
      <c r="V47" s="30"/>
      <c r="W47" s="18"/>
    </row>
    <row r="48" customFormat="false" ht="15" hidden="false" customHeight="false" outlineLevel="0" collapsed="false">
      <c r="A48" s="27" t="n">
        <v>44</v>
      </c>
      <c r="B48" s="28" t="s">
        <v>200</v>
      </c>
      <c r="C48" s="29" t="s">
        <v>201</v>
      </c>
      <c r="D48" s="29"/>
      <c r="E48" s="27" t="str">
        <f aca="false">IF($C48="","",IF(MID($C48,5,1)="S","S(봄)",IF(MID($C48,5,1)="M","M(여름)",IF(MID($C48,5,1)="X","X(사계절)",MID($C48,5,1)))))</f>
        <v>M(여름)</v>
      </c>
      <c r="F48" s="29" t="s">
        <v>128</v>
      </c>
      <c r="G48" s="30" t="s">
        <v>196</v>
      </c>
      <c r="H48" s="27" t="str">
        <f aca="false">IF($C48="","",REPLACE($C48,6,2,"26"))</f>
        <v>TLSXM26521</v>
      </c>
      <c r="I48" s="31" t="str">
        <f aca="false">IFERROR(INDEX(전년출고참조!$B$4:$B$438,MATCH($H48,전년출고참조!$A$4:$A$438,0)),"")</f>
        <v/>
      </c>
      <c r="J48" s="31" t="n">
        <f aca="false">IF($G48&lt;&gt;"",IFERROR(DATE(IF(VALUE(LEFT($G48,FIND("월",$G48)-1))&gt;=9,기준정보!$C$6-1,기준정보!$C$6),VALUE(LEFT($G48,FIND("월",$G48)-1)),1+7*(VALUE(SUBSTITUTE(MID($G48,FIND("월",$G48)+1,5),"주",""))-1)),""),IF($I48="","",IF(ISNUMBER($I48),$I48+364,IFERROR(DATE(IF(VALUE(LEFT($I48,FIND("월",$I48)-1))&gt;=9,기준정보!$C$6-1,기준정보!$C$6),VALUE(LEFT($I48,FIND("월",$I48)-1)),1+7*(VALUE(SUBSTITUTE(MID($I48,FIND("월",$I48)+1,5),"주",""))-1)),""))))</f>
        <v>46440</v>
      </c>
      <c r="K48" s="27" t="str">
        <f aca="false">IF($G48&lt;&gt;"","계획 주차",IF($J48&lt;&gt;"","전년+1년 예측","미정"))</f>
        <v>계획 주차</v>
      </c>
      <c r="L48" s="31" t="n">
        <f aca="false">IF($J48="","",$J48-기준정보!$C$5)</f>
        <v>46350</v>
      </c>
      <c r="M48" s="32" t="n">
        <f aca="false">IF($L48="","",$L48-기준정보!$C$4)</f>
        <v>110</v>
      </c>
      <c r="N48" s="30"/>
      <c r="O48" s="19"/>
      <c r="P48" s="30"/>
      <c r="Q48" s="29" t="str">
        <f aca="false">IF($P48="CMT","본사(소재팀)",IF($P48="사입","생산처",""))</f>
        <v/>
      </c>
      <c r="R48" s="18"/>
      <c r="S48" s="18"/>
      <c r="T48" s="29" t="str">
        <f aca="false">IF($J48="","출고일 미정",IF($N48="X","작지 미등록",IF(AND($O48&lt;&gt;"",$O48&gt;$L48),"소재입고 마감("&amp;TEXT($L48,"MM/DD")&amp;") 초과",IF($N48="","작지 등록여부 확인 필요",IF($O48="","소재 입고일정 확인 필요","정상")))))</f>
        <v>작지 등록여부 확인 필요</v>
      </c>
      <c r="U48" s="27" t="str">
        <f aca="false">IF($J48="","",IF(OR($T48="작지 미등록",LEFT($T48,4)="소재입고"),IF(LEFT($E48,1)="S","★ 납기위험(S코드)","◆ 지연주의"),IF($T48="정상","✓ 정상","? 확인필요")))</f>
        <v>? 확인필요</v>
      </c>
      <c r="V48" s="30"/>
      <c r="W48" s="18"/>
    </row>
    <row r="49" customFormat="false" ht="15" hidden="false" customHeight="false" outlineLevel="0" collapsed="false">
      <c r="A49" s="27" t="n">
        <v>45</v>
      </c>
      <c r="B49" s="28" t="s">
        <v>114</v>
      </c>
      <c r="C49" s="29" t="s">
        <v>202</v>
      </c>
      <c r="D49" s="28" t="s">
        <v>203</v>
      </c>
      <c r="E49" s="27" t="str">
        <f aca="false">IF($C49="","",IF(MID($C49,5,1)="S","S(봄)",IF(MID($C49,5,1)="M","M(여름)",IF(MID($C49,5,1)="X","X(사계절)",MID($C49,5,1)))))</f>
        <v>M(여름)</v>
      </c>
      <c r="F49" s="29" t="s">
        <v>181</v>
      </c>
      <c r="G49" s="30" t="s">
        <v>204</v>
      </c>
      <c r="H49" s="27" t="str">
        <f aca="false">IF($C49="","",REPLACE($C49,6,2,"26"))</f>
        <v>JWJJM26141</v>
      </c>
      <c r="I49" s="31" t="str">
        <f aca="false">IFERROR(INDEX(전년출고참조!$B$4:$B$438,MATCH($H49,전년출고참조!$A$4:$A$438,0)),"")</f>
        <v/>
      </c>
      <c r="J49" s="31" t="n">
        <f aca="false">IF($G49&lt;&gt;"",IFERROR(DATE(IF(VALUE(LEFT($G49,FIND("월",$G49)-1))&gt;=9,기준정보!$C$6-1,기준정보!$C$6),VALUE(LEFT($G49,FIND("월",$G49)-1)),1+7*(VALUE(SUBSTITUTE(MID($G49,FIND("월",$G49)+1,5),"주",""))-1)),""),IF($I49="","",IF(ISNUMBER($I49),$I49+364,IFERROR(DATE(IF(VALUE(LEFT($I49,FIND("월",$I49)-1))&gt;=9,기준정보!$C$6-1,기준정보!$C$6),VALUE(LEFT($I49,FIND("월",$I49)-1)),1+7*(VALUE(SUBSTITUTE(MID($I49,FIND("월",$I49)+1,5),"주",""))-1)),""))))</f>
        <v>46447</v>
      </c>
      <c r="K49" s="27" t="str">
        <f aca="false">IF($G49&lt;&gt;"","계획 주차",IF($J49&lt;&gt;"","전년+1년 예측","미정"))</f>
        <v>계획 주차</v>
      </c>
      <c r="L49" s="31" t="n">
        <f aca="false">IF($J49="","",$J49-기준정보!$C$5)</f>
        <v>46357</v>
      </c>
      <c r="M49" s="32" t="n">
        <f aca="false">IF($L49="","",$L49-기준정보!$C$4)</f>
        <v>117</v>
      </c>
      <c r="N49" s="30"/>
      <c r="O49" s="19"/>
      <c r="P49" s="30"/>
      <c r="Q49" s="29" t="str">
        <f aca="false">IF($P49="CMT","본사(소재팀)",IF($P49="사입","생산처",""))</f>
        <v/>
      </c>
      <c r="R49" s="18"/>
      <c r="S49" s="18"/>
      <c r="T49" s="29" t="str">
        <f aca="false">IF($J49="","출고일 미정",IF($N49="X","작지 미등록",IF(AND($O49&lt;&gt;"",$O49&gt;$L49),"소재입고 마감("&amp;TEXT($L49,"MM/DD")&amp;") 초과",IF($N49="","작지 등록여부 확인 필요",IF($O49="","소재 입고일정 확인 필요","정상")))))</f>
        <v>작지 등록여부 확인 필요</v>
      </c>
      <c r="U49" s="27" t="str">
        <f aca="false">IF($J49="","",IF(OR($T49="작지 미등록",LEFT($T49,4)="소재입고"),IF(LEFT($E49,1)="S","★ 납기위험(S코드)","◆ 지연주의"),IF($T49="정상","✓ 정상","? 확인필요")))</f>
        <v>? 확인필요</v>
      </c>
      <c r="V49" s="30"/>
      <c r="W49" s="18"/>
    </row>
    <row r="50" customFormat="false" ht="15" hidden="false" customHeight="false" outlineLevel="0" collapsed="false">
      <c r="A50" s="27" t="n">
        <v>46</v>
      </c>
      <c r="B50" s="28" t="s">
        <v>114</v>
      </c>
      <c r="C50" s="29" t="s">
        <v>205</v>
      </c>
      <c r="D50" s="28" t="s">
        <v>206</v>
      </c>
      <c r="E50" s="27" t="str">
        <f aca="false">IF($C50="","",IF(MID($C50,5,1)="S","S(봄)",IF(MID($C50,5,1)="M","M(여름)",IF(MID($C50,5,1)="X","X(사계절)",MID($C50,5,1)))))</f>
        <v>M(여름)</v>
      </c>
      <c r="F50" s="29" t="s">
        <v>207</v>
      </c>
      <c r="G50" s="30" t="s">
        <v>204</v>
      </c>
      <c r="H50" s="27" t="str">
        <f aca="false">IF($C50="","",REPLACE($C50,6,2,"26"))</f>
        <v>JWJJM26171</v>
      </c>
      <c r="I50" s="31" t="str">
        <f aca="false">IFERROR(INDEX(전년출고참조!$B$4:$B$438,MATCH($H50,전년출고참조!$A$4:$A$438,0)),"")</f>
        <v/>
      </c>
      <c r="J50" s="31" t="n">
        <f aca="false">IF($G50&lt;&gt;"",IFERROR(DATE(IF(VALUE(LEFT($G50,FIND("월",$G50)-1))&gt;=9,기준정보!$C$6-1,기준정보!$C$6),VALUE(LEFT($G50,FIND("월",$G50)-1)),1+7*(VALUE(SUBSTITUTE(MID($G50,FIND("월",$G50)+1,5),"주",""))-1)),""),IF($I50="","",IF(ISNUMBER($I50),$I50+364,IFERROR(DATE(IF(VALUE(LEFT($I50,FIND("월",$I50)-1))&gt;=9,기준정보!$C$6-1,기준정보!$C$6),VALUE(LEFT($I50,FIND("월",$I50)-1)),1+7*(VALUE(SUBSTITUTE(MID($I50,FIND("월",$I50)+1,5),"주",""))-1)),""))))</f>
        <v>46447</v>
      </c>
      <c r="K50" s="27" t="str">
        <f aca="false">IF($G50&lt;&gt;"","계획 주차",IF($J50&lt;&gt;"","전년+1년 예측","미정"))</f>
        <v>계획 주차</v>
      </c>
      <c r="L50" s="31" t="n">
        <f aca="false">IF($J50="","",$J50-기준정보!$C$5)</f>
        <v>46357</v>
      </c>
      <c r="M50" s="32" t="n">
        <f aca="false">IF($L50="","",$L50-기준정보!$C$4)</f>
        <v>117</v>
      </c>
      <c r="N50" s="30"/>
      <c r="O50" s="19"/>
      <c r="P50" s="30"/>
      <c r="Q50" s="29" t="str">
        <f aca="false">IF($P50="CMT","본사(소재팀)",IF($P50="사입","생산처",""))</f>
        <v/>
      </c>
      <c r="R50" s="18"/>
      <c r="S50" s="18"/>
      <c r="T50" s="29" t="str">
        <f aca="false">IF($J50="","출고일 미정",IF($N50="X","작지 미등록",IF(AND($O50&lt;&gt;"",$O50&gt;$L50),"소재입고 마감("&amp;TEXT($L50,"MM/DD")&amp;") 초과",IF($N50="","작지 등록여부 확인 필요",IF($O50="","소재 입고일정 확인 필요","정상")))))</f>
        <v>작지 등록여부 확인 필요</v>
      </c>
      <c r="U50" s="27" t="str">
        <f aca="false">IF($J50="","",IF(OR($T50="작지 미등록",LEFT($T50,4)="소재입고"),IF(LEFT($E50,1)="S","★ 납기위험(S코드)","◆ 지연주의"),IF($T50="정상","✓ 정상","? 확인필요")))</f>
        <v>? 확인필요</v>
      </c>
      <c r="V50" s="30"/>
      <c r="W50" s="18"/>
    </row>
    <row r="51" customFormat="false" ht="15" hidden="false" customHeight="false" outlineLevel="0" collapsed="false">
      <c r="A51" s="27" t="n">
        <v>47</v>
      </c>
      <c r="B51" s="28" t="s">
        <v>125</v>
      </c>
      <c r="C51" s="29" t="s">
        <v>208</v>
      </c>
      <c r="D51" s="28" t="s">
        <v>209</v>
      </c>
      <c r="E51" s="27" t="str">
        <f aca="false">IF($C51="","",IF(MID($C51,5,1)="S","S(봄)",IF(MID($C51,5,1)="M","M(여름)",IF(MID($C51,5,1)="X","X(사계절)",MID($C51,5,1)))))</f>
        <v>M(여름)</v>
      </c>
      <c r="F51" s="29" t="s">
        <v>210</v>
      </c>
      <c r="G51" s="30" t="s">
        <v>204</v>
      </c>
      <c r="H51" s="27" t="str">
        <f aca="false">IF($C51="","",REPLACE($C51,6,2,"26"))</f>
        <v>TLJJM26501</v>
      </c>
      <c r="I51" s="31" t="str">
        <f aca="false">IFERROR(INDEX(전년출고참조!$B$4:$B$438,MATCH($H51,전년출고참조!$A$4:$A$438,0)),"")</f>
        <v/>
      </c>
      <c r="J51" s="31" t="n">
        <f aca="false">IF($G51&lt;&gt;"",IFERROR(DATE(IF(VALUE(LEFT($G51,FIND("월",$G51)-1))&gt;=9,기준정보!$C$6-1,기준정보!$C$6),VALUE(LEFT($G51,FIND("월",$G51)-1)),1+7*(VALUE(SUBSTITUTE(MID($G51,FIND("월",$G51)+1,5),"주",""))-1)),""),IF($I51="","",IF(ISNUMBER($I51),$I51+364,IFERROR(DATE(IF(VALUE(LEFT($I51,FIND("월",$I51)-1))&gt;=9,기준정보!$C$6-1,기준정보!$C$6),VALUE(LEFT($I51,FIND("월",$I51)-1)),1+7*(VALUE(SUBSTITUTE(MID($I51,FIND("월",$I51)+1,5),"주",""))-1)),""))))</f>
        <v>46447</v>
      </c>
      <c r="K51" s="27" t="str">
        <f aca="false">IF($G51&lt;&gt;"","계획 주차",IF($J51&lt;&gt;"","전년+1년 예측","미정"))</f>
        <v>계획 주차</v>
      </c>
      <c r="L51" s="31" t="n">
        <f aca="false">IF($J51="","",$J51-기준정보!$C$5)</f>
        <v>46357</v>
      </c>
      <c r="M51" s="32" t="n">
        <f aca="false">IF($L51="","",$L51-기준정보!$C$4)</f>
        <v>117</v>
      </c>
      <c r="N51" s="30"/>
      <c r="O51" s="19"/>
      <c r="P51" s="30"/>
      <c r="Q51" s="29" t="str">
        <f aca="false">IF($P51="CMT","본사(소재팀)",IF($P51="사입","생산처",""))</f>
        <v/>
      </c>
      <c r="R51" s="18"/>
      <c r="S51" s="18"/>
      <c r="T51" s="29" t="str">
        <f aca="false">IF($J51="","출고일 미정",IF($N51="X","작지 미등록",IF(AND($O51&lt;&gt;"",$O51&gt;$L51),"소재입고 마감("&amp;TEXT($L51,"MM/DD")&amp;") 초과",IF($N51="","작지 등록여부 확인 필요",IF($O51="","소재 입고일정 확인 필요","정상")))))</f>
        <v>작지 등록여부 확인 필요</v>
      </c>
      <c r="U51" s="27" t="str">
        <f aca="false">IF($J51="","",IF(OR($T51="작지 미등록",LEFT($T51,4)="소재입고"),IF(LEFT($E51,1)="S","★ 납기위험(S코드)","◆ 지연주의"),IF($T51="정상","✓ 정상","? 확인필요")))</f>
        <v>? 확인필요</v>
      </c>
      <c r="V51" s="30"/>
      <c r="W51" s="18"/>
    </row>
    <row r="52" customFormat="false" ht="15" hidden="false" customHeight="false" outlineLevel="0" collapsed="false">
      <c r="A52" s="27" t="n">
        <v>48</v>
      </c>
      <c r="B52" s="28" t="s">
        <v>125</v>
      </c>
      <c r="C52" s="29" t="s">
        <v>211</v>
      </c>
      <c r="D52" s="28" t="s">
        <v>212</v>
      </c>
      <c r="E52" s="27" t="str">
        <f aca="false">IF($C52="","",IF(MID($C52,5,1)="S","S(봄)",IF(MID($C52,5,1)="M","M(여름)",IF(MID($C52,5,1)="X","X(사계절)",MID($C52,5,1)))))</f>
        <v>M(여름)</v>
      </c>
      <c r="F52" s="28" t="s">
        <v>133</v>
      </c>
      <c r="G52" s="30" t="s">
        <v>204</v>
      </c>
      <c r="H52" s="27" t="str">
        <f aca="false">IF($C52="","",REPLACE($C52,6,2,"26"))</f>
        <v>TLJJM26511</v>
      </c>
      <c r="I52" s="31" t="str">
        <f aca="false">IFERROR(INDEX(전년출고참조!$B$4:$B$438,MATCH($H52,전년출고참조!$A$4:$A$438,0)),"")</f>
        <v/>
      </c>
      <c r="J52" s="31" t="n">
        <f aca="false">IF($G52&lt;&gt;"",IFERROR(DATE(IF(VALUE(LEFT($G52,FIND("월",$G52)-1))&gt;=9,기준정보!$C$6-1,기준정보!$C$6),VALUE(LEFT($G52,FIND("월",$G52)-1)),1+7*(VALUE(SUBSTITUTE(MID($G52,FIND("월",$G52)+1,5),"주",""))-1)),""),IF($I52="","",IF(ISNUMBER($I52),$I52+364,IFERROR(DATE(IF(VALUE(LEFT($I52,FIND("월",$I52)-1))&gt;=9,기준정보!$C$6-1,기준정보!$C$6),VALUE(LEFT($I52,FIND("월",$I52)-1)),1+7*(VALUE(SUBSTITUTE(MID($I52,FIND("월",$I52)+1,5),"주",""))-1)),""))))</f>
        <v>46447</v>
      </c>
      <c r="K52" s="27" t="str">
        <f aca="false">IF($G52&lt;&gt;"","계획 주차",IF($J52&lt;&gt;"","전년+1년 예측","미정"))</f>
        <v>계획 주차</v>
      </c>
      <c r="L52" s="31" t="n">
        <f aca="false">IF($J52="","",$J52-기준정보!$C$5)</f>
        <v>46357</v>
      </c>
      <c r="M52" s="32" t="n">
        <f aca="false">IF($L52="","",$L52-기준정보!$C$4)</f>
        <v>117</v>
      </c>
      <c r="N52" s="30"/>
      <c r="O52" s="19"/>
      <c r="P52" s="30"/>
      <c r="Q52" s="29" t="str">
        <f aca="false">IF($P52="CMT","본사(소재팀)",IF($P52="사입","생산처",""))</f>
        <v/>
      </c>
      <c r="R52" s="18"/>
      <c r="S52" s="18"/>
      <c r="T52" s="29" t="str">
        <f aca="false">IF($J52="","출고일 미정",IF($N52="X","작지 미등록",IF(AND($O52&lt;&gt;"",$O52&gt;$L52),"소재입고 마감("&amp;TEXT($L52,"MM/DD")&amp;") 초과",IF($N52="","작지 등록여부 확인 필요",IF($O52="","소재 입고일정 확인 필요","정상")))))</f>
        <v>작지 등록여부 확인 필요</v>
      </c>
      <c r="U52" s="27" t="str">
        <f aca="false">IF($J52="","",IF(OR($T52="작지 미등록",LEFT($T52,4)="소재입고"),IF(LEFT($E52,1)="S","★ 납기위험(S코드)","◆ 지연주의"),IF($T52="정상","✓ 정상","? 확인필요")))</f>
        <v>? 확인필요</v>
      </c>
      <c r="V52" s="30"/>
      <c r="W52" s="18"/>
    </row>
    <row r="53" customFormat="false" ht="15" hidden="false" customHeight="false" outlineLevel="0" collapsed="false">
      <c r="A53" s="27" t="n">
        <v>49</v>
      </c>
      <c r="B53" s="28" t="s">
        <v>213</v>
      </c>
      <c r="C53" s="29" t="s">
        <v>214</v>
      </c>
      <c r="D53" s="29"/>
      <c r="E53" s="27" t="str">
        <f aca="false">IF($C53="","",IF(MID($C53,5,1)="S","S(봄)",IF(MID($C53,5,1)="M","M(여름)",IF(MID($C53,5,1)="X","X(사계절)",MID($C53,5,1)))))</f>
        <v>M(여름)</v>
      </c>
      <c r="F53" s="29" t="s">
        <v>215</v>
      </c>
      <c r="G53" s="30" t="s">
        <v>204</v>
      </c>
      <c r="H53" s="27" t="str">
        <f aca="false">IF($C53="","",REPLACE($C53,6,2,"26"))</f>
        <v>TLJJM26701</v>
      </c>
      <c r="I53" s="31" t="str">
        <f aca="false">IFERROR(INDEX(전년출고참조!$B$4:$B$438,MATCH($H53,전년출고참조!$A$4:$A$438,0)),"")</f>
        <v/>
      </c>
      <c r="J53" s="31" t="n">
        <f aca="false">IF($G53&lt;&gt;"",IFERROR(DATE(IF(VALUE(LEFT($G53,FIND("월",$G53)-1))&gt;=9,기준정보!$C$6-1,기준정보!$C$6),VALUE(LEFT($G53,FIND("월",$G53)-1)),1+7*(VALUE(SUBSTITUTE(MID($G53,FIND("월",$G53)+1,5),"주",""))-1)),""),IF($I53="","",IF(ISNUMBER($I53),$I53+364,IFERROR(DATE(IF(VALUE(LEFT($I53,FIND("월",$I53)-1))&gt;=9,기준정보!$C$6-1,기준정보!$C$6),VALUE(LEFT($I53,FIND("월",$I53)-1)),1+7*(VALUE(SUBSTITUTE(MID($I53,FIND("월",$I53)+1,5),"주",""))-1)),""))))</f>
        <v>46447</v>
      </c>
      <c r="K53" s="27" t="str">
        <f aca="false">IF($G53&lt;&gt;"","계획 주차",IF($J53&lt;&gt;"","전년+1년 예측","미정"))</f>
        <v>계획 주차</v>
      </c>
      <c r="L53" s="31" t="n">
        <f aca="false">IF($J53="","",$J53-기준정보!$C$5)</f>
        <v>46357</v>
      </c>
      <c r="M53" s="32" t="n">
        <f aca="false">IF($L53="","",$L53-기준정보!$C$4)</f>
        <v>117</v>
      </c>
      <c r="N53" s="30"/>
      <c r="O53" s="19"/>
      <c r="P53" s="30"/>
      <c r="Q53" s="29" t="str">
        <f aca="false">IF($P53="CMT","본사(소재팀)",IF($P53="사입","생산처",""))</f>
        <v/>
      </c>
      <c r="R53" s="18"/>
      <c r="S53" s="18"/>
      <c r="T53" s="29" t="str">
        <f aca="false">IF($J53="","출고일 미정",IF($N53="X","작지 미등록",IF(AND($O53&lt;&gt;"",$O53&gt;$L53),"소재입고 마감("&amp;TEXT($L53,"MM/DD")&amp;") 초과",IF($N53="","작지 등록여부 확인 필요",IF($O53="","소재 입고일정 확인 필요","정상")))))</f>
        <v>작지 등록여부 확인 필요</v>
      </c>
      <c r="U53" s="27" t="str">
        <f aca="false">IF($J53="","",IF(OR($T53="작지 미등록",LEFT($T53,4)="소재입고"),IF(LEFT($E53,1)="S","★ 납기위험(S코드)","◆ 지연주의"),IF($T53="정상","✓ 정상","? 확인필요")))</f>
        <v>? 확인필요</v>
      </c>
      <c r="V53" s="30"/>
      <c r="W53" s="18"/>
    </row>
    <row r="54" customFormat="false" ht="15" hidden="false" customHeight="false" outlineLevel="0" collapsed="false">
      <c r="A54" s="27" t="n">
        <v>50</v>
      </c>
      <c r="B54" s="28" t="s">
        <v>213</v>
      </c>
      <c r="C54" s="29" t="s">
        <v>216</v>
      </c>
      <c r="D54" s="29"/>
      <c r="E54" s="27" t="str">
        <f aca="false">IF($C54="","",IF(MID($C54,5,1)="S","S(봄)",IF(MID($C54,5,1)="M","M(여름)",IF(MID($C54,5,1)="X","X(사계절)",MID($C54,5,1)))))</f>
        <v>M(여름)</v>
      </c>
      <c r="F54" s="29" t="s">
        <v>215</v>
      </c>
      <c r="G54" s="30" t="s">
        <v>204</v>
      </c>
      <c r="H54" s="27" t="str">
        <f aca="false">IF($C54="","",REPLACE($C54,6,2,"26"))</f>
        <v>TLJJM26703</v>
      </c>
      <c r="I54" s="31" t="str">
        <f aca="false">IFERROR(INDEX(전년출고참조!$B$4:$B$438,MATCH($H54,전년출고참조!$A$4:$A$438,0)),"")</f>
        <v/>
      </c>
      <c r="J54" s="31" t="n">
        <f aca="false">IF($G54&lt;&gt;"",IFERROR(DATE(IF(VALUE(LEFT($G54,FIND("월",$G54)-1))&gt;=9,기준정보!$C$6-1,기준정보!$C$6),VALUE(LEFT($G54,FIND("월",$G54)-1)),1+7*(VALUE(SUBSTITUTE(MID($G54,FIND("월",$G54)+1,5),"주",""))-1)),""),IF($I54="","",IF(ISNUMBER($I54),$I54+364,IFERROR(DATE(IF(VALUE(LEFT($I54,FIND("월",$I54)-1))&gt;=9,기준정보!$C$6-1,기준정보!$C$6),VALUE(LEFT($I54,FIND("월",$I54)-1)),1+7*(VALUE(SUBSTITUTE(MID($I54,FIND("월",$I54)+1,5),"주",""))-1)),""))))</f>
        <v>46447</v>
      </c>
      <c r="K54" s="27" t="str">
        <f aca="false">IF($G54&lt;&gt;"","계획 주차",IF($J54&lt;&gt;"","전년+1년 예측","미정"))</f>
        <v>계획 주차</v>
      </c>
      <c r="L54" s="31" t="n">
        <f aca="false">IF($J54="","",$J54-기준정보!$C$5)</f>
        <v>46357</v>
      </c>
      <c r="M54" s="32" t="n">
        <f aca="false">IF($L54="","",$L54-기준정보!$C$4)</f>
        <v>117</v>
      </c>
      <c r="N54" s="30"/>
      <c r="O54" s="19"/>
      <c r="P54" s="30"/>
      <c r="Q54" s="29" t="str">
        <f aca="false">IF($P54="CMT","본사(소재팀)",IF($P54="사입","생산처",""))</f>
        <v/>
      </c>
      <c r="R54" s="18"/>
      <c r="S54" s="18"/>
      <c r="T54" s="29" t="str">
        <f aca="false">IF($J54="","출고일 미정",IF($N54="X","작지 미등록",IF(AND($O54&lt;&gt;"",$O54&gt;$L54),"소재입고 마감("&amp;TEXT($L54,"MM/DD")&amp;") 초과",IF($N54="","작지 등록여부 확인 필요",IF($O54="","소재 입고일정 확인 필요","정상")))))</f>
        <v>작지 등록여부 확인 필요</v>
      </c>
      <c r="U54" s="27" t="str">
        <f aca="false">IF($J54="","",IF(OR($T54="작지 미등록",LEFT($T54,4)="소재입고"),IF(LEFT($E54,1)="S","★ 납기위험(S코드)","◆ 지연주의"),IF($T54="정상","✓ 정상","? 확인필요")))</f>
        <v>? 확인필요</v>
      </c>
      <c r="V54" s="30"/>
      <c r="W54" s="18"/>
    </row>
    <row r="55" customFormat="false" ht="15" hidden="false" customHeight="false" outlineLevel="0" collapsed="false">
      <c r="A55" s="27" t="n">
        <v>51</v>
      </c>
      <c r="B55" s="28" t="s">
        <v>125</v>
      </c>
      <c r="C55" s="29" t="s">
        <v>217</v>
      </c>
      <c r="D55" s="28" t="s">
        <v>218</v>
      </c>
      <c r="E55" s="27" t="str">
        <f aca="false">IF($C55="","",IF(MID($C55,5,1)="S","S(봄)",IF(MID($C55,5,1)="M","M(여름)",IF(MID($C55,5,1)="X","X(사계절)",MID($C55,5,1)))))</f>
        <v>M(여름)</v>
      </c>
      <c r="F55" s="29" t="s">
        <v>210</v>
      </c>
      <c r="G55" s="30" t="s">
        <v>204</v>
      </c>
      <c r="H55" s="27" t="str">
        <f aca="false">IF($C55="","",REPLACE($C55,6,2,"26"))</f>
        <v>TVPNM26502</v>
      </c>
      <c r="I55" s="31" t="str">
        <f aca="false">IFERROR(INDEX(전년출고참조!$B$4:$B$438,MATCH($H55,전년출고참조!$A$4:$A$438,0)),"")</f>
        <v/>
      </c>
      <c r="J55" s="31" t="n">
        <f aca="false">IF($G55&lt;&gt;"",IFERROR(DATE(IF(VALUE(LEFT($G55,FIND("월",$G55)-1))&gt;=9,기준정보!$C$6-1,기준정보!$C$6),VALUE(LEFT($G55,FIND("월",$G55)-1)),1+7*(VALUE(SUBSTITUTE(MID($G55,FIND("월",$G55)+1,5),"주",""))-1)),""),IF($I55="","",IF(ISNUMBER($I55),$I55+364,IFERROR(DATE(IF(VALUE(LEFT($I55,FIND("월",$I55)-1))&gt;=9,기준정보!$C$6-1,기준정보!$C$6),VALUE(LEFT($I55,FIND("월",$I55)-1)),1+7*(VALUE(SUBSTITUTE(MID($I55,FIND("월",$I55)+1,5),"주",""))-1)),""))))</f>
        <v>46447</v>
      </c>
      <c r="K55" s="27" t="str">
        <f aca="false">IF($G55&lt;&gt;"","계획 주차",IF($J55&lt;&gt;"","전년+1년 예측","미정"))</f>
        <v>계획 주차</v>
      </c>
      <c r="L55" s="31" t="n">
        <f aca="false">IF($J55="","",$J55-기준정보!$C$5)</f>
        <v>46357</v>
      </c>
      <c r="M55" s="32" t="n">
        <f aca="false">IF($L55="","",$L55-기준정보!$C$4)</f>
        <v>117</v>
      </c>
      <c r="N55" s="30"/>
      <c r="O55" s="19"/>
      <c r="P55" s="30"/>
      <c r="Q55" s="29" t="str">
        <f aca="false">IF($P55="CMT","본사(소재팀)",IF($P55="사입","생산처",""))</f>
        <v/>
      </c>
      <c r="R55" s="18"/>
      <c r="S55" s="18"/>
      <c r="T55" s="29" t="str">
        <f aca="false">IF($J55="","출고일 미정",IF($N55="X","작지 미등록",IF(AND($O55&lt;&gt;"",$O55&gt;$L55),"소재입고 마감("&amp;TEXT($L55,"MM/DD")&amp;") 초과",IF($N55="","작지 등록여부 확인 필요",IF($O55="","소재 입고일정 확인 필요","정상")))))</f>
        <v>작지 등록여부 확인 필요</v>
      </c>
      <c r="U55" s="27" t="str">
        <f aca="false">IF($J55="","",IF(OR($T55="작지 미등록",LEFT($T55,4)="소재입고"),IF(LEFT($E55,1)="S","★ 납기위험(S코드)","◆ 지연주의"),IF($T55="정상","✓ 정상","? 확인필요")))</f>
        <v>? 확인필요</v>
      </c>
      <c r="V55" s="30"/>
      <c r="W55" s="18"/>
    </row>
    <row r="56" customFormat="false" ht="15" hidden="false" customHeight="false" outlineLevel="0" collapsed="false">
      <c r="A56" s="27" t="n">
        <v>52</v>
      </c>
      <c r="B56" s="28" t="s">
        <v>125</v>
      </c>
      <c r="C56" s="29" t="s">
        <v>219</v>
      </c>
      <c r="D56" s="28" t="s">
        <v>220</v>
      </c>
      <c r="E56" s="27" t="str">
        <f aca="false">IF($C56="","",IF(MID($C56,5,1)="S","S(봄)",IF(MID($C56,5,1)="M","M(여름)",IF(MID($C56,5,1)="X","X(사계절)",MID($C56,5,1)))))</f>
        <v>M(여름)</v>
      </c>
      <c r="F56" s="29" t="s">
        <v>210</v>
      </c>
      <c r="G56" s="30" t="s">
        <v>204</v>
      </c>
      <c r="H56" s="27" t="str">
        <f aca="false">IF($C56="","",REPLACE($C56,6,2,"26"))</f>
        <v>TVPNM26522</v>
      </c>
      <c r="I56" s="31" t="str">
        <f aca="false">IFERROR(INDEX(전년출고참조!$B$4:$B$438,MATCH($H56,전년출고참조!$A$4:$A$438,0)),"")</f>
        <v/>
      </c>
      <c r="J56" s="31" t="n">
        <f aca="false">IF($G56&lt;&gt;"",IFERROR(DATE(IF(VALUE(LEFT($G56,FIND("월",$G56)-1))&gt;=9,기준정보!$C$6-1,기준정보!$C$6),VALUE(LEFT($G56,FIND("월",$G56)-1)),1+7*(VALUE(SUBSTITUTE(MID($G56,FIND("월",$G56)+1,5),"주",""))-1)),""),IF($I56="","",IF(ISNUMBER($I56),$I56+364,IFERROR(DATE(IF(VALUE(LEFT($I56,FIND("월",$I56)-1))&gt;=9,기준정보!$C$6-1,기준정보!$C$6),VALUE(LEFT($I56,FIND("월",$I56)-1)),1+7*(VALUE(SUBSTITUTE(MID($I56,FIND("월",$I56)+1,5),"주",""))-1)),""))))</f>
        <v>46447</v>
      </c>
      <c r="K56" s="27" t="str">
        <f aca="false">IF($G56&lt;&gt;"","계획 주차",IF($J56&lt;&gt;"","전년+1년 예측","미정"))</f>
        <v>계획 주차</v>
      </c>
      <c r="L56" s="31" t="n">
        <f aca="false">IF($J56="","",$J56-기준정보!$C$5)</f>
        <v>46357</v>
      </c>
      <c r="M56" s="32" t="n">
        <f aca="false">IF($L56="","",$L56-기준정보!$C$4)</f>
        <v>117</v>
      </c>
      <c r="N56" s="30"/>
      <c r="O56" s="19"/>
      <c r="P56" s="30"/>
      <c r="Q56" s="29" t="str">
        <f aca="false">IF($P56="CMT","본사(소재팀)",IF($P56="사입","생산처",""))</f>
        <v/>
      </c>
      <c r="R56" s="18"/>
      <c r="S56" s="18"/>
      <c r="T56" s="29" t="str">
        <f aca="false">IF($J56="","출고일 미정",IF($N56="X","작지 미등록",IF(AND($O56&lt;&gt;"",$O56&gt;$L56),"소재입고 마감("&amp;TEXT($L56,"MM/DD")&amp;") 초과",IF($N56="","작지 등록여부 확인 필요",IF($O56="","소재 입고일정 확인 필요","정상")))))</f>
        <v>작지 등록여부 확인 필요</v>
      </c>
      <c r="U56" s="27" t="str">
        <f aca="false">IF($J56="","",IF(OR($T56="작지 미등록",LEFT($T56,4)="소재입고"),IF(LEFT($E56,1)="S","★ 납기위험(S코드)","◆ 지연주의"),IF($T56="정상","✓ 정상","? 확인필요")))</f>
        <v>? 확인필요</v>
      </c>
      <c r="V56" s="30"/>
      <c r="W56" s="18"/>
    </row>
    <row r="57" customFormat="false" ht="15" hidden="false" customHeight="false" outlineLevel="0" collapsed="false">
      <c r="A57" s="27" t="n">
        <v>53</v>
      </c>
      <c r="B57" s="28" t="s">
        <v>125</v>
      </c>
      <c r="C57" s="29" t="s">
        <v>221</v>
      </c>
      <c r="D57" s="28" t="s">
        <v>222</v>
      </c>
      <c r="E57" s="27" t="str">
        <f aca="false">IF($C57="","",IF(MID($C57,5,1)="S","S(봄)",IF(MID($C57,5,1)="M","M(여름)",IF(MID($C57,5,1)="X","X(사계절)",MID($C57,5,1)))))</f>
        <v>M(여름)</v>
      </c>
      <c r="F57" s="29" t="s">
        <v>223</v>
      </c>
      <c r="G57" s="30" t="s">
        <v>204</v>
      </c>
      <c r="H57" s="27" t="str">
        <f aca="false">IF($C57="","",REPLACE($C57,6,2,"26"))</f>
        <v>TVPNM26532</v>
      </c>
      <c r="I57" s="31" t="str">
        <f aca="false">IFERROR(INDEX(전년출고참조!$B$4:$B$438,MATCH($H57,전년출고참조!$A$4:$A$438,0)),"")</f>
        <v/>
      </c>
      <c r="J57" s="31" t="n">
        <f aca="false">IF($G57&lt;&gt;"",IFERROR(DATE(IF(VALUE(LEFT($G57,FIND("월",$G57)-1))&gt;=9,기준정보!$C$6-1,기준정보!$C$6),VALUE(LEFT($G57,FIND("월",$G57)-1)),1+7*(VALUE(SUBSTITUTE(MID($G57,FIND("월",$G57)+1,5),"주",""))-1)),""),IF($I57="","",IF(ISNUMBER($I57),$I57+364,IFERROR(DATE(IF(VALUE(LEFT($I57,FIND("월",$I57)-1))&gt;=9,기준정보!$C$6-1,기준정보!$C$6),VALUE(LEFT($I57,FIND("월",$I57)-1)),1+7*(VALUE(SUBSTITUTE(MID($I57,FIND("월",$I57)+1,5),"주",""))-1)),""))))</f>
        <v>46447</v>
      </c>
      <c r="K57" s="27" t="str">
        <f aca="false">IF($G57&lt;&gt;"","계획 주차",IF($J57&lt;&gt;"","전년+1년 예측","미정"))</f>
        <v>계획 주차</v>
      </c>
      <c r="L57" s="31" t="n">
        <f aca="false">IF($J57="","",$J57-기준정보!$C$5)</f>
        <v>46357</v>
      </c>
      <c r="M57" s="32" t="n">
        <f aca="false">IF($L57="","",$L57-기준정보!$C$4)</f>
        <v>117</v>
      </c>
      <c r="N57" s="30"/>
      <c r="O57" s="19"/>
      <c r="P57" s="30"/>
      <c r="Q57" s="29" t="str">
        <f aca="false">IF($P57="CMT","본사(소재팀)",IF($P57="사입","생산처",""))</f>
        <v/>
      </c>
      <c r="R57" s="18"/>
      <c r="S57" s="18"/>
      <c r="T57" s="29" t="str">
        <f aca="false">IF($J57="","출고일 미정",IF($N57="X","작지 미등록",IF(AND($O57&lt;&gt;"",$O57&gt;$L57),"소재입고 마감("&amp;TEXT($L57,"MM/DD")&amp;") 초과",IF($N57="","작지 등록여부 확인 필요",IF($O57="","소재 입고일정 확인 필요","정상")))))</f>
        <v>작지 등록여부 확인 필요</v>
      </c>
      <c r="U57" s="27" t="str">
        <f aca="false">IF($J57="","",IF(OR($T57="작지 미등록",LEFT($T57,4)="소재입고"),IF(LEFT($E57,1)="S","★ 납기위험(S코드)","◆ 지연주의"),IF($T57="정상","✓ 정상","? 확인필요")))</f>
        <v>? 확인필요</v>
      </c>
      <c r="V57" s="30"/>
      <c r="W57" s="18"/>
    </row>
    <row r="58" customFormat="false" ht="15" hidden="false" customHeight="false" outlineLevel="0" collapsed="false">
      <c r="A58" s="27" t="n">
        <v>54</v>
      </c>
      <c r="B58" s="28" t="s">
        <v>125</v>
      </c>
      <c r="C58" s="29" t="s">
        <v>224</v>
      </c>
      <c r="D58" s="28" t="s">
        <v>225</v>
      </c>
      <c r="E58" s="27" t="str">
        <f aca="false">IF($C58="","",IF(MID($C58,5,1)="S","S(봄)",IF(MID($C58,5,1)="M","M(여름)",IF(MID($C58,5,1)="X","X(사계절)",MID($C58,5,1)))))</f>
        <v>M(여름)</v>
      </c>
      <c r="F58" s="28" t="s">
        <v>133</v>
      </c>
      <c r="G58" s="30" t="s">
        <v>204</v>
      </c>
      <c r="H58" s="27" t="str">
        <f aca="false">IF($C58="","",REPLACE($C58,6,2,"26"))</f>
        <v>TVPNM26904</v>
      </c>
      <c r="I58" s="31" t="str">
        <f aca="false">IFERROR(INDEX(전년출고참조!$B$4:$B$438,MATCH($H58,전년출고참조!$A$4:$A$438,0)),"")</f>
        <v/>
      </c>
      <c r="J58" s="31" t="n">
        <f aca="false">IF($G58&lt;&gt;"",IFERROR(DATE(IF(VALUE(LEFT($G58,FIND("월",$G58)-1))&gt;=9,기준정보!$C$6-1,기준정보!$C$6),VALUE(LEFT($G58,FIND("월",$G58)-1)),1+7*(VALUE(SUBSTITUTE(MID($G58,FIND("월",$G58)+1,5),"주",""))-1)),""),IF($I58="","",IF(ISNUMBER($I58),$I58+364,IFERROR(DATE(IF(VALUE(LEFT($I58,FIND("월",$I58)-1))&gt;=9,기준정보!$C$6-1,기준정보!$C$6),VALUE(LEFT($I58,FIND("월",$I58)-1)),1+7*(VALUE(SUBSTITUTE(MID($I58,FIND("월",$I58)+1,5),"주",""))-1)),""))))</f>
        <v>46447</v>
      </c>
      <c r="K58" s="27" t="str">
        <f aca="false">IF($G58&lt;&gt;"","계획 주차",IF($J58&lt;&gt;"","전년+1년 예측","미정"))</f>
        <v>계획 주차</v>
      </c>
      <c r="L58" s="31" t="n">
        <f aca="false">IF($J58="","",$J58-기준정보!$C$5)</f>
        <v>46357</v>
      </c>
      <c r="M58" s="32" t="n">
        <f aca="false">IF($L58="","",$L58-기준정보!$C$4)</f>
        <v>117</v>
      </c>
      <c r="N58" s="30"/>
      <c r="O58" s="19"/>
      <c r="P58" s="30"/>
      <c r="Q58" s="29" t="str">
        <f aca="false">IF($P58="CMT","본사(소재팀)",IF($P58="사입","생산처",""))</f>
        <v/>
      </c>
      <c r="R58" s="18"/>
      <c r="S58" s="18"/>
      <c r="T58" s="29" t="str">
        <f aca="false">IF($J58="","출고일 미정",IF($N58="X","작지 미등록",IF(AND($O58&lt;&gt;"",$O58&gt;$L58),"소재입고 마감("&amp;TEXT($L58,"MM/DD")&amp;") 초과",IF($N58="","작지 등록여부 확인 필요",IF($O58="","소재 입고일정 확인 필요","정상")))))</f>
        <v>작지 등록여부 확인 필요</v>
      </c>
      <c r="U58" s="27" t="str">
        <f aca="false">IF($J58="","",IF(OR($T58="작지 미등록",LEFT($T58,4)="소재입고"),IF(LEFT($E58,1)="S","★ 납기위험(S코드)","◆ 지연주의"),IF($T58="정상","✓ 정상","? 확인필요")))</f>
        <v>? 확인필요</v>
      </c>
      <c r="V58" s="30"/>
      <c r="W58" s="18"/>
    </row>
    <row r="59" customFormat="false" ht="15" hidden="false" customHeight="false" outlineLevel="0" collapsed="false">
      <c r="A59" s="27" t="n">
        <v>55</v>
      </c>
      <c r="B59" s="28" t="s">
        <v>114</v>
      </c>
      <c r="C59" s="29" t="s">
        <v>226</v>
      </c>
      <c r="D59" s="28" t="s">
        <v>227</v>
      </c>
      <c r="E59" s="27" t="str">
        <f aca="false">IF($C59="","",IF(MID($C59,5,1)="S","S(봄)",IF(MID($C59,5,1)="M","M(여름)",IF(MID($C59,5,1)="X","X(사계절)",MID($C59,5,1)))))</f>
        <v>M(여름)</v>
      </c>
      <c r="F59" s="29" t="s">
        <v>181</v>
      </c>
      <c r="G59" s="30" t="s">
        <v>228</v>
      </c>
      <c r="H59" s="27" t="str">
        <f aca="false">IF($C59="","",REPLACE($C59,6,2,"26"))</f>
        <v>JWJJM26151</v>
      </c>
      <c r="I59" s="31" t="str">
        <f aca="false">IFERROR(INDEX(전년출고참조!$B$4:$B$438,MATCH($H59,전년출고참조!$A$4:$A$438,0)),"")</f>
        <v/>
      </c>
      <c r="J59" s="31" t="n">
        <f aca="false">IF($G59&lt;&gt;"",IFERROR(DATE(IF(VALUE(LEFT($G59,FIND("월",$G59)-1))&gt;=9,기준정보!$C$6-1,기준정보!$C$6),VALUE(LEFT($G59,FIND("월",$G59)-1)),1+7*(VALUE(SUBSTITUTE(MID($G59,FIND("월",$G59)+1,5),"주",""))-1)),""),IF($I59="","",IF(ISNUMBER($I59),$I59+364,IFERROR(DATE(IF(VALUE(LEFT($I59,FIND("월",$I59)-1))&gt;=9,기준정보!$C$6-1,기준정보!$C$6),VALUE(LEFT($I59,FIND("월",$I59)-1)),1+7*(VALUE(SUBSTITUTE(MID($I59,FIND("월",$I59)+1,5),"주",""))-1)),""))))</f>
        <v>46454</v>
      </c>
      <c r="K59" s="27" t="str">
        <f aca="false">IF($G59&lt;&gt;"","계획 주차",IF($J59&lt;&gt;"","전년+1년 예측","미정"))</f>
        <v>계획 주차</v>
      </c>
      <c r="L59" s="31" t="n">
        <f aca="false">IF($J59="","",$J59-기준정보!$C$5)</f>
        <v>46364</v>
      </c>
      <c r="M59" s="32" t="n">
        <f aca="false">IF($L59="","",$L59-기준정보!$C$4)</f>
        <v>124</v>
      </c>
      <c r="N59" s="30"/>
      <c r="O59" s="19"/>
      <c r="P59" s="30"/>
      <c r="Q59" s="29" t="str">
        <f aca="false">IF($P59="CMT","본사(소재팀)",IF($P59="사입","생산처",""))</f>
        <v/>
      </c>
      <c r="R59" s="18"/>
      <c r="S59" s="18"/>
      <c r="T59" s="29" t="str">
        <f aca="false">IF($J59="","출고일 미정",IF($N59="X","작지 미등록",IF(AND($O59&lt;&gt;"",$O59&gt;$L59),"소재입고 마감("&amp;TEXT($L59,"MM/DD")&amp;") 초과",IF($N59="","작지 등록여부 확인 필요",IF($O59="","소재 입고일정 확인 필요","정상")))))</f>
        <v>작지 등록여부 확인 필요</v>
      </c>
      <c r="U59" s="27" t="str">
        <f aca="false">IF($J59="","",IF(OR($T59="작지 미등록",LEFT($T59,4)="소재입고"),IF(LEFT($E59,1)="S","★ 납기위험(S코드)","◆ 지연주의"),IF($T59="정상","✓ 정상","? 확인필요")))</f>
        <v>? 확인필요</v>
      </c>
      <c r="V59" s="30"/>
      <c r="W59" s="18"/>
    </row>
    <row r="60" customFormat="false" ht="15" hidden="false" customHeight="false" outlineLevel="0" collapsed="false">
      <c r="A60" s="27" t="n">
        <v>56</v>
      </c>
      <c r="B60" s="28" t="s">
        <v>114</v>
      </c>
      <c r="C60" s="29" t="s">
        <v>229</v>
      </c>
      <c r="D60" s="28" t="s">
        <v>230</v>
      </c>
      <c r="E60" s="27" t="str">
        <f aca="false">IF($C60="","",IF(MID($C60,5,1)="S","S(봄)",IF(MID($C60,5,1)="M","M(여름)",IF(MID($C60,5,1)="X","X(사계절)",MID($C60,5,1)))))</f>
        <v>M(여름)</v>
      </c>
      <c r="F60" s="29" t="s">
        <v>181</v>
      </c>
      <c r="G60" s="30" t="s">
        <v>228</v>
      </c>
      <c r="H60" s="27" t="str">
        <f aca="false">IF($C60="","",REPLACE($C60,6,2,"26"))</f>
        <v>JWJJM26155</v>
      </c>
      <c r="I60" s="31" t="str">
        <f aca="false">IFERROR(INDEX(전년출고참조!$B$4:$B$438,MATCH($H60,전년출고참조!$A$4:$A$438,0)),"")</f>
        <v/>
      </c>
      <c r="J60" s="31" t="n">
        <f aca="false">IF($G60&lt;&gt;"",IFERROR(DATE(IF(VALUE(LEFT($G60,FIND("월",$G60)-1))&gt;=9,기준정보!$C$6-1,기준정보!$C$6),VALUE(LEFT($G60,FIND("월",$G60)-1)),1+7*(VALUE(SUBSTITUTE(MID($G60,FIND("월",$G60)+1,5),"주",""))-1)),""),IF($I60="","",IF(ISNUMBER($I60),$I60+364,IFERROR(DATE(IF(VALUE(LEFT($I60,FIND("월",$I60)-1))&gt;=9,기준정보!$C$6-1,기준정보!$C$6),VALUE(LEFT($I60,FIND("월",$I60)-1)),1+7*(VALUE(SUBSTITUTE(MID($I60,FIND("월",$I60)+1,5),"주",""))-1)),""))))</f>
        <v>46454</v>
      </c>
      <c r="K60" s="27" t="str">
        <f aca="false">IF($G60&lt;&gt;"","계획 주차",IF($J60&lt;&gt;"","전년+1년 예측","미정"))</f>
        <v>계획 주차</v>
      </c>
      <c r="L60" s="31" t="n">
        <f aca="false">IF($J60="","",$J60-기준정보!$C$5)</f>
        <v>46364</v>
      </c>
      <c r="M60" s="32" t="n">
        <f aca="false">IF($L60="","",$L60-기준정보!$C$4)</f>
        <v>124</v>
      </c>
      <c r="N60" s="30"/>
      <c r="O60" s="19"/>
      <c r="P60" s="30"/>
      <c r="Q60" s="29" t="str">
        <f aca="false">IF($P60="CMT","본사(소재팀)",IF($P60="사입","생산처",""))</f>
        <v/>
      </c>
      <c r="R60" s="18"/>
      <c r="S60" s="18"/>
      <c r="T60" s="29" t="str">
        <f aca="false">IF($J60="","출고일 미정",IF($N60="X","작지 미등록",IF(AND($O60&lt;&gt;"",$O60&gt;$L60),"소재입고 마감("&amp;TEXT($L60,"MM/DD")&amp;") 초과",IF($N60="","작지 등록여부 확인 필요",IF($O60="","소재 입고일정 확인 필요","정상")))))</f>
        <v>작지 등록여부 확인 필요</v>
      </c>
      <c r="U60" s="27" t="str">
        <f aca="false">IF($J60="","",IF(OR($T60="작지 미등록",LEFT($T60,4)="소재입고"),IF(LEFT($E60,1)="S","★ 납기위험(S코드)","◆ 지연주의"),IF($T60="정상","✓ 정상","? 확인필요")))</f>
        <v>? 확인필요</v>
      </c>
      <c r="V60" s="30"/>
      <c r="W60" s="18"/>
    </row>
    <row r="61" customFormat="false" ht="15" hidden="false" customHeight="false" outlineLevel="0" collapsed="false">
      <c r="A61" s="27" t="n">
        <v>57</v>
      </c>
      <c r="B61" s="28" t="s">
        <v>114</v>
      </c>
      <c r="C61" s="29" t="s">
        <v>231</v>
      </c>
      <c r="D61" s="28" t="s">
        <v>232</v>
      </c>
      <c r="E61" s="27" t="str">
        <f aca="false">IF($C61="","",IF(MID($C61,5,1)="S","S(봄)",IF(MID($C61,5,1)="M","M(여름)",IF(MID($C61,5,1)="X","X(사계절)",MID($C61,5,1)))))</f>
        <v>M(여름)</v>
      </c>
      <c r="F61" s="29" t="s">
        <v>181</v>
      </c>
      <c r="G61" s="30" t="s">
        <v>228</v>
      </c>
      <c r="H61" s="27" t="str">
        <f aca="false">IF($C61="","",REPLACE($C61,6,2,"26"))</f>
        <v>JWTBM26165</v>
      </c>
      <c r="I61" s="31" t="str">
        <f aca="false">IFERROR(INDEX(전년출고참조!$B$4:$B$438,MATCH($H61,전년출고참조!$A$4:$A$438,0)),"")</f>
        <v/>
      </c>
      <c r="J61" s="31" t="n">
        <f aca="false">IF($G61&lt;&gt;"",IFERROR(DATE(IF(VALUE(LEFT($G61,FIND("월",$G61)-1))&gt;=9,기준정보!$C$6-1,기준정보!$C$6),VALUE(LEFT($G61,FIND("월",$G61)-1)),1+7*(VALUE(SUBSTITUTE(MID($G61,FIND("월",$G61)+1,5),"주",""))-1)),""),IF($I61="","",IF(ISNUMBER($I61),$I61+364,IFERROR(DATE(IF(VALUE(LEFT($I61,FIND("월",$I61)-1))&gt;=9,기준정보!$C$6-1,기준정보!$C$6),VALUE(LEFT($I61,FIND("월",$I61)-1)),1+7*(VALUE(SUBSTITUTE(MID($I61,FIND("월",$I61)+1,5),"주",""))-1)),""))))</f>
        <v>46454</v>
      </c>
      <c r="K61" s="27" t="str">
        <f aca="false">IF($G61&lt;&gt;"","계획 주차",IF($J61&lt;&gt;"","전년+1년 예측","미정"))</f>
        <v>계획 주차</v>
      </c>
      <c r="L61" s="31" t="n">
        <f aca="false">IF($J61="","",$J61-기준정보!$C$5)</f>
        <v>46364</v>
      </c>
      <c r="M61" s="32" t="n">
        <f aca="false">IF($L61="","",$L61-기준정보!$C$4)</f>
        <v>124</v>
      </c>
      <c r="N61" s="30"/>
      <c r="O61" s="19"/>
      <c r="P61" s="30"/>
      <c r="Q61" s="29" t="str">
        <f aca="false">IF($P61="CMT","본사(소재팀)",IF($P61="사입","생산처",""))</f>
        <v/>
      </c>
      <c r="R61" s="18"/>
      <c r="S61" s="18"/>
      <c r="T61" s="29" t="str">
        <f aca="false">IF($J61="","출고일 미정",IF($N61="X","작지 미등록",IF(AND($O61&lt;&gt;"",$O61&gt;$L61),"소재입고 마감("&amp;TEXT($L61,"MM/DD")&amp;") 초과",IF($N61="","작지 등록여부 확인 필요",IF($O61="","소재 입고일정 확인 필요","정상")))))</f>
        <v>작지 등록여부 확인 필요</v>
      </c>
      <c r="U61" s="27" t="str">
        <f aca="false">IF($J61="","",IF(OR($T61="작지 미등록",LEFT($T61,4)="소재입고"),IF(LEFT($E61,1)="S","★ 납기위험(S코드)","◆ 지연주의"),IF($T61="정상","✓ 정상","? 확인필요")))</f>
        <v>? 확인필요</v>
      </c>
      <c r="V61" s="30"/>
      <c r="W61" s="18"/>
    </row>
    <row r="62" customFormat="false" ht="15" hidden="false" customHeight="false" outlineLevel="0" collapsed="false">
      <c r="A62" s="27" t="n">
        <v>58</v>
      </c>
      <c r="B62" s="28" t="s">
        <v>114</v>
      </c>
      <c r="C62" s="29" t="s">
        <v>233</v>
      </c>
      <c r="D62" s="28" t="s">
        <v>232</v>
      </c>
      <c r="E62" s="27" t="str">
        <f aca="false">IF($C62="","",IF(MID($C62,5,1)="S","S(봄)",IF(MID($C62,5,1)="M","M(여름)",IF(MID($C62,5,1)="X","X(사계절)",MID($C62,5,1)))))</f>
        <v>M(여름)</v>
      </c>
      <c r="F62" s="29" t="s">
        <v>181</v>
      </c>
      <c r="G62" s="30" t="s">
        <v>228</v>
      </c>
      <c r="H62" s="27" t="str">
        <f aca="false">IF($C62="","",REPLACE($C62,6,2,"26"))</f>
        <v>JWTBM26167</v>
      </c>
      <c r="I62" s="31" t="str">
        <f aca="false">IFERROR(INDEX(전년출고참조!$B$4:$B$438,MATCH($H62,전년출고참조!$A$4:$A$438,0)),"")</f>
        <v/>
      </c>
      <c r="J62" s="31" t="n">
        <f aca="false">IF($G62&lt;&gt;"",IFERROR(DATE(IF(VALUE(LEFT($G62,FIND("월",$G62)-1))&gt;=9,기준정보!$C$6-1,기준정보!$C$6),VALUE(LEFT($G62,FIND("월",$G62)-1)),1+7*(VALUE(SUBSTITUTE(MID($G62,FIND("월",$G62)+1,5),"주",""))-1)),""),IF($I62="","",IF(ISNUMBER($I62),$I62+364,IFERROR(DATE(IF(VALUE(LEFT($I62,FIND("월",$I62)-1))&gt;=9,기준정보!$C$6-1,기준정보!$C$6),VALUE(LEFT($I62,FIND("월",$I62)-1)),1+7*(VALUE(SUBSTITUTE(MID($I62,FIND("월",$I62)+1,5),"주",""))-1)),""))))</f>
        <v>46454</v>
      </c>
      <c r="K62" s="27" t="str">
        <f aca="false">IF($G62&lt;&gt;"","계획 주차",IF($J62&lt;&gt;"","전년+1년 예측","미정"))</f>
        <v>계획 주차</v>
      </c>
      <c r="L62" s="31" t="n">
        <f aca="false">IF($J62="","",$J62-기준정보!$C$5)</f>
        <v>46364</v>
      </c>
      <c r="M62" s="32" t="n">
        <f aca="false">IF($L62="","",$L62-기준정보!$C$4)</f>
        <v>124</v>
      </c>
      <c r="N62" s="30"/>
      <c r="O62" s="19"/>
      <c r="P62" s="30"/>
      <c r="Q62" s="29" t="str">
        <f aca="false">IF($P62="CMT","본사(소재팀)",IF($P62="사입","생산처",""))</f>
        <v/>
      </c>
      <c r="R62" s="18"/>
      <c r="S62" s="18"/>
      <c r="T62" s="29" t="str">
        <f aca="false">IF($J62="","출고일 미정",IF($N62="X","작지 미등록",IF(AND($O62&lt;&gt;"",$O62&gt;$L62),"소재입고 마감("&amp;TEXT($L62,"MM/DD")&amp;") 초과",IF($N62="","작지 등록여부 확인 필요",IF($O62="","소재 입고일정 확인 필요","정상")))))</f>
        <v>작지 등록여부 확인 필요</v>
      </c>
      <c r="U62" s="27" t="str">
        <f aca="false">IF($J62="","",IF(OR($T62="작지 미등록",LEFT($T62,4)="소재입고"),IF(LEFT($E62,1)="S","★ 납기위험(S코드)","◆ 지연주의"),IF($T62="정상","✓ 정상","? 확인필요")))</f>
        <v>? 확인필요</v>
      </c>
      <c r="V62" s="30"/>
      <c r="W62" s="18"/>
    </row>
    <row r="63" customFormat="false" ht="15" hidden="false" customHeight="false" outlineLevel="0" collapsed="false">
      <c r="A63" s="27" t="n">
        <v>59</v>
      </c>
      <c r="B63" s="28" t="s">
        <v>114</v>
      </c>
      <c r="C63" s="29" t="s">
        <v>234</v>
      </c>
      <c r="D63" s="28" t="s">
        <v>235</v>
      </c>
      <c r="E63" s="27" t="str">
        <f aca="false">IF($C63="","",IF(MID($C63,5,1)="S","S(봄)",IF(MID($C63,5,1)="M","M(여름)",IF(MID($C63,5,1)="X","X(사계절)",MID($C63,5,1)))))</f>
        <v>M(여름)</v>
      </c>
      <c r="F63" s="29" t="s">
        <v>181</v>
      </c>
      <c r="G63" s="30" t="s">
        <v>228</v>
      </c>
      <c r="H63" s="27" t="str">
        <f aca="false">IF($C63="","",REPLACE($C63,6,2,"26"))</f>
        <v>JWTBM26181</v>
      </c>
      <c r="I63" s="31" t="str">
        <f aca="false">IFERROR(INDEX(전년출고참조!$B$4:$B$438,MATCH($H63,전년출고참조!$A$4:$A$438,0)),"")</f>
        <v/>
      </c>
      <c r="J63" s="31" t="n">
        <f aca="false">IF($G63&lt;&gt;"",IFERROR(DATE(IF(VALUE(LEFT($G63,FIND("월",$G63)-1))&gt;=9,기준정보!$C$6-1,기준정보!$C$6),VALUE(LEFT($G63,FIND("월",$G63)-1)),1+7*(VALUE(SUBSTITUTE(MID($G63,FIND("월",$G63)+1,5),"주",""))-1)),""),IF($I63="","",IF(ISNUMBER($I63),$I63+364,IFERROR(DATE(IF(VALUE(LEFT($I63,FIND("월",$I63)-1))&gt;=9,기준정보!$C$6-1,기준정보!$C$6),VALUE(LEFT($I63,FIND("월",$I63)-1)),1+7*(VALUE(SUBSTITUTE(MID($I63,FIND("월",$I63)+1,5),"주",""))-1)),""))))</f>
        <v>46454</v>
      </c>
      <c r="K63" s="27" t="str">
        <f aca="false">IF($G63&lt;&gt;"","계획 주차",IF($J63&lt;&gt;"","전년+1년 예측","미정"))</f>
        <v>계획 주차</v>
      </c>
      <c r="L63" s="31" t="n">
        <f aca="false">IF($J63="","",$J63-기준정보!$C$5)</f>
        <v>46364</v>
      </c>
      <c r="M63" s="32" t="n">
        <f aca="false">IF($L63="","",$L63-기준정보!$C$4)</f>
        <v>124</v>
      </c>
      <c r="N63" s="30"/>
      <c r="O63" s="19"/>
      <c r="P63" s="30"/>
      <c r="Q63" s="29" t="str">
        <f aca="false">IF($P63="CMT","본사(소재팀)",IF($P63="사입","생산처",""))</f>
        <v/>
      </c>
      <c r="R63" s="18"/>
      <c r="S63" s="18"/>
      <c r="T63" s="29" t="str">
        <f aca="false">IF($J63="","출고일 미정",IF($N63="X","작지 미등록",IF(AND($O63&lt;&gt;"",$O63&gt;$L63),"소재입고 마감("&amp;TEXT($L63,"MM/DD")&amp;") 초과",IF($N63="","작지 등록여부 확인 필요",IF($O63="","소재 입고일정 확인 필요","정상")))))</f>
        <v>작지 등록여부 확인 필요</v>
      </c>
      <c r="U63" s="27" t="str">
        <f aca="false">IF($J63="","",IF(OR($T63="작지 미등록",LEFT($T63,4)="소재입고"),IF(LEFT($E63,1)="S","★ 납기위험(S코드)","◆ 지연주의"),IF($T63="정상","✓ 정상","? 확인필요")))</f>
        <v>? 확인필요</v>
      </c>
      <c r="V63" s="30"/>
      <c r="W63" s="18"/>
    </row>
    <row r="64" customFormat="false" ht="15" hidden="false" customHeight="false" outlineLevel="0" collapsed="false">
      <c r="A64" s="27" t="n">
        <v>60</v>
      </c>
      <c r="B64" s="28" t="s">
        <v>114</v>
      </c>
      <c r="C64" s="29" t="s">
        <v>236</v>
      </c>
      <c r="D64" s="28" t="s">
        <v>237</v>
      </c>
      <c r="E64" s="27" t="str">
        <f aca="false">IF($C64="","",IF(MID($C64,5,1)="S","S(봄)",IF(MID($C64,5,1)="M","M(여름)",IF(MID($C64,5,1)="X","X(사계절)",MID($C64,5,1)))))</f>
        <v>M(여름)</v>
      </c>
      <c r="F64" s="29" t="s">
        <v>181</v>
      </c>
      <c r="G64" s="30" t="s">
        <v>228</v>
      </c>
      <c r="H64" s="27" t="str">
        <f aca="false">IF($C64="","",REPLACE($C64,6,2,"26"))</f>
        <v>JWTCM26157</v>
      </c>
      <c r="I64" s="31" t="str">
        <f aca="false">IFERROR(INDEX(전년출고참조!$B$4:$B$438,MATCH($H64,전년출고참조!$A$4:$A$438,0)),"")</f>
        <v/>
      </c>
      <c r="J64" s="31" t="n">
        <f aca="false">IF($G64&lt;&gt;"",IFERROR(DATE(IF(VALUE(LEFT($G64,FIND("월",$G64)-1))&gt;=9,기준정보!$C$6-1,기준정보!$C$6),VALUE(LEFT($G64,FIND("월",$G64)-1)),1+7*(VALUE(SUBSTITUTE(MID($G64,FIND("월",$G64)+1,5),"주",""))-1)),""),IF($I64="","",IF(ISNUMBER($I64),$I64+364,IFERROR(DATE(IF(VALUE(LEFT($I64,FIND("월",$I64)-1))&gt;=9,기준정보!$C$6-1,기준정보!$C$6),VALUE(LEFT($I64,FIND("월",$I64)-1)),1+7*(VALUE(SUBSTITUTE(MID($I64,FIND("월",$I64)+1,5),"주",""))-1)),""))))</f>
        <v>46454</v>
      </c>
      <c r="K64" s="27" t="str">
        <f aca="false">IF($G64&lt;&gt;"","계획 주차",IF($J64&lt;&gt;"","전년+1년 예측","미정"))</f>
        <v>계획 주차</v>
      </c>
      <c r="L64" s="31" t="n">
        <f aca="false">IF($J64="","",$J64-기준정보!$C$5)</f>
        <v>46364</v>
      </c>
      <c r="M64" s="32" t="n">
        <f aca="false">IF($L64="","",$L64-기준정보!$C$4)</f>
        <v>124</v>
      </c>
      <c r="N64" s="30"/>
      <c r="O64" s="19"/>
      <c r="P64" s="30"/>
      <c r="Q64" s="29" t="str">
        <f aca="false">IF($P64="CMT","본사(소재팀)",IF($P64="사입","생산처",""))</f>
        <v/>
      </c>
      <c r="R64" s="18"/>
      <c r="S64" s="18"/>
      <c r="T64" s="29" t="str">
        <f aca="false">IF($J64="","출고일 미정",IF($N64="X","작지 미등록",IF(AND($O64&lt;&gt;"",$O64&gt;$L64),"소재입고 마감("&amp;TEXT($L64,"MM/DD")&amp;") 초과",IF($N64="","작지 등록여부 확인 필요",IF($O64="","소재 입고일정 확인 필요","정상")))))</f>
        <v>작지 등록여부 확인 필요</v>
      </c>
      <c r="U64" s="27" t="str">
        <f aca="false">IF($J64="","",IF(OR($T64="작지 미등록",LEFT($T64,4)="소재입고"),IF(LEFT($E64,1)="S","★ 납기위험(S코드)","◆ 지연주의"),IF($T64="정상","✓ 정상","? 확인필요")))</f>
        <v>? 확인필요</v>
      </c>
      <c r="V64" s="30"/>
      <c r="W64" s="18"/>
    </row>
    <row r="65" customFormat="false" ht="15" hidden="false" customHeight="false" outlineLevel="0" collapsed="false">
      <c r="A65" s="27" t="n">
        <v>61</v>
      </c>
      <c r="B65" s="28" t="s">
        <v>114</v>
      </c>
      <c r="C65" s="29" t="s">
        <v>238</v>
      </c>
      <c r="D65" s="28" t="s">
        <v>239</v>
      </c>
      <c r="E65" s="27" t="str">
        <f aca="false">IF($C65="","",IF(MID($C65,5,1)="S","S(봄)",IF(MID($C65,5,1)="M","M(여름)",IF(MID($C65,5,1)="X","X(사계절)",MID($C65,5,1)))))</f>
        <v>M(여름)</v>
      </c>
      <c r="F65" s="29" t="s">
        <v>181</v>
      </c>
      <c r="G65" s="30" t="s">
        <v>228</v>
      </c>
      <c r="H65" s="27" t="str">
        <f aca="false">IF($C65="","",REPLACE($C65,6,2,"26"))</f>
        <v>JWTCM26159</v>
      </c>
      <c r="I65" s="31" t="str">
        <f aca="false">IFERROR(INDEX(전년출고참조!$B$4:$B$438,MATCH($H65,전년출고참조!$A$4:$A$438,0)),"")</f>
        <v/>
      </c>
      <c r="J65" s="31" t="n">
        <f aca="false">IF($G65&lt;&gt;"",IFERROR(DATE(IF(VALUE(LEFT($G65,FIND("월",$G65)-1))&gt;=9,기준정보!$C$6-1,기준정보!$C$6),VALUE(LEFT($G65,FIND("월",$G65)-1)),1+7*(VALUE(SUBSTITUTE(MID($G65,FIND("월",$G65)+1,5),"주",""))-1)),""),IF($I65="","",IF(ISNUMBER($I65),$I65+364,IFERROR(DATE(IF(VALUE(LEFT($I65,FIND("월",$I65)-1))&gt;=9,기준정보!$C$6-1,기준정보!$C$6),VALUE(LEFT($I65,FIND("월",$I65)-1)),1+7*(VALUE(SUBSTITUTE(MID($I65,FIND("월",$I65)+1,5),"주",""))-1)),""))))</f>
        <v>46454</v>
      </c>
      <c r="K65" s="27" t="str">
        <f aca="false">IF($G65&lt;&gt;"","계획 주차",IF($J65&lt;&gt;"","전년+1년 예측","미정"))</f>
        <v>계획 주차</v>
      </c>
      <c r="L65" s="31" t="n">
        <f aca="false">IF($J65="","",$J65-기준정보!$C$5)</f>
        <v>46364</v>
      </c>
      <c r="M65" s="32" t="n">
        <f aca="false">IF($L65="","",$L65-기준정보!$C$4)</f>
        <v>124</v>
      </c>
      <c r="N65" s="30"/>
      <c r="O65" s="19"/>
      <c r="P65" s="30"/>
      <c r="Q65" s="29" t="str">
        <f aca="false">IF($P65="CMT","본사(소재팀)",IF($P65="사입","생산처",""))</f>
        <v/>
      </c>
      <c r="R65" s="18"/>
      <c r="S65" s="18"/>
      <c r="T65" s="29" t="str">
        <f aca="false">IF($J65="","출고일 미정",IF($N65="X","작지 미등록",IF(AND($O65&lt;&gt;"",$O65&gt;$L65),"소재입고 마감("&amp;TEXT($L65,"MM/DD")&amp;") 초과",IF($N65="","작지 등록여부 확인 필요",IF($O65="","소재 입고일정 확인 필요","정상")))))</f>
        <v>작지 등록여부 확인 필요</v>
      </c>
      <c r="U65" s="27" t="str">
        <f aca="false">IF($J65="","",IF(OR($T65="작지 미등록",LEFT($T65,4)="소재입고"),IF(LEFT($E65,1)="S","★ 납기위험(S코드)","◆ 지연주의"),IF($T65="정상","✓ 정상","? 확인필요")))</f>
        <v>? 확인필요</v>
      </c>
      <c r="V65" s="30"/>
      <c r="W65" s="18"/>
    </row>
    <row r="66" customFormat="false" ht="15" hidden="false" customHeight="false" outlineLevel="0" collapsed="false">
      <c r="A66" s="27" t="n">
        <v>62</v>
      </c>
      <c r="B66" s="28" t="s">
        <v>114</v>
      </c>
      <c r="C66" s="29" t="s">
        <v>240</v>
      </c>
      <c r="D66" s="28" t="s">
        <v>237</v>
      </c>
      <c r="E66" s="27" t="str">
        <f aca="false">IF($C66="","",IF(MID($C66,5,1)="S","S(봄)",IF(MID($C66,5,1)="M","M(여름)",IF(MID($C66,5,1)="X","X(사계절)",MID($C66,5,1)))))</f>
        <v>M(여름)</v>
      </c>
      <c r="F66" s="29" t="s">
        <v>181</v>
      </c>
      <c r="G66" s="30" t="s">
        <v>228</v>
      </c>
      <c r="H66" s="27" t="str">
        <f aca="false">IF($C66="","",REPLACE($C66,6,2,"26"))</f>
        <v>JWTCM26161</v>
      </c>
      <c r="I66" s="31" t="str">
        <f aca="false">IFERROR(INDEX(전년출고참조!$B$4:$B$438,MATCH($H66,전년출고참조!$A$4:$A$438,0)),"")</f>
        <v/>
      </c>
      <c r="J66" s="31" t="n">
        <f aca="false">IF($G66&lt;&gt;"",IFERROR(DATE(IF(VALUE(LEFT($G66,FIND("월",$G66)-1))&gt;=9,기준정보!$C$6-1,기준정보!$C$6),VALUE(LEFT($G66,FIND("월",$G66)-1)),1+7*(VALUE(SUBSTITUTE(MID($G66,FIND("월",$G66)+1,5),"주",""))-1)),""),IF($I66="","",IF(ISNUMBER($I66),$I66+364,IFERROR(DATE(IF(VALUE(LEFT($I66,FIND("월",$I66)-1))&gt;=9,기준정보!$C$6-1,기준정보!$C$6),VALUE(LEFT($I66,FIND("월",$I66)-1)),1+7*(VALUE(SUBSTITUTE(MID($I66,FIND("월",$I66)+1,5),"주",""))-1)),""))))</f>
        <v>46454</v>
      </c>
      <c r="K66" s="27" t="str">
        <f aca="false">IF($G66&lt;&gt;"","계획 주차",IF($J66&lt;&gt;"","전년+1년 예측","미정"))</f>
        <v>계획 주차</v>
      </c>
      <c r="L66" s="31" t="n">
        <f aca="false">IF($J66="","",$J66-기준정보!$C$5)</f>
        <v>46364</v>
      </c>
      <c r="M66" s="32" t="n">
        <f aca="false">IF($L66="","",$L66-기준정보!$C$4)</f>
        <v>124</v>
      </c>
      <c r="N66" s="30"/>
      <c r="O66" s="19"/>
      <c r="P66" s="30"/>
      <c r="Q66" s="29" t="str">
        <f aca="false">IF($P66="CMT","본사(소재팀)",IF($P66="사입","생산처",""))</f>
        <v/>
      </c>
      <c r="R66" s="18"/>
      <c r="S66" s="18"/>
      <c r="T66" s="29" t="str">
        <f aca="false">IF($J66="","출고일 미정",IF($N66="X","작지 미등록",IF(AND($O66&lt;&gt;"",$O66&gt;$L66),"소재입고 마감("&amp;TEXT($L66,"MM/DD")&amp;") 초과",IF($N66="","작지 등록여부 확인 필요",IF($O66="","소재 입고일정 확인 필요","정상")))))</f>
        <v>작지 등록여부 확인 필요</v>
      </c>
      <c r="U66" s="27" t="str">
        <f aca="false">IF($J66="","",IF(OR($T66="작지 미등록",LEFT($T66,4)="소재입고"),IF(LEFT($E66,1)="S","★ 납기위험(S코드)","◆ 지연주의"),IF($T66="정상","✓ 정상","? 확인필요")))</f>
        <v>? 확인필요</v>
      </c>
      <c r="V66" s="30"/>
      <c r="W66" s="18"/>
    </row>
    <row r="67" customFormat="false" ht="15" hidden="false" customHeight="false" outlineLevel="0" collapsed="false">
      <c r="A67" s="27" t="n">
        <v>63</v>
      </c>
      <c r="B67" s="28" t="s">
        <v>114</v>
      </c>
      <c r="C67" s="29" t="s">
        <v>241</v>
      </c>
      <c r="D67" s="28" t="s">
        <v>239</v>
      </c>
      <c r="E67" s="27" t="str">
        <f aca="false">IF($C67="","",IF(MID($C67,5,1)="S","S(봄)",IF(MID($C67,5,1)="M","M(여름)",IF(MID($C67,5,1)="X","X(사계절)",MID($C67,5,1)))))</f>
        <v>M(여름)</v>
      </c>
      <c r="F67" s="29" t="s">
        <v>181</v>
      </c>
      <c r="G67" s="30" t="s">
        <v>228</v>
      </c>
      <c r="H67" s="27" t="str">
        <f aca="false">IF($C67="","",REPLACE($C67,6,2,"26"))</f>
        <v>JWTCM26163</v>
      </c>
      <c r="I67" s="31" t="str">
        <f aca="false">IFERROR(INDEX(전년출고참조!$B$4:$B$438,MATCH($H67,전년출고참조!$A$4:$A$438,0)),"")</f>
        <v/>
      </c>
      <c r="J67" s="31" t="n">
        <f aca="false">IF($G67&lt;&gt;"",IFERROR(DATE(IF(VALUE(LEFT($G67,FIND("월",$G67)-1))&gt;=9,기준정보!$C$6-1,기준정보!$C$6),VALUE(LEFT($G67,FIND("월",$G67)-1)),1+7*(VALUE(SUBSTITUTE(MID($G67,FIND("월",$G67)+1,5),"주",""))-1)),""),IF($I67="","",IF(ISNUMBER($I67),$I67+364,IFERROR(DATE(IF(VALUE(LEFT($I67,FIND("월",$I67)-1))&gt;=9,기준정보!$C$6-1,기준정보!$C$6),VALUE(LEFT($I67,FIND("월",$I67)-1)),1+7*(VALUE(SUBSTITUTE(MID($I67,FIND("월",$I67)+1,5),"주",""))-1)),""))))</f>
        <v>46454</v>
      </c>
      <c r="K67" s="27" t="str">
        <f aca="false">IF($G67&lt;&gt;"","계획 주차",IF($J67&lt;&gt;"","전년+1년 예측","미정"))</f>
        <v>계획 주차</v>
      </c>
      <c r="L67" s="31" t="n">
        <f aca="false">IF($J67="","",$J67-기준정보!$C$5)</f>
        <v>46364</v>
      </c>
      <c r="M67" s="32" t="n">
        <f aca="false">IF($L67="","",$L67-기준정보!$C$4)</f>
        <v>124</v>
      </c>
      <c r="N67" s="30"/>
      <c r="O67" s="19"/>
      <c r="P67" s="30"/>
      <c r="Q67" s="29" t="str">
        <f aca="false">IF($P67="CMT","본사(소재팀)",IF($P67="사입","생산처",""))</f>
        <v/>
      </c>
      <c r="R67" s="18"/>
      <c r="S67" s="18"/>
      <c r="T67" s="29" t="str">
        <f aca="false">IF($J67="","출고일 미정",IF($N67="X","작지 미등록",IF(AND($O67&lt;&gt;"",$O67&gt;$L67),"소재입고 마감("&amp;TEXT($L67,"MM/DD")&amp;") 초과",IF($N67="","작지 등록여부 확인 필요",IF($O67="","소재 입고일정 확인 필요","정상")))))</f>
        <v>작지 등록여부 확인 필요</v>
      </c>
      <c r="U67" s="27" t="str">
        <f aca="false">IF($J67="","",IF(OR($T67="작지 미등록",LEFT($T67,4)="소재입고"),IF(LEFT($E67,1)="S","★ 납기위험(S코드)","◆ 지연주의"),IF($T67="정상","✓ 정상","? 확인필요")))</f>
        <v>? 확인필요</v>
      </c>
      <c r="V67" s="30"/>
      <c r="W67" s="18"/>
    </row>
    <row r="68" customFormat="false" ht="15" hidden="false" customHeight="false" outlineLevel="0" collapsed="false">
      <c r="A68" s="27" t="n">
        <v>64</v>
      </c>
      <c r="B68" s="28" t="s">
        <v>114</v>
      </c>
      <c r="C68" s="29" t="s">
        <v>242</v>
      </c>
      <c r="D68" s="28" t="s">
        <v>243</v>
      </c>
      <c r="E68" s="27" t="str">
        <f aca="false">IF($C68="","",IF(MID($C68,5,1)="S","S(봄)",IF(MID($C68,5,1)="M","M(여름)",IF(MID($C68,5,1)="X","X(사계절)",MID($C68,5,1)))))</f>
        <v>M(여름)</v>
      </c>
      <c r="F68" s="29" t="s">
        <v>181</v>
      </c>
      <c r="G68" s="30" t="s">
        <v>228</v>
      </c>
      <c r="H68" s="27" t="str">
        <f aca="false">IF($C68="","",REPLACE($C68,6,2,"26"))</f>
        <v>JWVAM26101</v>
      </c>
      <c r="I68" s="31" t="str">
        <f aca="false">IFERROR(INDEX(전년출고참조!$B$4:$B$438,MATCH($H68,전년출고참조!$A$4:$A$438,0)),"")</f>
        <v/>
      </c>
      <c r="J68" s="31" t="n">
        <f aca="false">IF($G68&lt;&gt;"",IFERROR(DATE(IF(VALUE(LEFT($G68,FIND("월",$G68)-1))&gt;=9,기준정보!$C$6-1,기준정보!$C$6),VALUE(LEFT($G68,FIND("월",$G68)-1)),1+7*(VALUE(SUBSTITUTE(MID($G68,FIND("월",$G68)+1,5),"주",""))-1)),""),IF($I68="","",IF(ISNUMBER($I68),$I68+364,IFERROR(DATE(IF(VALUE(LEFT($I68,FIND("월",$I68)-1))&gt;=9,기준정보!$C$6-1,기준정보!$C$6),VALUE(LEFT($I68,FIND("월",$I68)-1)),1+7*(VALUE(SUBSTITUTE(MID($I68,FIND("월",$I68)+1,5),"주",""))-1)),""))))</f>
        <v>46454</v>
      </c>
      <c r="K68" s="27" t="str">
        <f aca="false">IF($G68&lt;&gt;"","계획 주차",IF($J68&lt;&gt;"","전년+1년 예측","미정"))</f>
        <v>계획 주차</v>
      </c>
      <c r="L68" s="31" t="n">
        <f aca="false">IF($J68="","",$J68-기준정보!$C$5)</f>
        <v>46364</v>
      </c>
      <c r="M68" s="32" t="n">
        <f aca="false">IF($L68="","",$L68-기준정보!$C$4)</f>
        <v>124</v>
      </c>
      <c r="N68" s="30"/>
      <c r="O68" s="19"/>
      <c r="P68" s="30"/>
      <c r="Q68" s="29" t="str">
        <f aca="false">IF($P68="CMT","본사(소재팀)",IF($P68="사입","생산처",""))</f>
        <v/>
      </c>
      <c r="R68" s="18"/>
      <c r="S68" s="18"/>
      <c r="T68" s="29" t="str">
        <f aca="false">IF($J68="","출고일 미정",IF($N68="X","작지 미등록",IF(AND($O68&lt;&gt;"",$O68&gt;$L68),"소재입고 마감("&amp;TEXT($L68,"MM/DD")&amp;") 초과",IF($N68="","작지 등록여부 확인 필요",IF($O68="","소재 입고일정 확인 필요","정상")))))</f>
        <v>작지 등록여부 확인 필요</v>
      </c>
      <c r="U68" s="27" t="str">
        <f aca="false">IF($J68="","",IF(OR($T68="작지 미등록",LEFT($T68,4)="소재입고"),IF(LEFT($E68,1)="S","★ 납기위험(S코드)","◆ 지연주의"),IF($T68="정상","✓ 정상","? 확인필요")))</f>
        <v>? 확인필요</v>
      </c>
      <c r="V68" s="30"/>
      <c r="W68" s="18"/>
    </row>
    <row r="69" customFormat="false" ht="15" hidden="false" customHeight="false" outlineLevel="0" collapsed="false">
      <c r="A69" s="27" t="n">
        <v>65</v>
      </c>
      <c r="B69" s="28" t="s">
        <v>125</v>
      </c>
      <c r="C69" s="29" t="s">
        <v>244</v>
      </c>
      <c r="D69" s="28" t="s">
        <v>245</v>
      </c>
      <c r="E69" s="27" t="str">
        <f aca="false">IF($C69="","",IF(MID($C69,5,1)="S","S(봄)",IF(MID($C69,5,1)="M","M(여름)",IF(MID($C69,5,1)="X","X(사계절)",MID($C69,5,1)))))</f>
        <v>M(여름)</v>
      </c>
      <c r="F69" s="29" t="s">
        <v>223</v>
      </c>
      <c r="G69" s="30" t="s">
        <v>228</v>
      </c>
      <c r="H69" s="27" t="str">
        <f aca="false">IF($C69="","",REPLACE($C69,6,2,"26"))</f>
        <v>TVPNM26542</v>
      </c>
      <c r="I69" s="31" t="str">
        <f aca="false">IFERROR(INDEX(전년출고참조!$B$4:$B$438,MATCH($H69,전년출고참조!$A$4:$A$438,0)),"")</f>
        <v/>
      </c>
      <c r="J69" s="31" t="n">
        <f aca="false">IF($G69&lt;&gt;"",IFERROR(DATE(IF(VALUE(LEFT($G69,FIND("월",$G69)-1))&gt;=9,기준정보!$C$6-1,기준정보!$C$6),VALUE(LEFT($G69,FIND("월",$G69)-1)),1+7*(VALUE(SUBSTITUTE(MID($G69,FIND("월",$G69)+1,5),"주",""))-1)),""),IF($I69="","",IF(ISNUMBER($I69),$I69+364,IFERROR(DATE(IF(VALUE(LEFT($I69,FIND("월",$I69)-1))&gt;=9,기준정보!$C$6-1,기준정보!$C$6),VALUE(LEFT($I69,FIND("월",$I69)-1)),1+7*(VALUE(SUBSTITUTE(MID($I69,FIND("월",$I69)+1,5),"주",""))-1)),""))))</f>
        <v>46454</v>
      </c>
      <c r="K69" s="27" t="str">
        <f aca="false">IF($G69&lt;&gt;"","계획 주차",IF($J69&lt;&gt;"","전년+1년 예측","미정"))</f>
        <v>계획 주차</v>
      </c>
      <c r="L69" s="31" t="n">
        <f aca="false">IF($J69="","",$J69-기준정보!$C$5)</f>
        <v>46364</v>
      </c>
      <c r="M69" s="32" t="n">
        <f aca="false">IF($L69="","",$L69-기준정보!$C$4)</f>
        <v>124</v>
      </c>
      <c r="N69" s="30"/>
      <c r="O69" s="19"/>
      <c r="P69" s="30"/>
      <c r="Q69" s="29" t="str">
        <f aca="false">IF($P69="CMT","본사(소재팀)",IF($P69="사입","생산처",""))</f>
        <v/>
      </c>
      <c r="R69" s="18"/>
      <c r="S69" s="18"/>
      <c r="T69" s="29" t="str">
        <f aca="false">IF($J69="","출고일 미정",IF($N69="X","작지 미등록",IF(AND($O69&lt;&gt;"",$O69&gt;$L69),"소재입고 마감("&amp;TEXT($L69,"MM/DD")&amp;") 초과",IF($N69="","작지 등록여부 확인 필요",IF($O69="","소재 입고일정 확인 필요","정상")))))</f>
        <v>작지 등록여부 확인 필요</v>
      </c>
      <c r="U69" s="27" t="str">
        <f aca="false">IF($J69="","",IF(OR($T69="작지 미등록",LEFT($T69,4)="소재입고"),IF(LEFT($E69,1)="S","★ 납기위험(S코드)","◆ 지연주의"),IF($T69="정상","✓ 정상","? 확인필요")))</f>
        <v>? 확인필요</v>
      </c>
      <c r="V69" s="30"/>
      <c r="W69" s="18"/>
    </row>
    <row r="70" customFormat="false" ht="15" hidden="false" customHeight="false" outlineLevel="0" collapsed="false">
      <c r="A70" s="27" t="n">
        <v>66</v>
      </c>
      <c r="B70" s="28" t="s">
        <v>125</v>
      </c>
      <c r="C70" s="29" t="s">
        <v>246</v>
      </c>
      <c r="D70" s="28" t="s">
        <v>247</v>
      </c>
      <c r="E70" s="27" t="str">
        <f aca="false">IF($C70="","",IF(MID($C70,5,1)="S","S(봄)",IF(MID($C70,5,1)="M","M(여름)",IF(MID($C70,5,1)="X","X(사계절)",MID($C70,5,1)))))</f>
        <v>M(여름)</v>
      </c>
      <c r="F70" s="29" t="s">
        <v>223</v>
      </c>
      <c r="G70" s="30" t="s">
        <v>228</v>
      </c>
      <c r="H70" s="27" t="str">
        <f aca="false">IF($C70="","",REPLACE($C70,6,2,"26"))</f>
        <v>TVPOM26502</v>
      </c>
      <c r="I70" s="31" t="str">
        <f aca="false">IFERROR(INDEX(전년출고참조!$B$4:$B$438,MATCH($H70,전년출고참조!$A$4:$A$438,0)),"")</f>
        <v/>
      </c>
      <c r="J70" s="31" t="n">
        <f aca="false">IF($G70&lt;&gt;"",IFERROR(DATE(IF(VALUE(LEFT($G70,FIND("월",$G70)-1))&gt;=9,기준정보!$C$6-1,기준정보!$C$6),VALUE(LEFT($G70,FIND("월",$G70)-1)),1+7*(VALUE(SUBSTITUTE(MID($G70,FIND("월",$G70)+1,5),"주",""))-1)),""),IF($I70="","",IF(ISNUMBER($I70),$I70+364,IFERROR(DATE(IF(VALUE(LEFT($I70,FIND("월",$I70)-1))&gt;=9,기준정보!$C$6-1,기준정보!$C$6),VALUE(LEFT($I70,FIND("월",$I70)-1)),1+7*(VALUE(SUBSTITUTE(MID($I70,FIND("월",$I70)+1,5),"주",""))-1)),""))))</f>
        <v>46454</v>
      </c>
      <c r="K70" s="27" t="str">
        <f aca="false">IF($G70&lt;&gt;"","계획 주차",IF($J70&lt;&gt;"","전년+1년 예측","미정"))</f>
        <v>계획 주차</v>
      </c>
      <c r="L70" s="31" t="n">
        <f aca="false">IF($J70="","",$J70-기준정보!$C$5)</f>
        <v>46364</v>
      </c>
      <c r="M70" s="32" t="n">
        <f aca="false">IF($L70="","",$L70-기준정보!$C$4)</f>
        <v>124</v>
      </c>
      <c r="N70" s="30"/>
      <c r="O70" s="19"/>
      <c r="P70" s="30"/>
      <c r="Q70" s="29" t="str">
        <f aca="false">IF($P70="CMT","본사(소재팀)",IF($P70="사입","생산처",""))</f>
        <v/>
      </c>
      <c r="R70" s="18"/>
      <c r="S70" s="18"/>
      <c r="T70" s="29" t="str">
        <f aca="false">IF($J70="","출고일 미정",IF($N70="X","작지 미등록",IF(AND($O70&lt;&gt;"",$O70&gt;$L70),"소재입고 마감("&amp;TEXT($L70,"MM/DD")&amp;") 초과",IF($N70="","작지 등록여부 확인 필요",IF($O70="","소재 입고일정 확인 필요","정상")))))</f>
        <v>작지 등록여부 확인 필요</v>
      </c>
      <c r="U70" s="27" t="str">
        <f aca="false">IF($J70="","",IF(OR($T70="작지 미등록",LEFT($T70,4)="소재입고"),IF(LEFT($E70,1)="S","★ 납기위험(S코드)","◆ 지연주의"),IF($T70="정상","✓ 정상","? 확인필요")))</f>
        <v>? 확인필요</v>
      </c>
      <c r="V70" s="30"/>
      <c r="W70" s="18"/>
    </row>
    <row r="71" customFormat="false" ht="15" hidden="false" customHeight="false" outlineLevel="0" collapsed="false">
      <c r="A71" s="27" t="n">
        <v>67</v>
      </c>
      <c r="B71" s="28" t="s">
        <v>114</v>
      </c>
      <c r="C71" s="29" t="s">
        <v>248</v>
      </c>
      <c r="D71" s="28" t="s">
        <v>249</v>
      </c>
      <c r="E71" s="27" t="str">
        <f aca="false">IF($C71="","",IF(MID($C71,5,1)="S","S(봄)",IF(MID($C71,5,1)="M","M(여름)",IF(MID($C71,5,1)="X","X(사계절)",MID($C71,5,1)))))</f>
        <v>M(여름)</v>
      </c>
      <c r="F71" s="29" t="s">
        <v>181</v>
      </c>
      <c r="G71" s="30" t="s">
        <v>250</v>
      </c>
      <c r="H71" s="27" t="str">
        <f aca="false">IF($C71="","",REPLACE($C71,6,2,"26"))</f>
        <v>JWTCM26151</v>
      </c>
      <c r="I71" s="31" t="str">
        <f aca="false">IFERROR(INDEX(전년출고참조!$B$4:$B$438,MATCH($H71,전년출고참조!$A$4:$A$438,0)),"")</f>
        <v/>
      </c>
      <c r="J71" s="31" t="n">
        <f aca="false">IF($G71&lt;&gt;"",IFERROR(DATE(IF(VALUE(LEFT($G71,FIND("월",$G71)-1))&gt;=9,기준정보!$C$6-1,기준정보!$C$6),VALUE(LEFT($G71,FIND("월",$G71)-1)),1+7*(VALUE(SUBSTITUTE(MID($G71,FIND("월",$G71)+1,5),"주",""))-1)),""),IF($I71="","",IF(ISNUMBER($I71),$I71+364,IFERROR(DATE(IF(VALUE(LEFT($I71,FIND("월",$I71)-1))&gt;=9,기준정보!$C$6-1,기준정보!$C$6),VALUE(LEFT($I71,FIND("월",$I71)-1)),1+7*(VALUE(SUBSTITUTE(MID($I71,FIND("월",$I71)+1,5),"주",""))-1)),""))))</f>
        <v>46461</v>
      </c>
      <c r="K71" s="27" t="str">
        <f aca="false">IF($G71&lt;&gt;"","계획 주차",IF($J71&lt;&gt;"","전년+1년 예측","미정"))</f>
        <v>계획 주차</v>
      </c>
      <c r="L71" s="31" t="n">
        <f aca="false">IF($J71="","",$J71-기준정보!$C$5)</f>
        <v>46371</v>
      </c>
      <c r="M71" s="32" t="n">
        <f aca="false">IF($L71="","",$L71-기준정보!$C$4)</f>
        <v>131</v>
      </c>
      <c r="N71" s="30"/>
      <c r="O71" s="19"/>
      <c r="P71" s="30"/>
      <c r="Q71" s="29" t="str">
        <f aca="false">IF($P71="CMT","본사(소재팀)",IF($P71="사입","생산처",""))</f>
        <v/>
      </c>
      <c r="R71" s="18"/>
      <c r="S71" s="18"/>
      <c r="T71" s="29" t="str">
        <f aca="false">IF($J71="","출고일 미정",IF($N71="X","작지 미등록",IF(AND($O71&lt;&gt;"",$O71&gt;$L71),"소재입고 마감("&amp;TEXT($L71,"MM/DD")&amp;") 초과",IF($N71="","작지 등록여부 확인 필요",IF($O71="","소재 입고일정 확인 필요","정상")))))</f>
        <v>작지 등록여부 확인 필요</v>
      </c>
      <c r="U71" s="27" t="str">
        <f aca="false">IF($J71="","",IF(OR($T71="작지 미등록",LEFT($T71,4)="소재입고"),IF(LEFT($E71,1)="S","★ 납기위험(S코드)","◆ 지연주의"),IF($T71="정상","✓ 정상","? 확인필요")))</f>
        <v>? 확인필요</v>
      </c>
      <c r="V71" s="30"/>
      <c r="W71" s="18"/>
    </row>
    <row r="72" customFormat="false" ht="15" hidden="false" customHeight="false" outlineLevel="0" collapsed="false">
      <c r="A72" s="27" t="n">
        <v>68</v>
      </c>
      <c r="B72" s="28" t="s">
        <v>114</v>
      </c>
      <c r="C72" s="29" t="s">
        <v>251</v>
      </c>
      <c r="D72" s="28" t="s">
        <v>252</v>
      </c>
      <c r="E72" s="27" t="str">
        <f aca="false">IF($C72="","",IF(MID($C72,5,1)="S","S(봄)",IF(MID($C72,5,1)="M","M(여름)",IF(MID($C72,5,1)="X","X(사계절)",MID($C72,5,1)))))</f>
        <v>M(여름)</v>
      </c>
      <c r="F72" s="28" t="s">
        <v>133</v>
      </c>
      <c r="G72" s="30" t="s">
        <v>253</v>
      </c>
      <c r="H72" s="27" t="str">
        <f aca="false">IF($C72="","",REPLACE($C72,6,2,"26"))</f>
        <v>JWJJM26165</v>
      </c>
      <c r="I72" s="31" t="str">
        <f aca="false">IFERROR(INDEX(전년출고참조!$B$4:$B$438,MATCH($H72,전년출고참조!$A$4:$A$438,0)),"")</f>
        <v/>
      </c>
      <c r="J72" s="31" t="n">
        <f aca="false">IF($G72&lt;&gt;"",IFERROR(DATE(IF(VALUE(LEFT($G72,FIND("월",$G72)-1))&gt;=9,기준정보!$C$6-1,기준정보!$C$6),VALUE(LEFT($G72,FIND("월",$G72)-1)),1+7*(VALUE(SUBSTITUTE(MID($G72,FIND("월",$G72)+1,5),"주",""))-1)),""),IF($I72="","",IF(ISNUMBER($I72),$I72+364,IFERROR(DATE(IF(VALUE(LEFT($I72,FIND("월",$I72)-1))&gt;=9,기준정보!$C$6-1,기준정보!$C$6),VALUE(LEFT($I72,FIND("월",$I72)-1)),1+7*(VALUE(SUBSTITUTE(MID($I72,FIND("월",$I72)+1,5),"주",""))-1)),""))))</f>
        <v>46468</v>
      </c>
      <c r="K72" s="27" t="str">
        <f aca="false">IF($G72&lt;&gt;"","계획 주차",IF($J72&lt;&gt;"","전년+1년 예측","미정"))</f>
        <v>계획 주차</v>
      </c>
      <c r="L72" s="31" t="n">
        <f aca="false">IF($J72="","",$J72-기준정보!$C$5)</f>
        <v>46378</v>
      </c>
      <c r="M72" s="32" t="n">
        <f aca="false">IF($L72="","",$L72-기준정보!$C$4)</f>
        <v>138</v>
      </c>
      <c r="N72" s="30"/>
      <c r="O72" s="19"/>
      <c r="P72" s="30"/>
      <c r="Q72" s="29" t="str">
        <f aca="false">IF($P72="CMT","본사(소재팀)",IF($P72="사입","생산처",""))</f>
        <v/>
      </c>
      <c r="R72" s="18"/>
      <c r="S72" s="18"/>
      <c r="T72" s="29" t="str">
        <f aca="false">IF($J72="","출고일 미정",IF($N72="X","작지 미등록",IF(AND($O72&lt;&gt;"",$O72&gt;$L72),"소재입고 마감("&amp;TEXT($L72,"MM/DD")&amp;") 초과",IF($N72="","작지 등록여부 확인 필요",IF($O72="","소재 입고일정 확인 필요","정상")))))</f>
        <v>작지 등록여부 확인 필요</v>
      </c>
      <c r="U72" s="27" t="str">
        <f aca="false">IF($J72="","",IF(OR($T72="작지 미등록",LEFT($T72,4)="소재입고"),IF(LEFT($E72,1)="S","★ 납기위험(S코드)","◆ 지연주의"),IF($T72="정상","✓ 정상","? 확인필요")))</f>
        <v>? 확인필요</v>
      </c>
      <c r="V72" s="30"/>
      <c r="W72" s="18"/>
    </row>
    <row r="73" customFormat="false" ht="15" hidden="false" customHeight="false" outlineLevel="0" collapsed="false">
      <c r="A73" s="27" t="n">
        <v>69</v>
      </c>
      <c r="B73" s="28" t="s">
        <v>114</v>
      </c>
      <c r="C73" s="29" t="s">
        <v>254</v>
      </c>
      <c r="D73" s="28" t="s">
        <v>252</v>
      </c>
      <c r="E73" s="27" t="str">
        <f aca="false">IF($C73="","",IF(MID($C73,5,1)="S","S(봄)",IF(MID($C73,5,1)="M","M(여름)",IF(MID($C73,5,1)="X","X(사계절)",MID($C73,5,1)))))</f>
        <v>M(여름)</v>
      </c>
      <c r="F73" s="28" t="s">
        <v>133</v>
      </c>
      <c r="G73" s="30" t="s">
        <v>253</v>
      </c>
      <c r="H73" s="27" t="str">
        <f aca="false">IF($C73="","",REPLACE($C73,6,2,"26"))</f>
        <v>JWJJM26181</v>
      </c>
      <c r="I73" s="31" t="str">
        <f aca="false">IFERROR(INDEX(전년출고참조!$B$4:$B$438,MATCH($H73,전년출고참조!$A$4:$A$438,0)),"")</f>
        <v/>
      </c>
      <c r="J73" s="31" t="n">
        <f aca="false">IF($G73&lt;&gt;"",IFERROR(DATE(IF(VALUE(LEFT($G73,FIND("월",$G73)-1))&gt;=9,기준정보!$C$6-1,기준정보!$C$6),VALUE(LEFT($G73,FIND("월",$G73)-1)),1+7*(VALUE(SUBSTITUTE(MID($G73,FIND("월",$G73)+1,5),"주",""))-1)),""),IF($I73="","",IF(ISNUMBER($I73),$I73+364,IFERROR(DATE(IF(VALUE(LEFT($I73,FIND("월",$I73)-1))&gt;=9,기준정보!$C$6-1,기준정보!$C$6),VALUE(LEFT($I73,FIND("월",$I73)-1)),1+7*(VALUE(SUBSTITUTE(MID($I73,FIND("월",$I73)+1,5),"주",""))-1)),""))))</f>
        <v>46468</v>
      </c>
      <c r="K73" s="27" t="str">
        <f aca="false">IF($G73&lt;&gt;"","계획 주차",IF($J73&lt;&gt;"","전년+1년 예측","미정"))</f>
        <v>계획 주차</v>
      </c>
      <c r="L73" s="31" t="n">
        <f aca="false">IF($J73="","",$J73-기준정보!$C$5)</f>
        <v>46378</v>
      </c>
      <c r="M73" s="32" t="n">
        <f aca="false">IF($L73="","",$L73-기준정보!$C$4)</f>
        <v>138</v>
      </c>
      <c r="N73" s="30"/>
      <c r="O73" s="19"/>
      <c r="P73" s="30"/>
      <c r="Q73" s="29" t="str">
        <f aca="false">IF($P73="CMT","본사(소재팀)",IF($P73="사입","생산처",""))</f>
        <v/>
      </c>
      <c r="R73" s="18"/>
      <c r="S73" s="18"/>
      <c r="T73" s="29" t="str">
        <f aca="false">IF($J73="","출고일 미정",IF($N73="X","작지 미등록",IF(AND($O73&lt;&gt;"",$O73&gt;$L73),"소재입고 마감("&amp;TEXT($L73,"MM/DD")&amp;") 초과",IF($N73="","작지 등록여부 확인 필요",IF($O73="","소재 입고일정 확인 필요","정상")))))</f>
        <v>작지 등록여부 확인 필요</v>
      </c>
      <c r="U73" s="27" t="str">
        <f aca="false">IF($J73="","",IF(OR($T73="작지 미등록",LEFT($T73,4)="소재입고"),IF(LEFT($E73,1)="S","★ 납기위험(S코드)","◆ 지연주의"),IF($T73="정상","✓ 정상","? 확인필요")))</f>
        <v>? 확인필요</v>
      </c>
      <c r="V73" s="30"/>
      <c r="W73" s="18"/>
    </row>
    <row r="74" customFormat="false" ht="15" hidden="false" customHeight="false" outlineLevel="0" collapsed="false">
      <c r="A74" s="27" t="n">
        <v>70</v>
      </c>
      <c r="B74" s="28" t="s">
        <v>255</v>
      </c>
      <c r="C74" s="29" t="s">
        <v>256</v>
      </c>
      <c r="D74" s="29"/>
      <c r="E74" s="27" t="str">
        <f aca="false">IF($C74="","",IF(MID($C74,5,1)="S","S(봄)",IF(MID($C74,5,1)="M","M(여름)",IF(MID($C74,5,1)="X","X(사계절)",MID($C74,5,1)))))</f>
        <v>M(여름)</v>
      </c>
      <c r="F74" s="29" t="s">
        <v>257</v>
      </c>
      <c r="G74" s="30" t="s">
        <v>253</v>
      </c>
      <c r="H74" s="27" t="str">
        <f aca="false">IF($C74="","",REPLACE($C74,6,2,"26"))</f>
        <v>JWJJM26301</v>
      </c>
      <c r="I74" s="31" t="str">
        <f aca="false">IFERROR(INDEX(전년출고참조!$B$4:$B$438,MATCH($H74,전년출고참조!$A$4:$A$438,0)),"")</f>
        <v/>
      </c>
      <c r="J74" s="31" t="n">
        <f aca="false">IF($G74&lt;&gt;"",IFERROR(DATE(IF(VALUE(LEFT($G74,FIND("월",$G74)-1))&gt;=9,기준정보!$C$6-1,기준정보!$C$6),VALUE(LEFT($G74,FIND("월",$G74)-1)),1+7*(VALUE(SUBSTITUTE(MID($G74,FIND("월",$G74)+1,5),"주",""))-1)),""),IF($I74="","",IF(ISNUMBER($I74),$I74+364,IFERROR(DATE(IF(VALUE(LEFT($I74,FIND("월",$I74)-1))&gt;=9,기준정보!$C$6-1,기준정보!$C$6),VALUE(LEFT($I74,FIND("월",$I74)-1)),1+7*(VALUE(SUBSTITUTE(MID($I74,FIND("월",$I74)+1,5),"주",""))-1)),""))))</f>
        <v>46468</v>
      </c>
      <c r="K74" s="27" t="str">
        <f aca="false">IF($G74&lt;&gt;"","계획 주차",IF($J74&lt;&gt;"","전년+1년 예측","미정"))</f>
        <v>계획 주차</v>
      </c>
      <c r="L74" s="31" t="n">
        <f aca="false">IF($J74="","",$J74-기준정보!$C$5)</f>
        <v>46378</v>
      </c>
      <c r="M74" s="32" t="n">
        <f aca="false">IF($L74="","",$L74-기준정보!$C$4)</f>
        <v>138</v>
      </c>
      <c r="N74" s="30"/>
      <c r="O74" s="19"/>
      <c r="P74" s="30"/>
      <c r="Q74" s="29" t="str">
        <f aca="false">IF($P74="CMT","본사(소재팀)",IF($P74="사입","생산처",""))</f>
        <v/>
      </c>
      <c r="R74" s="18"/>
      <c r="S74" s="18"/>
      <c r="T74" s="29" t="str">
        <f aca="false">IF($J74="","출고일 미정",IF($N74="X","작지 미등록",IF(AND($O74&lt;&gt;"",$O74&gt;$L74),"소재입고 마감("&amp;TEXT($L74,"MM/DD")&amp;") 초과",IF($N74="","작지 등록여부 확인 필요",IF($O74="","소재 입고일정 확인 필요","정상")))))</f>
        <v>작지 등록여부 확인 필요</v>
      </c>
      <c r="U74" s="27" t="str">
        <f aca="false">IF($J74="","",IF(OR($T74="작지 미등록",LEFT($T74,4)="소재입고"),IF(LEFT($E74,1)="S","★ 납기위험(S코드)","◆ 지연주의"),IF($T74="정상","✓ 정상","? 확인필요")))</f>
        <v>? 확인필요</v>
      </c>
      <c r="V74" s="30"/>
      <c r="W74" s="18"/>
    </row>
    <row r="75" customFormat="false" ht="15" hidden="false" customHeight="false" outlineLevel="0" collapsed="false">
      <c r="A75" s="27" t="n">
        <v>71</v>
      </c>
      <c r="B75" s="28" t="s">
        <v>114</v>
      </c>
      <c r="C75" s="29" t="s">
        <v>258</v>
      </c>
      <c r="D75" s="28" t="s">
        <v>259</v>
      </c>
      <c r="E75" s="27" t="str">
        <f aca="false">IF($C75="","",IF(MID($C75,5,1)="S","S(봄)",IF(MID($C75,5,1)="M","M(여름)",IF(MID($C75,5,1)="X","X(사계절)",MID($C75,5,1)))))</f>
        <v>M(여름)</v>
      </c>
      <c r="F75" s="29" t="s">
        <v>181</v>
      </c>
      <c r="G75" s="30" t="s">
        <v>253</v>
      </c>
      <c r="H75" s="27" t="str">
        <f aca="false">IF($C75="","",REPLACE($C75,6,2,"26"))</f>
        <v>JWTCM26131</v>
      </c>
      <c r="I75" s="31" t="str">
        <f aca="false">IFERROR(INDEX(전년출고참조!$B$4:$B$438,MATCH($H75,전년출고참조!$A$4:$A$438,0)),"")</f>
        <v/>
      </c>
      <c r="J75" s="31" t="n">
        <f aca="false">IF($G75&lt;&gt;"",IFERROR(DATE(IF(VALUE(LEFT($G75,FIND("월",$G75)-1))&gt;=9,기준정보!$C$6-1,기준정보!$C$6),VALUE(LEFT($G75,FIND("월",$G75)-1)),1+7*(VALUE(SUBSTITUTE(MID($G75,FIND("월",$G75)+1,5),"주",""))-1)),""),IF($I75="","",IF(ISNUMBER($I75),$I75+364,IFERROR(DATE(IF(VALUE(LEFT($I75,FIND("월",$I75)-1))&gt;=9,기준정보!$C$6-1,기준정보!$C$6),VALUE(LEFT($I75,FIND("월",$I75)-1)),1+7*(VALUE(SUBSTITUTE(MID($I75,FIND("월",$I75)+1,5),"주",""))-1)),""))))</f>
        <v>46468</v>
      </c>
      <c r="K75" s="27" t="str">
        <f aca="false">IF($G75&lt;&gt;"","계획 주차",IF($J75&lt;&gt;"","전년+1년 예측","미정"))</f>
        <v>계획 주차</v>
      </c>
      <c r="L75" s="31" t="n">
        <f aca="false">IF($J75="","",$J75-기준정보!$C$5)</f>
        <v>46378</v>
      </c>
      <c r="M75" s="32" t="n">
        <f aca="false">IF($L75="","",$L75-기준정보!$C$4)</f>
        <v>138</v>
      </c>
      <c r="N75" s="30"/>
      <c r="O75" s="19"/>
      <c r="P75" s="30"/>
      <c r="Q75" s="29" t="str">
        <f aca="false">IF($P75="CMT","본사(소재팀)",IF($P75="사입","생산처",""))</f>
        <v/>
      </c>
      <c r="R75" s="18"/>
      <c r="S75" s="18"/>
      <c r="T75" s="29" t="str">
        <f aca="false">IF($J75="","출고일 미정",IF($N75="X","작지 미등록",IF(AND($O75&lt;&gt;"",$O75&gt;$L75),"소재입고 마감("&amp;TEXT($L75,"MM/DD")&amp;") 초과",IF($N75="","작지 등록여부 확인 필요",IF($O75="","소재 입고일정 확인 필요","정상")))))</f>
        <v>작지 등록여부 확인 필요</v>
      </c>
      <c r="U75" s="27" t="str">
        <f aca="false">IF($J75="","",IF(OR($T75="작지 미등록",LEFT($T75,4)="소재입고"),IF(LEFT($E75,1)="S","★ 납기위험(S코드)","◆ 지연주의"),IF($T75="정상","✓ 정상","? 확인필요")))</f>
        <v>? 확인필요</v>
      </c>
      <c r="V75" s="30"/>
      <c r="W75" s="18"/>
    </row>
    <row r="76" customFormat="false" ht="15" hidden="false" customHeight="false" outlineLevel="0" collapsed="false">
      <c r="A76" s="27" t="n">
        <v>72</v>
      </c>
      <c r="B76" s="28" t="s">
        <v>114</v>
      </c>
      <c r="C76" s="29" t="s">
        <v>260</v>
      </c>
      <c r="D76" s="28" t="s">
        <v>261</v>
      </c>
      <c r="E76" s="27" t="str">
        <f aca="false">IF($C76="","",IF(MID($C76,5,1)="S","S(봄)",IF(MID($C76,5,1)="M","M(여름)",IF(MID($C76,5,1)="X","X(사계절)",MID($C76,5,1)))))</f>
        <v>M(여름)</v>
      </c>
      <c r="F76" s="29" t="s">
        <v>181</v>
      </c>
      <c r="G76" s="30" t="s">
        <v>253</v>
      </c>
      <c r="H76" s="27" t="str">
        <f aca="false">IF($C76="","",REPLACE($C76,6,2,"26"))</f>
        <v>JWTCM26133</v>
      </c>
      <c r="I76" s="31" t="str">
        <f aca="false">IFERROR(INDEX(전년출고참조!$B$4:$B$438,MATCH($H76,전년출고참조!$A$4:$A$438,0)),"")</f>
        <v/>
      </c>
      <c r="J76" s="31" t="n">
        <f aca="false">IF($G76&lt;&gt;"",IFERROR(DATE(IF(VALUE(LEFT($G76,FIND("월",$G76)-1))&gt;=9,기준정보!$C$6-1,기준정보!$C$6),VALUE(LEFT($G76,FIND("월",$G76)-1)),1+7*(VALUE(SUBSTITUTE(MID($G76,FIND("월",$G76)+1,5),"주",""))-1)),""),IF($I76="","",IF(ISNUMBER($I76),$I76+364,IFERROR(DATE(IF(VALUE(LEFT($I76,FIND("월",$I76)-1))&gt;=9,기준정보!$C$6-1,기준정보!$C$6),VALUE(LEFT($I76,FIND("월",$I76)-1)),1+7*(VALUE(SUBSTITUTE(MID($I76,FIND("월",$I76)+1,5),"주",""))-1)),""))))</f>
        <v>46468</v>
      </c>
      <c r="K76" s="27" t="str">
        <f aca="false">IF($G76&lt;&gt;"","계획 주차",IF($J76&lt;&gt;"","전년+1년 예측","미정"))</f>
        <v>계획 주차</v>
      </c>
      <c r="L76" s="31" t="n">
        <f aca="false">IF($J76="","",$J76-기준정보!$C$5)</f>
        <v>46378</v>
      </c>
      <c r="M76" s="32" t="n">
        <f aca="false">IF($L76="","",$L76-기준정보!$C$4)</f>
        <v>138</v>
      </c>
      <c r="N76" s="30"/>
      <c r="O76" s="19"/>
      <c r="P76" s="30"/>
      <c r="Q76" s="29" t="str">
        <f aca="false">IF($P76="CMT","본사(소재팀)",IF($P76="사입","생산처",""))</f>
        <v/>
      </c>
      <c r="R76" s="18"/>
      <c r="S76" s="18"/>
      <c r="T76" s="29" t="str">
        <f aca="false">IF($J76="","출고일 미정",IF($N76="X","작지 미등록",IF(AND($O76&lt;&gt;"",$O76&gt;$L76),"소재입고 마감("&amp;TEXT($L76,"MM/DD")&amp;") 초과",IF($N76="","작지 등록여부 확인 필요",IF($O76="","소재 입고일정 확인 필요","정상")))))</f>
        <v>작지 등록여부 확인 필요</v>
      </c>
      <c r="U76" s="27" t="str">
        <f aca="false">IF($J76="","",IF(OR($T76="작지 미등록",LEFT($T76,4)="소재입고"),IF(LEFT($E76,1)="S","★ 납기위험(S코드)","◆ 지연주의"),IF($T76="정상","✓ 정상","? 확인필요")))</f>
        <v>? 확인필요</v>
      </c>
      <c r="V76" s="30"/>
      <c r="W76" s="18"/>
    </row>
    <row r="77" customFormat="false" ht="15" hidden="false" customHeight="false" outlineLevel="0" collapsed="false">
      <c r="A77" s="27" t="n">
        <v>73</v>
      </c>
      <c r="B77" s="28" t="s">
        <v>114</v>
      </c>
      <c r="C77" s="29" t="s">
        <v>262</v>
      </c>
      <c r="D77" s="28" t="s">
        <v>263</v>
      </c>
      <c r="E77" s="27" t="str">
        <f aca="false">IF($C77="","",IF(MID($C77,5,1)="S","S(봄)",IF(MID($C77,5,1)="M","M(여름)",IF(MID($C77,5,1)="X","X(사계절)",MID($C77,5,1)))))</f>
        <v>M(여름)</v>
      </c>
      <c r="F77" s="29" t="s">
        <v>181</v>
      </c>
      <c r="G77" s="30" t="s">
        <v>253</v>
      </c>
      <c r="H77" s="27" t="str">
        <f aca="false">IF($C77="","",REPLACE($C77,6,2,"26"))</f>
        <v>JWTCM26135</v>
      </c>
      <c r="I77" s="31" t="str">
        <f aca="false">IFERROR(INDEX(전년출고참조!$B$4:$B$438,MATCH($H77,전년출고참조!$A$4:$A$438,0)),"")</f>
        <v/>
      </c>
      <c r="J77" s="31" t="n">
        <f aca="false">IF($G77&lt;&gt;"",IFERROR(DATE(IF(VALUE(LEFT($G77,FIND("월",$G77)-1))&gt;=9,기준정보!$C$6-1,기준정보!$C$6),VALUE(LEFT($G77,FIND("월",$G77)-1)),1+7*(VALUE(SUBSTITUTE(MID($G77,FIND("월",$G77)+1,5),"주",""))-1)),""),IF($I77="","",IF(ISNUMBER($I77),$I77+364,IFERROR(DATE(IF(VALUE(LEFT($I77,FIND("월",$I77)-1))&gt;=9,기준정보!$C$6-1,기준정보!$C$6),VALUE(LEFT($I77,FIND("월",$I77)-1)),1+7*(VALUE(SUBSTITUTE(MID($I77,FIND("월",$I77)+1,5),"주",""))-1)),""))))</f>
        <v>46468</v>
      </c>
      <c r="K77" s="27" t="str">
        <f aca="false">IF($G77&lt;&gt;"","계획 주차",IF($J77&lt;&gt;"","전년+1년 예측","미정"))</f>
        <v>계획 주차</v>
      </c>
      <c r="L77" s="31" t="n">
        <f aca="false">IF($J77="","",$J77-기준정보!$C$5)</f>
        <v>46378</v>
      </c>
      <c r="M77" s="32" t="n">
        <f aca="false">IF($L77="","",$L77-기준정보!$C$4)</f>
        <v>138</v>
      </c>
      <c r="N77" s="30"/>
      <c r="O77" s="19"/>
      <c r="P77" s="30"/>
      <c r="Q77" s="29" t="str">
        <f aca="false">IF($P77="CMT","본사(소재팀)",IF($P77="사입","생산처",""))</f>
        <v/>
      </c>
      <c r="R77" s="18"/>
      <c r="S77" s="18"/>
      <c r="T77" s="29" t="str">
        <f aca="false">IF($J77="","출고일 미정",IF($N77="X","작지 미등록",IF(AND($O77&lt;&gt;"",$O77&gt;$L77),"소재입고 마감("&amp;TEXT($L77,"MM/DD")&amp;") 초과",IF($N77="","작지 등록여부 확인 필요",IF($O77="","소재 입고일정 확인 필요","정상")))))</f>
        <v>작지 등록여부 확인 필요</v>
      </c>
      <c r="U77" s="27" t="str">
        <f aca="false">IF($J77="","",IF(OR($T77="작지 미등록",LEFT($T77,4)="소재입고"),IF(LEFT($E77,1)="S","★ 납기위험(S코드)","◆ 지연주의"),IF($T77="정상","✓ 정상","? 확인필요")))</f>
        <v>? 확인필요</v>
      </c>
      <c r="V77" s="30"/>
      <c r="W77" s="18"/>
    </row>
    <row r="78" customFormat="false" ht="15" hidden="false" customHeight="false" outlineLevel="0" collapsed="false">
      <c r="A78" s="27" t="n">
        <v>74</v>
      </c>
      <c r="B78" s="29"/>
      <c r="C78" s="29" t="s">
        <v>264</v>
      </c>
      <c r="D78" s="29"/>
      <c r="E78" s="27" t="str">
        <f aca="false">IF($C78="","",IF(MID($C78,5,1)="S","S(봄)",IF(MID($C78,5,1)="M","M(여름)",IF(MID($C78,5,1)="X","X(사계절)",MID($C78,5,1)))))</f>
        <v>M(여름)</v>
      </c>
      <c r="F78" s="29" t="s">
        <v>181</v>
      </c>
      <c r="G78" s="30" t="s">
        <v>253</v>
      </c>
      <c r="H78" s="27" t="str">
        <f aca="false">IF($C78="","",REPLACE($C78,6,2,"26"))</f>
        <v>JWTCM26137</v>
      </c>
      <c r="I78" s="31" t="str">
        <f aca="false">IFERROR(INDEX(전년출고참조!$B$4:$B$438,MATCH($H78,전년출고참조!$A$4:$A$438,0)),"")</f>
        <v/>
      </c>
      <c r="J78" s="31" t="n">
        <f aca="false">IF($G78&lt;&gt;"",IFERROR(DATE(IF(VALUE(LEFT($G78,FIND("월",$G78)-1))&gt;=9,기준정보!$C$6-1,기준정보!$C$6),VALUE(LEFT($G78,FIND("월",$G78)-1)),1+7*(VALUE(SUBSTITUTE(MID($G78,FIND("월",$G78)+1,5),"주",""))-1)),""),IF($I78="","",IF(ISNUMBER($I78),$I78+364,IFERROR(DATE(IF(VALUE(LEFT($I78,FIND("월",$I78)-1))&gt;=9,기준정보!$C$6-1,기준정보!$C$6),VALUE(LEFT($I78,FIND("월",$I78)-1)),1+7*(VALUE(SUBSTITUTE(MID($I78,FIND("월",$I78)+1,5),"주",""))-1)),""))))</f>
        <v>46468</v>
      </c>
      <c r="K78" s="27" t="str">
        <f aca="false">IF($G78&lt;&gt;"","계획 주차",IF($J78&lt;&gt;"","전년+1년 예측","미정"))</f>
        <v>계획 주차</v>
      </c>
      <c r="L78" s="31" t="n">
        <f aca="false">IF($J78="","",$J78-기준정보!$C$5)</f>
        <v>46378</v>
      </c>
      <c r="M78" s="32" t="n">
        <f aca="false">IF($L78="","",$L78-기준정보!$C$4)</f>
        <v>138</v>
      </c>
      <c r="N78" s="30"/>
      <c r="O78" s="19"/>
      <c r="P78" s="30"/>
      <c r="Q78" s="29" t="str">
        <f aca="false">IF($P78="CMT","본사(소재팀)",IF($P78="사입","생산처",""))</f>
        <v/>
      </c>
      <c r="R78" s="18"/>
      <c r="S78" s="18"/>
      <c r="T78" s="29" t="str">
        <f aca="false">IF($J78="","출고일 미정",IF($N78="X","작지 미등록",IF(AND($O78&lt;&gt;"",$O78&gt;$L78),"소재입고 마감("&amp;TEXT($L78,"MM/DD")&amp;") 초과",IF($N78="","작지 등록여부 확인 필요",IF($O78="","소재 입고일정 확인 필요","정상")))))</f>
        <v>작지 등록여부 확인 필요</v>
      </c>
      <c r="U78" s="27" t="str">
        <f aca="false">IF($J78="","",IF(OR($T78="작지 미등록",LEFT($T78,4)="소재입고"),IF(LEFT($E78,1)="S","★ 납기위험(S코드)","◆ 지연주의"),IF($T78="정상","✓ 정상","? 확인필요")))</f>
        <v>? 확인필요</v>
      </c>
      <c r="V78" s="30"/>
      <c r="W78" s="18"/>
    </row>
    <row r="79" customFormat="false" ht="15" hidden="false" customHeight="false" outlineLevel="0" collapsed="false">
      <c r="A79" s="27" t="n">
        <v>75</v>
      </c>
      <c r="B79" s="28" t="s">
        <v>114</v>
      </c>
      <c r="C79" s="29" t="s">
        <v>265</v>
      </c>
      <c r="D79" s="28" t="s">
        <v>266</v>
      </c>
      <c r="E79" s="27" t="str">
        <f aca="false">IF($C79="","",IF(MID($C79,5,1)="S","S(봄)",IF(MID($C79,5,1)="M","M(여름)",IF(MID($C79,5,1)="X","X(사계절)",MID($C79,5,1)))))</f>
        <v>M(여름)</v>
      </c>
      <c r="F79" s="29" t="s">
        <v>181</v>
      </c>
      <c r="G79" s="30" t="s">
        <v>253</v>
      </c>
      <c r="H79" s="27" t="str">
        <f aca="false">IF($C79="","",REPLACE($C79,6,2,"26"))</f>
        <v>JWTCM26153</v>
      </c>
      <c r="I79" s="31" t="str">
        <f aca="false">IFERROR(INDEX(전년출고참조!$B$4:$B$438,MATCH($H79,전년출고참조!$A$4:$A$438,0)),"")</f>
        <v/>
      </c>
      <c r="J79" s="31" t="n">
        <f aca="false">IF($G79&lt;&gt;"",IFERROR(DATE(IF(VALUE(LEFT($G79,FIND("월",$G79)-1))&gt;=9,기준정보!$C$6-1,기준정보!$C$6),VALUE(LEFT($G79,FIND("월",$G79)-1)),1+7*(VALUE(SUBSTITUTE(MID($G79,FIND("월",$G79)+1,5),"주",""))-1)),""),IF($I79="","",IF(ISNUMBER($I79),$I79+364,IFERROR(DATE(IF(VALUE(LEFT($I79,FIND("월",$I79)-1))&gt;=9,기준정보!$C$6-1,기준정보!$C$6),VALUE(LEFT($I79,FIND("월",$I79)-1)),1+7*(VALUE(SUBSTITUTE(MID($I79,FIND("월",$I79)+1,5),"주",""))-1)),""))))</f>
        <v>46468</v>
      </c>
      <c r="K79" s="27" t="str">
        <f aca="false">IF($G79&lt;&gt;"","계획 주차",IF($J79&lt;&gt;"","전년+1년 예측","미정"))</f>
        <v>계획 주차</v>
      </c>
      <c r="L79" s="31" t="n">
        <f aca="false">IF($J79="","",$J79-기준정보!$C$5)</f>
        <v>46378</v>
      </c>
      <c r="M79" s="32" t="n">
        <f aca="false">IF($L79="","",$L79-기준정보!$C$4)</f>
        <v>138</v>
      </c>
      <c r="N79" s="30"/>
      <c r="O79" s="19"/>
      <c r="P79" s="30"/>
      <c r="Q79" s="29" t="str">
        <f aca="false">IF($P79="CMT","본사(소재팀)",IF($P79="사입","생산처",""))</f>
        <v/>
      </c>
      <c r="R79" s="18"/>
      <c r="S79" s="18"/>
      <c r="T79" s="29" t="str">
        <f aca="false">IF($J79="","출고일 미정",IF($N79="X","작지 미등록",IF(AND($O79&lt;&gt;"",$O79&gt;$L79),"소재입고 마감("&amp;TEXT($L79,"MM/DD")&amp;") 초과",IF($N79="","작지 등록여부 확인 필요",IF($O79="","소재 입고일정 확인 필요","정상")))))</f>
        <v>작지 등록여부 확인 필요</v>
      </c>
      <c r="U79" s="27" t="str">
        <f aca="false">IF($J79="","",IF(OR($T79="작지 미등록",LEFT($T79,4)="소재입고"),IF(LEFT($E79,1)="S","★ 납기위험(S코드)","◆ 지연주의"),IF($T79="정상","✓ 정상","? 확인필요")))</f>
        <v>? 확인필요</v>
      </c>
      <c r="V79" s="30"/>
      <c r="W79" s="18"/>
    </row>
    <row r="80" customFormat="false" ht="15" hidden="false" customHeight="false" outlineLevel="0" collapsed="false">
      <c r="A80" s="27" t="n">
        <v>76</v>
      </c>
      <c r="B80" s="28" t="s">
        <v>114</v>
      </c>
      <c r="C80" s="29" t="s">
        <v>267</v>
      </c>
      <c r="D80" s="28" t="s">
        <v>268</v>
      </c>
      <c r="E80" s="27" t="str">
        <f aca="false">IF($C80="","",IF(MID($C80,5,1)="S","S(봄)",IF(MID($C80,5,1)="M","M(여름)",IF(MID($C80,5,1)="X","X(사계절)",MID($C80,5,1)))))</f>
        <v>M(여름)</v>
      </c>
      <c r="F80" s="29" t="s">
        <v>181</v>
      </c>
      <c r="G80" s="30" t="s">
        <v>253</v>
      </c>
      <c r="H80" s="27" t="str">
        <f aca="false">IF($C80="","",REPLACE($C80,6,2,"26"))</f>
        <v>JWTCM26183</v>
      </c>
      <c r="I80" s="31" t="str">
        <f aca="false">IFERROR(INDEX(전년출고참조!$B$4:$B$438,MATCH($H80,전년출고참조!$A$4:$A$438,0)),"")</f>
        <v/>
      </c>
      <c r="J80" s="31" t="n">
        <f aca="false">IF($G80&lt;&gt;"",IFERROR(DATE(IF(VALUE(LEFT($G80,FIND("월",$G80)-1))&gt;=9,기준정보!$C$6-1,기준정보!$C$6),VALUE(LEFT($G80,FIND("월",$G80)-1)),1+7*(VALUE(SUBSTITUTE(MID($G80,FIND("월",$G80)+1,5),"주",""))-1)),""),IF($I80="","",IF(ISNUMBER($I80),$I80+364,IFERROR(DATE(IF(VALUE(LEFT($I80,FIND("월",$I80)-1))&gt;=9,기준정보!$C$6-1,기준정보!$C$6),VALUE(LEFT($I80,FIND("월",$I80)-1)),1+7*(VALUE(SUBSTITUTE(MID($I80,FIND("월",$I80)+1,5),"주",""))-1)),""))))</f>
        <v>46468</v>
      </c>
      <c r="K80" s="27" t="str">
        <f aca="false">IF($G80&lt;&gt;"","계획 주차",IF($J80&lt;&gt;"","전년+1년 예측","미정"))</f>
        <v>계획 주차</v>
      </c>
      <c r="L80" s="31" t="n">
        <f aca="false">IF($J80="","",$J80-기준정보!$C$5)</f>
        <v>46378</v>
      </c>
      <c r="M80" s="32" t="n">
        <f aca="false">IF($L80="","",$L80-기준정보!$C$4)</f>
        <v>138</v>
      </c>
      <c r="N80" s="30"/>
      <c r="O80" s="19"/>
      <c r="P80" s="30"/>
      <c r="Q80" s="29" t="str">
        <f aca="false">IF($P80="CMT","본사(소재팀)",IF($P80="사입","생산처",""))</f>
        <v/>
      </c>
      <c r="R80" s="18"/>
      <c r="S80" s="18"/>
      <c r="T80" s="29" t="str">
        <f aca="false">IF($J80="","출고일 미정",IF($N80="X","작지 미등록",IF(AND($O80&lt;&gt;"",$O80&gt;$L80),"소재입고 마감("&amp;TEXT($L80,"MM/DD")&amp;") 초과",IF($N80="","작지 등록여부 확인 필요",IF($O80="","소재 입고일정 확인 필요","정상")))))</f>
        <v>작지 등록여부 확인 필요</v>
      </c>
      <c r="U80" s="27" t="str">
        <f aca="false">IF($J80="","",IF(OR($T80="작지 미등록",LEFT($T80,4)="소재입고"),IF(LEFT($E80,1)="S","★ 납기위험(S코드)","◆ 지연주의"),IF($T80="정상","✓ 정상","? 확인필요")))</f>
        <v>? 확인필요</v>
      </c>
      <c r="V80" s="30"/>
      <c r="W80" s="18"/>
    </row>
    <row r="81" customFormat="false" ht="15" hidden="false" customHeight="false" outlineLevel="0" collapsed="false">
      <c r="A81" s="27" t="n">
        <v>77</v>
      </c>
      <c r="B81" s="28" t="s">
        <v>114</v>
      </c>
      <c r="C81" s="29" t="s">
        <v>269</v>
      </c>
      <c r="D81" s="28" t="s">
        <v>270</v>
      </c>
      <c r="E81" s="27" t="str">
        <f aca="false">IF($C81="","",IF(MID($C81,5,1)="S","S(봄)",IF(MID($C81,5,1)="M","M(여름)",IF(MID($C81,5,1)="X","X(사계절)",MID($C81,5,1)))))</f>
        <v>M(여름)</v>
      </c>
      <c r="F81" s="29" t="s">
        <v>181</v>
      </c>
      <c r="G81" s="30" t="s">
        <v>253</v>
      </c>
      <c r="H81" s="27" t="str">
        <f aca="false">IF($C81="","",REPLACE($C81,6,2,"26"))</f>
        <v>JWTCM26185</v>
      </c>
      <c r="I81" s="31" t="str">
        <f aca="false">IFERROR(INDEX(전년출고참조!$B$4:$B$438,MATCH($H81,전년출고참조!$A$4:$A$438,0)),"")</f>
        <v/>
      </c>
      <c r="J81" s="31" t="n">
        <f aca="false">IF($G81&lt;&gt;"",IFERROR(DATE(IF(VALUE(LEFT($G81,FIND("월",$G81)-1))&gt;=9,기준정보!$C$6-1,기준정보!$C$6),VALUE(LEFT($G81,FIND("월",$G81)-1)),1+7*(VALUE(SUBSTITUTE(MID($G81,FIND("월",$G81)+1,5),"주",""))-1)),""),IF($I81="","",IF(ISNUMBER($I81),$I81+364,IFERROR(DATE(IF(VALUE(LEFT($I81,FIND("월",$I81)-1))&gt;=9,기준정보!$C$6-1,기준정보!$C$6),VALUE(LEFT($I81,FIND("월",$I81)-1)),1+7*(VALUE(SUBSTITUTE(MID($I81,FIND("월",$I81)+1,5),"주",""))-1)),""))))</f>
        <v>46468</v>
      </c>
      <c r="K81" s="27" t="str">
        <f aca="false">IF($G81&lt;&gt;"","계획 주차",IF($J81&lt;&gt;"","전년+1년 예측","미정"))</f>
        <v>계획 주차</v>
      </c>
      <c r="L81" s="31" t="n">
        <f aca="false">IF($J81="","",$J81-기준정보!$C$5)</f>
        <v>46378</v>
      </c>
      <c r="M81" s="32" t="n">
        <f aca="false">IF($L81="","",$L81-기준정보!$C$4)</f>
        <v>138</v>
      </c>
      <c r="N81" s="30"/>
      <c r="O81" s="19"/>
      <c r="P81" s="30"/>
      <c r="Q81" s="29" t="str">
        <f aca="false">IF($P81="CMT","본사(소재팀)",IF($P81="사입","생산처",""))</f>
        <v/>
      </c>
      <c r="R81" s="18"/>
      <c r="S81" s="18"/>
      <c r="T81" s="29" t="str">
        <f aca="false">IF($J81="","출고일 미정",IF($N81="X","작지 미등록",IF(AND($O81&lt;&gt;"",$O81&gt;$L81),"소재입고 마감("&amp;TEXT($L81,"MM/DD")&amp;") 초과",IF($N81="","작지 등록여부 확인 필요",IF($O81="","소재 입고일정 확인 필요","정상")))))</f>
        <v>작지 등록여부 확인 필요</v>
      </c>
      <c r="U81" s="27" t="str">
        <f aca="false">IF($J81="","",IF(OR($T81="작지 미등록",LEFT($T81,4)="소재입고"),IF(LEFT($E81,1)="S","★ 납기위험(S코드)","◆ 지연주의"),IF($T81="정상","✓ 정상","? 확인필요")))</f>
        <v>? 확인필요</v>
      </c>
      <c r="V81" s="30"/>
      <c r="W81" s="18"/>
    </row>
    <row r="82" customFormat="false" ht="15" hidden="false" customHeight="false" outlineLevel="0" collapsed="false">
      <c r="A82" s="27" t="n">
        <v>78</v>
      </c>
      <c r="B82" s="28" t="s">
        <v>114</v>
      </c>
      <c r="C82" s="29" t="s">
        <v>271</v>
      </c>
      <c r="D82" s="28" t="s">
        <v>272</v>
      </c>
      <c r="E82" s="27" t="str">
        <f aca="false">IF($C82="","",IF(MID($C82,5,1)="S","S(봄)",IF(MID($C82,5,1)="M","M(여름)",IF(MID($C82,5,1)="X","X(사계절)",MID($C82,5,1)))))</f>
        <v>M(여름)</v>
      </c>
      <c r="F82" s="29" t="s">
        <v>181</v>
      </c>
      <c r="G82" s="30" t="s">
        <v>253</v>
      </c>
      <c r="H82" s="27" t="str">
        <f aca="false">IF($C82="","",REPLACE($C82,6,2,"26"))</f>
        <v>JWTCM26187</v>
      </c>
      <c r="I82" s="31" t="str">
        <f aca="false">IFERROR(INDEX(전년출고참조!$B$4:$B$438,MATCH($H82,전년출고참조!$A$4:$A$438,0)),"")</f>
        <v/>
      </c>
      <c r="J82" s="31" t="n">
        <f aca="false">IF($G82&lt;&gt;"",IFERROR(DATE(IF(VALUE(LEFT($G82,FIND("월",$G82)-1))&gt;=9,기준정보!$C$6-1,기준정보!$C$6),VALUE(LEFT($G82,FIND("월",$G82)-1)),1+7*(VALUE(SUBSTITUTE(MID($G82,FIND("월",$G82)+1,5),"주",""))-1)),""),IF($I82="","",IF(ISNUMBER($I82),$I82+364,IFERROR(DATE(IF(VALUE(LEFT($I82,FIND("월",$I82)-1))&gt;=9,기준정보!$C$6-1,기준정보!$C$6),VALUE(LEFT($I82,FIND("월",$I82)-1)),1+7*(VALUE(SUBSTITUTE(MID($I82,FIND("월",$I82)+1,5),"주",""))-1)),""))))</f>
        <v>46468</v>
      </c>
      <c r="K82" s="27" t="str">
        <f aca="false">IF($G82&lt;&gt;"","계획 주차",IF($J82&lt;&gt;"","전년+1년 예측","미정"))</f>
        <v>계획 주차</v>
      </c>
      <c r="L82" s="31" t="n">
        <f aca="false">IF($J82="","",$J82-기준정보!$C$5)</f>
        <v>46378</v>
      </c>
      <c r="M82" s="32" t="n">
        <f aca="false">IF($L82="","",$L82-기준정보!$C$4)</f>
        <v>138</v>
      </c>
      <c r="N82" s="30"/>
      <c r="O82" s="19"/>
      <c r="P82" s="30"/>
      <c r="Q82" s="29" t="str">
        <f aca="false">IF($P82="CMT","본사(소재팀)",IF($P82="사입","생산처",""))</f>
        <v/>
      </c>
      <c r="R82" s="18"/>
      <c r="S82" s="18"/>
      <c r="T82" s="29" t="str">
        <f aca="false">IF($J82="","출고일 미정",IF($N82="X","작지 미등록",IF(AND($O82&lt;&gt;"",$O82&gt;$L82),"소재입고 마감("&amp;TEXT($L82,"MM/DD")&amp;") 초과",IF($N82="","작지 등록여부 확인 필요",IF($O82="","소재 입고일정 확인 필요","정상")))))</f>
        <v>작지 등록여부 확인 필요</v>
      </c>
      <c r="U82" s="27" t="str">
        <f aca="false">IF($J82="","",IF(OR($T82="작지 미등록",LEFT($T82,4)="소재입고"),IF(LEFT($E82,1)="S","★ 납기위험(S코드)","◆ 지연주의"),IF($T82="정상","✓ 정상","? 확인필요")))</f>
        <v>? 확인필요</v>
      </c>
      <c r="V82" s="30"/>
      <c r="W82" s="18"/>
    </row>
    <row r="83" customFormat="false" ht="15" hidden="false" customHeight="false" outlineLevel="0" collapsed="false">
      <c r="A83" s="27" t="n">
        <v>79</v>
      </c>
      <c r="B83" s="28" t="s">
        <v>125</v>
      </c>
      <c r="C83" s="29" t="s">
        <v>273</v>
      </c>
      <c r="D83" s="28" t="s">
        <v>274</v>
      </c>
      <c r="E83" s="27" t="str">
        <f aca="false">IF($C83="","",IF(MID($C83,5,1)="S","S(봄)",IF(MID($C83,5,1)="M","M(여름)",IF(MID($C83,5,1)="X","X(사계절)",MID($C83,5,1)))))</f>
        <v>M(여름)</v>
      </c>
      <c r="F83" s="29" t="s">
        <v>275</v>
      </c>
      <c r="G83" s="30" t="s">
        <v>253</v>
      </c>
      <c r="H83" s="27" t="str">
        <f aca="false">IF($C83="","",REPLACE($C83,6,2,"26"))</f>
        <v>TVPNM26694</v>
      </c>
      <c r="I83" s="31" t="str">
        <f aca="false">IFERROR(INDEX(전년출고참조!$B$4:$B$438,MATCH($H83,전년출고참조!$A$4:$A$438,0)),"")</f>
        <v/>
      </c>
      <c r="J83" s="31" t="n">
        <f aca="false">IF($G83&lt;&gt;"",IFERROR(DATE(IF(VALUE(LEFT($G83,FIND("월",$G83)-1))&gt;=9,기준정보!$C$6-1,기준정보!$C$6),VALUE(LEFT($G83,FIND("월",$G83)-1)),1+7*(VALUE(SUBSTITUTE(MID($G83,FIND("월",$G83)+1,5),"주",""))-1)),""),IF($I83="","",IF(ISNUMBER($I83),$I83+364,IFERROR(DATE(IF(VALUE(LEFT($I83,FIND("월",$I83)-1))&gt;=9,기준정보!$C$6-1,기준정보!$C$6),VALUE(LEFT($I83,FIND("월",$I83)-1)),1+7*(VALUE(SUBSTITUTE(MID($I83,FIND("월",$I83)+1,5),"주",""))-1)),""))))</f>
        <v>46468</v>
      </c>
      <c r="K83" s="27" t="str">
        <f aca="false">IF($G83&lt;&gt;"","계획 주차",IF($J83&lt;&gt;"","전년+1년 예측","미정"))</f>
        <v>계획 주차</v>
      </c>
      <c r="L83" s="31" t="n">
        <f aca="false">IF($J83="","",$J83-기준정보!$C$5)</f>
        <v>46378</v>
      </c>
      <c r="M83" s="32" t="n">
        <f aca="false">IF($L83="","",$L83-기준정보!$C$4)</f>
        <v>138</v>
      </c>
      <c r="N83" s="30"/>
      <c r="O83" s="19"/>
      <c r="P83" s="30"/>
      <c r="Q83" s="29" t="str">
        <f aca="false">IF($P83="CMT","본사(소재팀)",IF($P83="사입","생산처",""))</f>
        <v/>
      </c>
      <c r="R83" s="18"/>
      <c r="S83" s="18"/>
      <c r="T83" s="29" t="str">
        <f aca="false">IF($J83="","출고일 미정",IF($N83="X","작지 미등록",IF(AND($O83&lt;&gt;"",$O83&gt;$L83),"소재입고 마감("&amp;TEXT($L83,"MM/DD")&amp;") 초과",IF($N83="","작지 등록여부 확인 필요",IF($O83="","소재 입고일정 확인 필요","정상")))))</f>
        <v>작지 등록여부 확인 필요</v>
      </c>
      <c r="U83" s="27" t="str">
        <f aca="false">IF($J83="","",IF(OR($T83="작지 미등록",LEFT($T83,4)="소재입고"),IF(LEFT($E83,1)="S","★ 납기위험(S코드)","◆ 지연주의"),IF($T83="정상","✓ 정상","? 확인필요")))</f>
        <v>? 확인필요</v>
      </c>
      <c r="V83" s="30"/>
      <c r="W83" s="18"/>
    </row>
    <row r="84" customFormat="false" ht="15" hidden="false" customHeight="false" outlineLevel="0" collapsed="false">
      <c r="A84" s="27" t="n">
        <v>80</v>
      </c>
      <c r="B84" s="28" t="s">
        <v>125</v>
      </c>
      <c r="C84" s="29" t="s">
        <v>276</v>
      </c>
      <c r="D84" s="28" t="s">
        <v>277</v>
      </c>
      <c r="E84" s="27" t="str">
        <f aca="false">IF($C84="","",IF(MID($C84,5,1)="S","S(봄)",IF(MID($C84,5,1)="M","M(여름)",IF(MID($C84,5,1)="X","X(사계절)",MID($C84,5,1)))))</f>
        <v>M(여름)</v>
      </c>
      <c r="F84" s="29" t="s">
        <v>275</v>
      </c>
      <c r="G84" s="30" t="s">
        <v>253</v>
      </c>
      <c r="H84" s="27" t="str">
        <f aca="false">IF($C84="","",REPLACE($C84,6,2,"26"))</f>
        <v>TVPOM26512</v>
      </c>
      <c r="I84" s="31" t="str">
        <f aca="false">IFERROR(INDEX(전년출고참조!$B$4:$B$438,MATCH($H84,전년출고참조!$A$4:$A$438,0)),"")</f>
        <v/>
      </c>
      <c r="J84" s="31" t="n">
        <f aca="false">IF($G84&lt;&gt;"",IFERROR(DATE(IF(VALUE(LEFT($G84,FIND("월",$G84)-1))&gt;=9,기준정보!$C$6-1,기준정보!$C$6),VALUE(LEFT($G84,FIND("월",$G84)-1)),1+7*(VALUE(SUBSTITUTE(MID($G84,FIND("월",$G84)+1,5),"주",""))-1)),""),IF($I84="","",IF(ISNUMBER($I84),$I84+364,IFERROR(DATE(IF(VALUE(LEFT($I84,FIND("월",$I84)-1))&gt;=9,기준정보!$C$6-1,기준정보!$C$6),VALUE(LEFT($I84,FIND("월",$I84)-1)),1+7*(VALUE(SUBSTITUTE(MID($I84,FIND("월",$I84)+1,5),"주",""))-1)),""))))</f>
        <v>46468</v>
      </c>
      <c r="K84" s="27" t="str">
        <f aca="false">IF($G84&lt;&gt;"","계획 주차",IF($J84&lt;&gt;"","전년+1년 예측","미정"))</f>
        <v>계획 주차</v>
      </c>
      <c r="L84" s="31" t="n">
        <f aca="false">IF($J84="","",$J84-기준정보!$C$5)</f>
        <v>46378</v>
      </c>
      <c r="M84" s="32" t="n">
        <f aca="false">IF($L84="","",$L84-기준정보!$C$4)</f>
        <v>138</v>
      </c>
      <c r="N84" s="30"/>
      <c r="O84" s="19"/>
      <c r="P84" s="30"/>
      <c r="Q84" s="29" t="str">
        <f aca="false">IF($P84="CMT","본사(소재팀)",IF($P84="사입","생산처",""))</f>
        <v/>
      </c>
      <c r="R84" s="18"/>
      <c r="S84" s="18"/>
      <c r="T84" s="29" t="str">
        <f aca="false">IF($J84="","출고일 미정",IF($N84="X","작지 미등록",IF(AND($O84&lt;&gt;"",$O84&gt;$L84),"소재입고 마감("&amp;TEXT($L84,"MM/DD")&amp;") 초과",IF($N84="","작지 등록여부 확인 필요",IF($O84="","소재 입고일정 확인 필요","정상")))))</f>
        <v>작지 등록여부 확인 필요</v>
      </c>
      <c r="U84" s="27" t="str">
        <f aca="false">IF($J84="","",IF(OR($T84="작지 미등록",LEFT($T84,4)="소재입고"),IF(LEFT($E84,1)="S","★ 납기위험(S코드)","◆ 지연주의"),IF($T84="정상","✓ 정상","? 확인필요")))</f>
        <v>? 확인필요</v>
      </c>
      <c r="V84" s="30"/>
      <c r="W84" s="18"/>
    </row>
    <row r="85" customFormat="false" ht="15" hidden="false" customHeight="false" outlineLevel="0" collapsed="false">
      <c r="A85" s="27" t="n">
        <v>81</v>
      </c>
      <c r="B85" s="28" t="s">
        <v>125</v>
      </c>
      <c r="C85" s="29" t="s">
        <v>278</v>
      </c>
      <c r="D85" s="28" t="s">
        <v>279</v>
      </c>
      <c r="E85" s="27" t="str">
        <f aca="false">IF($C85="","",IF(MID($C85,5,1)="S","S(봄)",IF(MID($C85,5,1)="M","M(여름)",IF(MID($C85,5,1)="X","X(사계절)",MID($C85,5,1)))))</f>
        <v>M(여름)</v>
      </c>
      <c r="F85" s="29" t="s">
        <v>275</v>
      </c>
      <c r="G85" s="30" t="s">
        <v>253</v>
      </c>
      <c r="H85" s="27" t="str">
        <f aca="false">IF($C85="","",REPLACE($C85,6,2,"26"))</f>
        <v>TVPOM26692</v>
      </c>
      <c r="I85" s="31" t="str">
        <f aca="false">IFERROR(INDEX(전년출고참조!$B$4:$B$438,MATCH($H85,전년출고참조!$A$4:$A$438,0)),"")</f>
        <v/>
      </c>
      <c r="J85" s="31" t="n">
        <f aca="false">IF($G85&lt;&gt;"",IFERROR(DATE(IF(VALUE(LEFT($G85,FIND("월",$G85)-1))&gt;=9,기준정보!$C$6-1,기준정보!$C$6),VALUE(LEFT($G85,FIND("월",$G85)-1)),1+7*(VALUE(SUBSTITUTE(MID($G85,FIND("월",$G85)+1,5),"주",""))-1)),""),IF($I85="","",IF(ISNUMBER($I85),$I85+364,IFERROR(DATE(IF(VALUE(LEFT($I85,FIND("월",$I85)-1))&gt;=9,기준정보!$C$6-1,기준정보!$C$6),VALUE(LEFT($I85,FIND("월",$I85)-1)),1+7*(VALUE(SUBSTITUTE(MID($I85,FIND("월",$I85)+1,5),"주",""))-1)),""))))</f>
        <v>46468</v>
      </c>
      <c r="K85" s="27" t="str">
        <f aca="false">IF($G85&lt;&gt;"","계획 주차",IF($J85&lt;&gt;"","전년+1년 예측","미정"))</f>
        <v>계획 주차</v>
      </c>
      <c r="L85" s="31" t="n">
        <f aca="false">IF($J85="","",$J85-기준정보!$C$5)</f>
        <v>46378</v>
      </c>
      <c r="M85" s="32" t="n">
        <f aca="false">IF($L85="","",$L85-기준정보!$C$4)</f>
        <v>138</v>
      </c>
      <c r="N85" s="30"/>
      <c r="O85" s="19"/>
      <c r="P85" s="30"/>
      <c r="Q85" s="29" t="str">
        <f aca="false">IF($P85="CMT","본사(소재팀)",IF($P85="사입","생산처",""))</f>
        <v/>
      </c>
      <c r="R85" s="18"/>
      <c r="S85" s="18"/>
      <c r="T85" s="29" t="str">
        <f aca="false">IF($J85="","출고일 미정",IF($N85="X","작지 미등록",IF(AND($O85&lt;&gt;"",$O85&gt;$L85),"소재입고 마감("&amp;TEXT($L85,"MM/DD")&amp;") 초과",IF($N85="","작지 등록여부 확인 필요",IF($O85="","소재 입고일정 확인 필요","정상")))))</f>
        <v>작지 등록여부 확인 필요</v>
      </c>
      <c r="U85" s="27" t="str">
        <f aca="false">IF($J85="","",IF(OR($T85="작지 미등록",LEFT($T85,4)="소재입고"),IF(LEFT($E85,1)="S","★ 납기위험(S코드)","◆ 지연주의"),IF($T85="정상","✓ 정상","? 확인필요")))</f>
        <v>? 확인필요</v>
      </c>
      <c r="V85" s="30"/>
      <c r="W85" s="18"/>
    </row>
    <row r="86" customFormat="false" ht="15" hidden="false" customHeight="false" outlineLevel="0" collapsed="false">
      <c r="A86" s="27" t="n">
        <v>82</v>
      </c>
      <c r="B86" s="28" t="s">
        <v>125</v>
      </c>
      <c r="C86" s="29" t="s">
        <v>280</v>
      </c>
      <c r="D86" s="28" t="s">
        <v>281</v>
      </c>
      <c r="E86" s="27" t="str">
        <f aca="false">IF($C86="","",IF(MID($C86,5,1)="S","S(봄)",IF(MID($C86,5,1)="M","M(여름)",IF(MID($C86,5,1)="X","X(사계절)",MID($C86,5,1)))))</f>
        <v>M(여름)</v>
      </c>
      <c r="F86" s="29" t="s">
        <v>275</v>
      </c>
      <c r="G86" s="30" t="s">
        <v>253</v>
      </c>
      <c r="H86" s="27" t="str">
        <f aca="false">IF($C86="","",REPLACE($C86,6,2,"26"))</f>
        <v>TVPOM26694</v>
      </c>
      <c r="I86" s="31" t="str">
        <f aca="false">IFERROR(INDEX(전년출고참조!$B$4:$B$438,MATCH($H86,전년출고참조!$A$4:$A$438,0)),"")</f>
        <v/>
      </c>
      <c r="J86" s="31" t="n">
        <f aca="false">IF($G86&lt;&gt;"",IFERROR(DATE(IF(VALUE(LEFT($G86,FIND("월",$G86)-1))&gt;=9,기준정보!$C$6-1,기준정보!$C$6),VALUE(LEFT($G86,FIND("월",$G86)-1)),1+7*(VALUE(SUBSTITUTE(MID($G86,FIND("월",$G86)+1,5),"주",""))-1)),""),IF($I86="","",IF(ISNUMBER($I86),$I86+364,IFERROR(DATE(IF(VALUE(LEFT($I86,FIND("월",$I86)-1))&gt;=9,기준정보!$C$6-1,기준정보!$C$6),VALUE(LEFT($I86,FIND("월",$I86)-1)),1+7*(VALUE(SUBSTITUTE(MID($I86,FIND("월",$I86)+1,5),"주",""))-1)),""))))</f>
        <v>46468</v>
      </c>
      <c r="K86" s="27" t="str">
        <f aca="false">IF($G86&lt;&gt;"","계획 주차",IF($J86&lt;&gt;"","전년+1년 예측","미정"))</f>
        <v>계획 주차</v>
      </c>
      <c r="L86" s="31" t="n">
        <f aca="false">IF($J86="","",$J86-기준정보!$C$5)</f>
        <v>46378</v>
      </c>
      <c r="M86" s="32" t="n">
        <f aca="false">IF($L86="","",$L86-기준정보!$C$4)</f>
        <v>138</v>
      </c>
      <c r="N86" s="30"/>
      <c r="O86" s="19"/>
      <c r="P86" s="30"/>
      <c r="Q86" s="29" t="str">
        <f aca="false">IF($P86="CMT","본사(소재팀)",IF($P86="사입","생산처",""))</f>
        <v/>
      </c>
      <c r="R86" s="18"/>
      <c r="S86" s="18"/>
      <c r="T86" s="29" t="str">
        <f aca="false">IF($J86="","출고일 미정",IF($N86="X","작지 미등록",IF(AND($O86&lt;&gt;"",$O86&gt;$L86),"소재입고 마감("&amp;TEXT($L86,"MM/DD")&amp;") 초과",IF($N86="","작지 등록여부 확인 필요",IF($O86="","소재 입고일정 확인 필요","정상")))))</f>
        <v>작지 등록여부 확인 필요</v>
      </c>
      <c r="U86" s="27" t="str">
        <f aca="false">IF($J86="","",IF(OR($T86="작지 미등록",LEFT($T86,4)="소재입고"),IF(LEFT($E86,1)="S","★ 납기위험(S코드)","◆ 지연주의"),IF($T86="정상","✓ 정상","? 확인필요")))</f>
        <v>? 확인필요</v>
      </c>
      <c r="V86" s="30"/>
      <c r="W86" s="18"/>
    </row>
    <row r="87" customFormat="false" ht="15" hidden="false" customHeight="false" outlineLevel="0" collapsed="false">
      <c r="A87" s="27" t="n">
        <v>83</v>
      </c>
      <c r="B87" s="28" t="s">
        <v>125</v>
      </c>
      <c r="C87" s="29" t="s">
        <v>282</v>
      </c>
      <c r="D87" s="28" t="s">
        <v>283</v>
      </c>
      <c r="E87" s="27" t="str">
        <f aca="false">IF($C87="","",IF(MID($C87,5,1)="S","S(봄)",IF(MID($C87,5,1)="M","M(여름)",IF(MID($C87,5,1)="X","X(사계절)",MID($C87,5,1)))))</f>
        <v>M(여름)</v>
      </c>
      <c r="F87" s="29" t="s">
        <v>275</v>
      </c>
      <c r="G87" s="30" t="s">
        <v>253</v>
      </c>
      <c r="H87" s="27" t="str">
        <f aca="false">IF($C87="","",REPLACE($C87,6,2,"26"))</f>
        <v>TVPOM26696</v>
      </c>
      <c r="I87" s="31" t="str">
        <f aca="false">IFERROR(INDEX(전년출고참조!$B$4:$B$438,MATCH($H87,전년출고참조!$A$4:$A$438,0)),"")</f>
        <v/>
      </c>
      <c r="J87" s="31" t="n">
        <f aca="false">IF($G87&lt;&gt;"",IFERROR(DATE(IF(VALUE(LEFT($G87,FIND("월",$G87)-1))&gt;=9,기준정보!$C$6-1,기준정보!$C$6),VALUE(LEFT($G87,FIND("월",$G87)-1)),1+7*(VALUE(SUBSTITUTE(MID($G87,FIND("월",$G87)+1,5),"주",""))-1)),""),IF($I87="","",IF(ISNUMBER($I87),$I87+364,IFERROR(DATE(IF(VALUE(LEFT($I87,FIND("월",$I87)-1))&gt;=9,기준정보!$C$6-1,기준정보!$C$6),VALUE(LEFT($I87,FIND("월",$I87)-1)),1+7*(VALUE(SUBSTITUTE(MID($I87,FIND("월",$I87)+1,5),"주",""))-1)),""))))</f>
        <v>46468</v>
      </c>
      <c r="K87" s="27" t="str">
        <f aca="false">IF($G87&lt;&gt;"","계획 주차",IF($J87&lt;&gt;"","전년+1년 예측","미정"))</f>
        <v>계획 주차</v>
      </c>
      <c r="L87" s="31" t="n">
        <f aca="false">IF($J87="","",$J87-기준정보!$C$5)</f>
        <v>46378</v>
      </c>
      <c r="M87" s="32" t="n">
        <f aca="false">IF($L87="","",$L87-기준정보!$C$4)</f>
        <v>138</v>
      </c>
      <c r="N87" s="30"/>
      <c r="O87" s="19"/>
      <c r="P87" s="30"/>
      <c r="Q87" s="29" t="str">
        <f aca="false">IF($P87="CMT","본사(소재팀)",IF($P87="사입","생산처",""))</f>
        <v/>
      </c>
      <c r="R87" s="18"/>
      <c r="S87" s="18"/>
      <c r="T87" s="29" t="str">
        <f aca="false">IF($J87="","출고일 미정",IF($N87="X","작지 미등록",IF(AND($O87&lt;&gt;"",$O87&gt;$L87),"소재입고 마감("&amp;TEXT($L87,"MM/DD")&amp;") 초과",IF($N87="","작지 등록여부 확인 필요",IF($O87="","소재 입고일정 확인 필요","정상")))))</f>
        <v>작지 등록여부 확인 필요</v>
      </c>
      <c r="U87" s="27" t="str">
        <f aca="false">IF($J87="","",IF(OR($T87="작지 미등록",LEFT($T87,4)="소재입고"),IF(LEFT($E87,1)="S","★ 납기위험(S코드)","◆ 지연주의"),IF($T87="정상","✓ 정상","? 확인필요")))</f>
        <v>? 확인필요</v>
      </c>
      <c r="V87" s="30"/>
      <c r="W87" s="18"/>
    </row>
    <row r="88" customFormat="false" ht="15" hidden="false" customHeight="false" outlineLevel="0" collapsed="false">
      <c r="A88" s="27" t="n">
        <v>84</v>
      </c>
      <c r="B88" s="28" t="s">
        <v>125</v>
      </c>
      <c r="C88" s="29" t="s">
        <v>284</v>
      </c>
      <c r="D88" s="28" t="s">
        <v>285</v>
      </c>
      <c r="E88" s="27" t="str">
        <f aca="false">IF($C88="","",IF(MID($C88,5,1)="S","S(봄)",IF(MID($C88,5,1)="M","M(여름)",IF(MID($C88,5,1)="X","X(사계절)",MID($C88,5,1)))))</f>
        <v>M(여름)</v>
      </c>
      <c r="F88" s="29" t="s">
        <v>275</v>
      </c>
      <c r="G88" s="30" t="s">
        <v>253</v>
      </c>
      <c r="H88" s="27" t="str">
        <f aca="false">IF($C88="","",REPLACE($C88,6,2,"26"))</f>
        <v>TVPOM26698</v>
      </c>
      <c r="I88" s="31" t="str">
        <f aca="false">IFERROR(INDEX(전년출고참조!$B$4:$B$438,MATCH($H88,전년출고참조!$A$4:$A$438,0)),"")</f>
        <v/>
      </c>
      <c r="J88" s="31" t="n">
        <f aca="false">IF($G88&lt;&gt;"",IFERROR(DATE(IF(VALUE(LEFT($G88,FIND("월",$G88)-1))&gt;=9,기준정보!$C$6-1,기준정보!$C$6),VALUE(LEFT($G88,FIND("월",$G88)-1)),1+7*(VALUE(SUBSTITUTE(MID($G88,FIND("월",$G88)+1,5),"주",""))-1)),""),IF($I88="","",IF(ISNUMBER($I88),$I88+364,IFERROR(DATE(IF(VALUE(LEFT($I88,FIND("월",$I88)-1))&gt;=9,기준정보!$C$6-1,기준정보!$C$6),VALUE(LEFT($I88,FIND("월",$I88)-1)),1+7*(VALUE(SUBSTITUTE(MID($I88,FIND("월",$I88)+1,5),"주",""))-1)),""))))</f>
        <v>46468</v>
      </c>
      <c r="K88" s="27" t="str">
        <f aca="false">IF($G88&lt;&gt;"","계획 주차",IF($J88&lt;&gt;"","전년+1년 예측","미정"))</f>
        <v>계획 주차</v>
      </c>
      <c r="L88" s="31" t="n">
        <f aca="false">IF($J88="","",$J88-기준정보!$C$5)</f>
        <v>46378</v>
      </c>
      <c r="M88" s="32" t="n">
        <f aca="false">IF($L88="","",$L88-기준정보!$C$4)</f>
        <v>138</v>
      </c>
      <c r="N88" s="30"/>
      <c r="O88" s="19"/>
      <c r="P88" s="30"/>
      <c r="Q88" s="29" t="str">
        <f aca="false">IF($P88="CMT","본사(소재팀)",IF($P88="사입","생산처",""))</f>
        <v/>
      </c>
      <c r="R88" s="18"/>
      <c r="S88" s="18"/>
      <c r="T88" s="29" t="str">
        <f aca="false">IF($J88="","출고일 미정",IF($N88="X","작지 미등록",IF(AND($O88&lt;&gt;"",$O88&gt;$L88),"소재입고 마감("&amp;TEXT($L88,"MM/DD")&amp;") 초과",IF($N88="","작지 등록여부 확인 필요",IF($O88="","소재 입고일정 확인 필요","정상")))))</f>
        <v>작지 등록여부 확인 필요</v>
      </c>
      <c r="U88" s="27" t="str">
        <f aca="false">IF($J88="","",IF(OR($T88="작지 미등록",LEFT($T88,4)="소재입고"),IF(LEFT($E88,1)="S","★ 납기위험(S코드)","◆ 지연주의"),IF($T88="정상","✓ 정상","? 확인필요")))</f>
        <v>? 확인필요</v>
      </c>
      <c r="V88" s="30"/>
      <c r="W88" s="18"/>
    </row>
    <row r="89" customFormat="false" ht="15" hidden="false" customHeight="false" outlineLevel="0" collapsed="false">
      <c r="A89" s="27" t="n">
        <v>85</v>
      </c>
      <c r="B89" s="28" t="s">
        <v>125</v>
      </c>
      <c r="C89" s="29" t="s">
        <v>286</v>
      </c>
      <c r="D89" s="28" t="s">
        <v>287</v>
      </c>
      <c r="E89" s="27" t="str">
        <f aca="false">IF($C89="","",IF(MID($C89,5,1)="S","S(봄)",IF(MID($C89,5,1)="M","M(여름)",IF(MID($C89,5,1)="X","X(사계절)",MID($C89,5,1)))))</f>
        <v>M(여름)</v>
      </c>
      <c r="F89" s="29" t="s">
        <v>275</v>
      </c>
      <c r="G89" s="30" t="s">
        <v>253</v>
      </c>
      <c r="H89" s="27" t="str">
        <f aca="false">IF($C89="","",REPLACE($C89,6,2,"26"))</f>
        <v>TVSCM26692</v>
      </c>
      <c r="I89" s="31" t="str">
        <f aca="false">IFERROR(INDEX(전년출고참조!$B$4:$B$438,MATCH($H89,전년출고참조!$A$4:$A$438,0)),"")</f>
        <v/>
      </c>
      <c r="J89" s="31" t="n">
        <f aca="false">IF($G89&lt;&gt;"",IFERROR(DATE(IF(VALUE(LEFT($G89,FIND("월",$G89)-1))&gt;=9,기준정보!$C$6-1,기준정보!$C$6),VALUE(LEFT($G89,FIND("월",$G89)-1)),1+7*(VALUE(SUBSTITUTE(MID($G89,FIND("월",$G89)+1,5),"주",""))-1)),""),IF($I89="","",IF(ISNUMBER($I89),$I89+364,IFERROR(DATE(IF(VALUE(LEFT($I89,FIND("월",$I89)-1))&gt;=9,기준정보!$C$6-1,기준정보!$C$6),VALUE(LEFT($I89,FIND("월",$I89)-1)),1+7*(VALUE(SUBSTITUTE(MID($I89,FIND("월",$I89)+1,5),"주",""))-1)),""))))</f>
        <v>46468</v>
      </c>
      <c r="K89" s="27" t="str">
        <f aca="false">IF($G89&lt;&gt;"","계획 주차",IF($J89&lt;&gt;"","전년+1년 예측","미정"))</f>
        <v>계획 주차</v>
      </c>
      <c r="L89" s="31" t="n">
        <f aca="false">IF($J89="","",$J89-기준정보!$C$5)</f>
        <v>46378</v>
      </c>
      <c r="M89" s="32" t="n">
        <f aca="false">IF($L89="","",$L89-기준정보!$C$4)</f>
        <v>138</v>
      </c>
      <c r="N89" s="30"/>
      <c r="O89" s="19"/>
      <c r="P89" s="30"/>
      <c r="Q89" s="29" t="str">
        <f aca="false">IF($P89="CMT","본사(소재팀)",IF($P89="사입","생산처",""))</f>
        <v/>
      </c>
      <c r="R89" s="18"/>
      <c r="S89" s="18"/>
      <c r="T89" s="29" t="str">
        <f aca="false">IF($J89="","출고일 미정",IF($N89="X","작지 미등록",IF(AND($O89&lt;&gt;"",$O89&gt;$L89),"소재입고 마감("&amp;TEXT($L89,"MM/DD")&amp;") 초과",IF($N89="","작지 등록여부 확인 필요",IF($O89="","소재 입고일정 확인 필요","정상")))))</f>
        <v>작지 등록여부 확인 필요</v>
      </c>
      <c r="U89" s="27" t="str">
        <f aca="false">IF($J89="","",IF(OR($T89="작지 미등록",LEFT($T89,4)="소재입고"),IF(LEFT($E89,1)="S","★ 납기위험(S코드)","◆ 지연주의"),IF($T89="정상","✓ 정상","? 확인필요")))</f>
        <v>? 확인필요</v>
      </c>
      <c r="V89" s="30"/>
      <c r="W89" s="18"/>
    </row>
    <row r="90" customFormat="false" ht="15" hidden="false" customHeight="false" outlineLevel="0" collapsed="false">
      <c r="A90" s="27" t="n">
        <v>86</v>
      </c>
      <c r="B90" s="28" t="s">
        <v>125</v>
      </c>
      <c r="C90" s="29" t="s">
        <v>288</v>
      </c>
      <c r="D90" s="28" t="s">
        <v>289</v>
      </c>
      <c r="E90" s="27" t="str">
        <f aca="false">IF($C90="","",IF(MID($C90,5,1)="S","S(봄)",IF(MID($C90,5,1)="M","M(여름)",IF(MID($C90,5,1)="X","X(사계절)",MID($C90,5,1)))))</f>
        <v>M(여름)</v>
      </c>
      <c r="F90" s="29" t="s">
        <v>275</v>
      </c>
      <c r="G90" s="30" t="s">
        <v>253</v>
      </c>
      <c r="H90" s="27" t="str">
        <f aca="false">IF($C90="","",REPLACE($C90,6,2,"26"))</f>
        <v>TVTCM26692</v>
      </c>
      <c r="I90" s="31" t="str">
        <f aca="false">IFERROR(INDEX(전년출고참조!$B$4:$B$438,MATCH($H90,전년출고참조!$A$4:$A$438,0)),"")</f>
        <v/>
      </c>
      <c r="J90" s="31" t="n">
        <f aca="false">IF($G90&lt;&gt;"",IFERROR(DATE(IF(VALUE(LEFT($G90,FIND("월",$G90)-1))&gt;=9,기준정보!$C$6-1,기준정보!$C$6),VALUE(LEFT($G90,FIND("월",$G90)-1)),1+7*(VALUE(SUBSTITUTE(MID($G90,FIND("월",$G90)+1,5),"주",""))-1)),""),IF($I90="","",IF(ISNUMBER($I90),$I90+364,IFERROR(DATE(IF(VALUE(LEFT($I90,FIND("월",$I90)-1))&gt;=9,기준정보!$C$6-1,기준정보!$C$6),VALUE(LEFT($I90,FIND("월",$I90)-1)),1+7*(VALUE(SUBSTITUTE(MID($I90,FIND("월",$I90)+1,5),"주",""))-1)),""))))</f>
        <v>46468</v>
      </c>
      <c r="K90" s="27" t="str">
        <f aca="false">IF($G90&lt;&gt;"","계획 주차",IF($J90&lt;&gt;"","전년+1년 예측","미정"))</f>
        <v>계획 주차</v>
      </c>
      <c r="L90" s="31" t="n">
        <f aca="false">IF($J90="","",$J90-기준정보!$C$5)</f>
        <v>46378</v>
      </c>
      <c r="M90" s="32" t="n">
        <f aca="false">IF($L90="","",$L90-기준정보!$C$4)</f>
        <v>138</v>
      </c>
      <c r="N90" s="30"/>
      <c r="O90" s="19"/>
      <c r="P90" s="30"/>
      <c r="Q90" s="29" t="str">
        <f aca="false">IF($P90="CMT","본사(소재팀)",IF($P90="사입","생산처",""))</f>
        <v/>
      </c>
      <c r="R90" s="18"/>
      <c r="S90" s="18"/>
      <c r="T90" s="29" t="str">
        <f aca="false">IF($J90="","출고일 미정",IF($N90="X","작지 미등록",IF(AND($O90&lt;&gt;"",$O90&gt;$L90),"소재입고 마감("&amp;TEXT($L90,"MM/DD")&amp;") 초과",IF($N90="","작지 등록여부 확인 필요",IF($O90="","소재 입고일정 확인 필요","정상")))))</f>
        <v>작지 등록여부 확인 필요</v>
      </c>
      <c r="U90" s="27" t="str">
        <f aca="false">IF($J90="","",IF(OR($T90="작지 미등록",LEFT($T90,4)="소재입고"),IF(LEFT($E90,1)="S","★ 납기위험(S코드)","◆ 지연주의"),IF($T90="정상","✓ 정상","? 확인필요")))</f>
        <v>? 확인필요</v>
      </c>
      <c r="V90" s="30"/>
      <c r="W90" s="18"/>
    </row>
    <row r="91" customFormat="false" ht="15" hidden="false" customHeight="false" outlineLevel="0" collapsed="false">
      <c r="A91" s="27" t="n">
        <v>87</v>
      </c>
      <c r="B91" s="28" t="s">
        <v>125</v>
      </c>
      <c r="C91" s="29" t="s">
        <v>290</v>
      </c>
      <c r="D91" s="28" t="s">
        <v>291</v>
      </c>
      <c r="E91" s="27" t="str">
        <f aca="false">IF($C91="","",IF(MID($C91,5,1)="S","S(봄)",IF(MID($C91,5,1)="M","M(여름)",IF(MID($C91,5,1)="X","X(사계절)",MID($C91,5,1)))))</f>
        <v>M(여름)</v>
      </c>
      <c r="F91" s="29" t="s">
        <v>275</v>
      </c>
      <c r="G91" s="30" t="s">
        <v>253</v>
      </c>
      <c r="H91" s="27" t="str">
        <f aca="false">IF($C91="","",REPLACE($C91,6,2,"26"))</f>
        <v>TVTCM26694</v>
      </c>
      <c r="I91" s="31" t="str">
        <f aca="false">IFERROR(INDEX(전년출고참조!$B$4:$B$438,MATCH($H91,전년출고참조!$A$4:$A$438,0)),"")</f>
        <v/>
      </c>
      <c r="J91" s="31" t="n">
        <f aca="false">IF($G91&lt;&gt;"",IFERROR(DATE(IF(VALUE(LEFT($G91,FIND("월",$G91)-1))&gt;=9,기준정보!$C$6-1,기준정보!$C$6),VALUE(LEFT($G91,FIND("월",$G91)-1)),1+7*(VALUE(SUBSTITUTE(MID($G91,FIND("월",$G91)+1,5),"주",""))-1)),""),IF($I91="","",IF(ISNUMBER($I91),$I91+364,IFERROR(DATE(IF(VALUE(LEFT($I91,FIND("월",$I91)-1))&gt;=9,기준정보!$C$6-1,기준정보!$C$6),VALUE(LEFT($I91,FIND("월",$I91)-1)),1+7*(VALUE(SUBSTITUTE(MID($I91,FIND("월",$I91)+1,5),"주",""))-1)),""))))</f>
        <v>46468</v>
      </c>
      <c r="K91" s="27" t="str">
        <f aca="false">IF($G91&lt;&gt;"","계획 주차",IF($J91&lt;&gt;"","전년+1년 예측","미정"))</f>
        <v>계획 주차</v>
      </c>
      <c r="L91" s="31" t="n">
        <f aca="false">IF($J91="","",$J91-기준정보!$C$5)</f>
        <v>46378</v>
      </c>
      <c r="M91" s="32" t="n">
        <f aca="false">IF($L91="","",$L91-기준정보!$C$4)</f>
        <v>138</v>
      </c>
      <c r="N91" s="30"/>
      <c r="O91" s="19"/>
      <c r="P91" s="30"/>
      <c r="Q91" s="29" t="str">
        <f aca="false">IF($P91="CMT","본사(소재팀)",IF($P91="사입","생산처",""))</f>
        <v/>
      </c>
      <c r="R91" s="18"/>
      <c r="S91" s="18"/>
      <c r="T91" s="29" t="str">
        <f aca="false">IF($J91="","출고일 미정",IF($N91="X","작지 미등록",IF(AND($O91&lt;&gt;"",$O91&gt;$L91),"소재입고 마감("&amp;TEXT($L91,"MM/DD")&amp;") 초과",IF($N91="","작지 등록여부 확인 필요",IF($O91="","소재 입고일정 확인 필요","정상")))))</f>
        <v>작지 등록여부 확인 필요</v>
      </c>
      <c r="U91" s="27" t="str">
        <f aca="false">IF($J91="","",IF(OR($T91="작지 미등록",LEFT($T91,4)="소재입고"),IF(LEFT($E91,1)="S","★ 납기위험(S코드)","◆ 지연주의"),IF($T91="정상","✓ 정상","? 확인필요")))</f>
        <v>? 확인필요</v>
      </c>
      <c r="V91" s="30"/>
      <c r="W91" s="18"/>
    </row>
    <row r="92" customFormat="false" ht="15" hidden="false" customHeight="false" outlineLevel="0" collapsed="false">
      <c r="A92" s="27" t="n">
        <v>88</v>
      </c>
      <c r="B92" s="28" t="s">
        <v>125</v>
      </c>
      <c r="C92" s="29" t="s">
        <v>292</v>
      </c>
      <c r="D92" s="28" t="s">
        <v>293</v>
      </c>
      <c r="E92" s="27" t="str">
        <f aca="false">IF($C92="","",IF(MID($C92,5,1)="S","S(봄)",IF(MID($C92,5,1)="M","M(여름)",IF(MID($C92,5,1)="X","X(사계절)",MID($C92,5,1)))))</f>
        <v>M(여름)</v>
      </c>
      <c r="F92" s="29" t="s">
        <v>275</v>
      </c>
      <c r="G92" s="30" t="s">
        <v>253</v>
      </c>
      <c r="H92" s="27" t="str">
        <f aca="false">IF($C92="","",REPLACE($C92,6,2,"26"))</f>
        <v>TVTCM26696</v>
      </c>
      <c r="I92" s="31" t="str">
        <f aca="false">IFERROR(INDEX(전년출고참조!$B$4:$B$438,MATCH($H92,전년출고참조!$A$4:$A$438,0)),"")</f>
        <v/>
      </c>
      <c r="J92" s="31" t="n">
        <f aca="false">IF($G92&lt;&gt;"",IFERROR(DATE(IF(VALUE(LEFT($G92,FIND("월",$G92)-1))&gt;=9,기준정보!$C$6-1,기준정보!$C$6),VALUE(LEFT($G92,FIND("월",$G92)-1)),1+7*(VALUE(SUBSTITUTE(MID($G92,FIND("월",$G92)+1,5),"주",""))-1)),""),IF($I92="","",IF(ISNUMBER($I92),$I92+364,IFERROR(DATE(IF(VALUE(LEFT($I92,FIND("월",$I92)-1))&gt;=9,기준정보!$C$6-1,기준정보!$C$6),VALUE(LEFT($I92,FIND("월",$I92)-1)),1+7*(VALUE(SUBSTITUTE(MID($I92,FIND("월",$I92)+1,5),"주",""))-1)),""))))</f>
        <v>46468</v>
      </c>
      <c r="K92" s="27" t="str">
        <f aca="false">IF($G92&lt;&gt;"","계획 주차",IF($J92&lt;&gt;"","전년+1년 예측","미정"))</f>
        <v>계획 주차</v>
      </c>
      <c r="L92" s="31" t="n">
        <f aca="false">IF($J92="","",$J92-기준정보!$C$5)</f>
        <v>46378</v>
      </c>
      <c r="M92" s="32" t="n">
        <f aca="false">IF($L92="","",$L92-기준정보!$C$4)</f>
        <v>138</v>
      </c>
      <c r="N92" s="30"/>
      <c r="O92" s="19"/>
      <c r="P92" s="30"/>
      <c r="Q92" s="29" t="str">
        <f aca="false">IF($P92="CMT","본사(소재팀)",IF($P92="사입","생산처",""))</f>
        <v/>
      </c>
      <c r="R92" s="18"/>
      <c r="S92" s="18"/>
      <c r="T92" s="29" t="str">
        <f aca="false">IF($J92="","출고일 미정",IF($N92="X","작지 미등록",IF(AND($O92&lt;&gt;"",$O92&gt;$L92),"소재입고 마감("&amp;TEXT($L92,"MM/DD")&amp;") 초과",IF($N92="","작지 등록여부 확인 필요",IF($O92="","소재 입고일정 확인 필요","정상")))))</f>
        <v>작지 등록여부 확인 필요</v>
      </c>
      <c r="U92" s="27" t="str">
        <f aca="false">IF($J92="","",IF(OR($T92="작지 미등록",LEFT($T92,4)="소재입고"),IF(LEFT($E92,1)="S","★ 납기위험(S코드)","◆ 지연주의"),IF($T92="정상","✓ 정상","? 확인필요")))</f>
        <v>? 확인필요</v>
      </c>
      <c r="V92" s="30"/>
      <c r="W92" s="18"/>
    </row>
    <row r="93" customFormat="false" ht="15" hidden="false" customHeight="false" outlineLevel="0" collapsed="false">
      <c r="A93" s="27" t="n">
        <v>89</v>
      </c>
      <c r="B93" s="28" t="s">
        <v>125</v>
      </c>
      <c r="C93" s="29" t="s">
        <v>294</v>
      </c>
      <c r="D93" s="28" t="s">
        <v>295</v>
      </c>
      <c r="E93" s="27" t="str">
        <f aca="false">IF($C93="","",IF(MID($C93,5,1)="S","S(봄)",IF(MID($C93,5,1)="M","M(여름)",IF(MID($C93,5,1)="X","X(사계절)",MID($C93,5,1)))))</f>
        <v>M(여름)</v>
      </c>
      <c r="F93" s="29" t="s">
        <v>275</v>
      </c>
      <c r="G93" s="30" t="s">
        <v>253</v>
      </c>
      <c r="H93" s="27" t="str">
        <f aca="false">IF($C93="","",REPLACE($C93,6,2,"26"))</f>
        <v>TVTCM26698</v>
      </c>
      <c r="I93" s="31" t="str">
        <f aca="false">IFERROR(INDEX(전년출고참조!$B$4:$B$438,MATCH($H93,전년출고참조!$A$4:$A$438,0)),"")</f>
        <v/>
      </c>
      <c r="J93" s="31" t="n">
        <f aca="false">IF($G93&lt;&gt;"",IFERROR(DATE(IF(VALUE(LEFT($G93,FIND("월",$G93)-1))&gt;=9,기준정보!$C$6-1,기준정보!$C$6),VALUE(LEFT($G93,FIND("월",$G93)-1)),1+7*(VALUE(SUBSTITUTE(MID($G93,FIND("월",$G93)+1,5),"주",""))-1)),""),IF($I93="","",IF(ISNUMBER($I93),$I93+364,IFERROR(DATE(IF(VALUE(LEFT($I93,FIND("월",$I93)-1))&gt;=9,기준정보!$C$6-1,기준정보!$C$6),VALUE(LEFT($I93,FIND("월",$I93)-1)),1+7*(VALUE(SUBSTITUTE(MID($I93,FIND("월",$I93)+1,5),"주",""))-1)),""))))</f>
        <v>46468</v>
      </c>
      <c r="K93" s="27" t="str">
        <f aca="false">IF($G93&lt;&gt;"","계획 주차",IF($J93&lt;&gt;"","전년+1년 예측","미정"))</f>
        <v>계획 주차</v>
      </c>
      <c r="L93" s="31" t="n">
        <f aca="false">IF($J93="","",$J93-기준정보!$C$5)</f>
        <v>46378</v>
      </c>
      <c r="M93" s="32" t="n">
        <f aca="false">IF($L93="","",$L93-기준정보!$C$4)</f>
        <v>138</v>
      </c>
      <c r="N93" s="30"/>
      <c r="O93" s="19"/>
      <c r="P93" s="30"/>
      <c r="Q93" s="29" t="str">
        <f aca="false">IF($P93="CMT","본사(소재팀)",IF($P93="사입","생산처",""))</f>
        <v/>
      </c>
      <c r="R93" s="18"/>
      <c r="S93" s="18"/>
      <c r="T93" s="29" t="str">
        <f aca="false">IF($J93="","출고일 미정",IF($N93="X","작지 미등록",IF(AND($O93&lt;&gt;"",$O93&gt;$L93),"소재입고 마감("&amp;TEXT($L93,"MM/DD")&amp;") 초과",IF($N93="","작지 등록여부 확인 필요",IF($O93="","소재 입고일정 확인 필요","정상")))))</f>
        <v>작지 등록여부 확인 필요</v>
      </c>
      <c r="U93" s="27" t="str">
        <f aca="false">IF($J93="","",IF(OR($T93="작지 미등록",LEFT($T93,4)="소재입고"),IF(LEFT($E93,1)="S","★ 납기위험(S코드)","◆ 지연주의"),IF($T93="정상","✓ 정상","? 확인필요")))</f>
        <v>? 확인필요</v>
      </c>
      <c r="V93" s="30"/>
      <c r="W93" s="18"/>
    </row>
    <row r="94" customFormat="false" ht="15" hidden="false" customHeight="false" outlineLevel="0" collapsed="false">
      <c r="A94" s="27" t="n">
        <v>90</v>
      </c>
      <c r="B94" s="28" t="s">
        <v>114</v>
      </c>
      <c r="C94" s="29" t="s">
        <v>296</v>
      </c>
      <c r="D94" s="28" t="s">
        <v>297</v>
      </c>
      <c r="E94" s="27" t="str">
        <f aca="false">IF($C94="","",IF(MID($C94,5,1)="S","S(봄)",IF(MID($C94,5,1)="M","M(여름)",IF(MID($C94,5,1)="X","X(사계절)",MID($C94,5,1)))))</f>
        <v>M(여름)</v>
      </c>
      <c r="F94" s="29" t="s">
        <v>181</v>
      </c>
      <c r="G94" s="30" t="s">
        <v>182</v>
      </c>
      <c r="H94" s="27" t="str">
        <f aca="false">IF($C94="","",REPLACE($C94,6,2,"26"))</f>
        <v>JWTCM26191</v>
      </c>
      <c r="I94" s="31" t="str">
        <f aca="false">IFERROR(INDEX(전년출고참조!$B$4:$B$438,MATCH($H94,전년출고참조!$A$4:$A$438,0)),"")</f>
        <v/>
      </c>
      <c r="J94" s="31" t="n">
        <f aca="false">IF($G94&lt;&gt;"",IFERROR(DATE(IF(VALUE(LEFT($G94,FIND("월",$G94)-1))&gt;=9,기준정보!$C$6-1,기준정보!$C$6),VALUE(LEFT($G94,FIND("월",$G94)-1)),1+7*(VALUE(SUBSTITUTE(MID($G94,FIND("월",$G94)+1,5),"주",""))-1)),""),IF($I94="","",IF(ISNUMBER($I94),$I94+364,IFERROR(DATE(IF(VALUE(LEFT($I94,FIND("월",$I94)-1))&gt;=9,기준정보!$C$6-1,기준정보!$C$6),VALUE(LEFT($I94,FIND("월",$I94)-1)),1+7*(VALUE(SUBSTITUTE(MID($I94,FIND("월",$I94)+1,5),"주",""))-1)),""))))</f>
        <v>46478</v>
      </c>
      <c r="K94" s="27" t="str">
        <f aca="false">IF($G94&lt;&gt;"","계획 주차",IF($J94&lt;&gt;"","전년+1년 예측","미정"))</f>
        <v>계획 주차</v>
      </c>
      <c r="L94" s="31" t="n">
        <f aca="false">IF($J94="","",$J94-기준정보!$C$5)</f>
        <v>46388</v>
      </c>
      <c r="M94" s="32" t="n">
        <f aca="false">IF($L94="","",$L94-기준정보!$C$4)</f>
        <v>148</v>
      </c>
      <c r="N94" s="30"/>
      <c r="O94" s="19"/>
      <c r="P94" s="30"/>
      <c r="Q94" s="29" t="str">
        <f aca="false">IF($P94="CMT","본사(소재팀)",IF($P94="사입","생산처",""))</f>
        <v/>
      </c>
      <c r="R94" s="18"/>
      <c r="S94" s="18"/>
      <c r="T94" s="29" t="str">
        <f aca="false">IF($J94="","출고일 미정",IF($N94="X","작지 미등록",IF(AND($O94&lt;&gt;"",$O94&gt;$L94),"소재입고 마감("&amp;TEXT($L94,"MM/DD")&amp;") 초과",IF($N94="","작지 등록여부 확인 필요",IF($O94="","소재 입고일정 확인 필요","정상")))))</f>
        <v>작지 등록여부 확인 필요</v>
      </c>
      <c r="U94" s="27" t="str">
        <f aca="false">IF($J94="","",IF(OR($T94="작지 미등록",LEFT($T94,4)="소재입고"),IF(LEFT($E94,1)="S","★ 납기위험(S코드)","◆ 지연주의"),IF($T94="정상","✓ 정상","? 확인필요")))</f>
        <v>? 확인필요</v>
      </c>
      <c r="V94" s="30"/>
      <c r="W94" s="18"/>
    </row>
    <row r="95" customFormat="false" ht="15" hidden="false" customHeight="false" outlineLevel="0" collapsed="false">
      <c r="A95" s="27" t="n">
        <v>91</v>
      </c>
      <c r="B95" s="28" t="s">
        <v>125</v>
      </c>
      <c r="C95" s="29" t="s">
        <v>298</v>
      </c>
      <c r="D95" s="28" t="s">
        <v>299</v>
      </c>
      <c r="E95" s="27" t="str">
        <f aca="false">IF($C95="","",IF(MID($C95,5,1)="S","S(봄)",IF(MID($C95,5,1)="M","M(여름)",IF(MID($C95,5,1)="X","X(사계절)",MID($C95,5,1)))))</f>
        <v>M(여름)</v>
      </c>
      <c r="F95" s="29"/>
      <c r="G95" s="30"/>
      <c r="H95" s="27" t="str">
        <f aca="false">IF($C95="","",REPLACE($C95,6,2,"26"))</f>
        <v>TLVAM26501</v>
      </c>
      <c r="I95" s="31" t="str">
        <f aca="false">IFERROR(INDEX(전년출고참조!$B$4:$B$438,MATCH($H95,전년출고참조!$A$4:$A$438,0)),"")</f>
        <v/>
      </c>
      <c r="J95" s="31" t="str">
        <f aca="false">IF($G95&lt;&gt;"",IFERROR(DATE(IF(VALUE(LEFT($G95,FIND("월",$G95)-1))&gt;=9,기준정보!$C$6-1,기준정보!$C$6),VALUE(LEFT($G95,FIND("월",$G95)-1)),1+7*(VALUE(SUBSTITUTE(MID($G95,FIND("월",$G95)+1,5),"주",""))-1)),""),IF($I95="","",IF(ISNUMBER($I95),$I95+364,IFERROR(DATE(IF(VALUE(LEFT($I95,FIND("월",$I95)-1))&gt;=9,기준정보!$C$6-1,기준정보!$C$6),VALUE(LEFT($I95,FIND("월",$I95)-1)),1+7*(VALUE(SUBSTITUTE(MID($I95,FIND("월",$I95)+1,5),"주",""))-1)),""))))</f>
        <v/>
      </c>
      <c r="K95" s="27" t="str">
        <f aca="false">IF($G95&lt;&gt;"","계획 주차",IF($J95&lt;&gt;"","전년+1년 예측","미정"))</f>
        <v>미정</v>
      </c>
      <c r="L95" s="31" t="str">
        <f aca="false">IF($J95="","",$J95-기준정보!$C$5)</f>
        <v/>
      </c>
      <c r="M95" s="32" t="str">
        <f aca="false">IF($L95="","",$L95-기준정보!$C$4)</f>
        <v/>
      </c>
      <c r="N95" s="30"/>
      <c r="O95" s="19"/>
      <c r="P95" s="30"/>
      <c r="Q95" s="29" t="str">
        <f aca="false">IF($P95="CMT","본사(소재팀)",IF($P95="사입","생산처",""))</f>
        <v/>
      </c>
      <c r="R95" s="18"/>
      <c r="S95" s="18"/>
      <c r="T95" s="29" t="str">
        <f aca="false">IF($J95="","출고일 미정",IF($N95="X","작지 미등록",IF(AND($O95&lt;&gt;"",$O95&gt;$L95),"소재입고 마감("&amp;TEXT($L95,"MM/DD")&amp;") 초과",IF($N95="","작지 등록여부 확인 필요",IF($O95="","소재 입고일정 확인 필요","정상")))))</f>
        <v>출고일 미정</v>
      </c>
      <c r="U95" s="27" t="str">
        <f aca="false">IF($J95="","",IF(OR($T95="작지 미등록",LEFT($T95,4)="소재입고"),IF(LEFT($E95,1)="S","★ 납기위험(S코드)","◆ 지연주의"),IF($T95="정상","✓ 정상","? 확인필요")))</f>
        <v/>
      </c>
      <c r="V95" s="30"/>
      <c r="W95" s="18"/>
    </row>
  </sheetData>
  <autoFilter ref="A4:W95"/>
  <conditionalFormatting sqref="U5:U95">
    <cfRule type="containsText" priority="2" operator="containsText" aboveAverage="0" equalAverage="0" bottom="0" percent="0" rank="0" text="★" dxfId="6">
      <formula>NOT(ISERROR(SEARCH("★",U5)))</formula>
    </cfRule>
    <cfRule type="containsText" priority="3" operator="containsText" aboveAverage="0" equalAverage="0" bottom="0" percent="0" rank="0" text="◆" dxfId="7">
      <formula>NOT(ISERROR(SEARCH("◆",U5)))</formula>
    </cfRule>
    <cfRule type="containsText" priority="4" operator="containsText" aboveAverage="0" equalAverage="0" bottom="0" percent="0" rank="0" text="✓" dxfId="8">
      <formula>NOT(ISERROR(SEARCH("✓",U5)))</formula>
    </cfRule>
    <cfRule type="containsText" priority="5" operator="containsText" aboveAverage="0" equalAverage="0" bottom="0" percent="0" rank="0" text="?" dxfId="9">
      <formula>NOT(ISERROR(SEARCH("?",U5)))</formula>
    </cfRule>
  </conditionalFormatting>
  <dataValidations count="3">
    <dataValidation allowBlank="true" errorStyle="stop" operator="between" showDropDown="false" showErrorMessage="false" showInputMessage="false" sqref="N5:N95" type="list">
      <formula1>"O,X"</formula1>
      <formula2>0</formula2>
    </dataValidation>
    <dataValidation allowBlank="true" errorStyle="stop" operator="between" showDropDown="false" showErrorMessage="false" showInputMessage="false" sqref="P5:P95" type="list">
      <formula1>"CMT,사입"</formula1>
      <formula2>0</formula2>
    </dataValidation>
    <dataValidation allowBlank="true" errorStyle="stop" operator="between" showDropDown="false" showErrorMessage="false" showInputMessage="false" sqref="V5:V95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7" min="7" style="0" width="12"/>
  </cols>
  <sheetData>
    <row r="2" customFormat="false" ht="19.4" hidden="false" customHeight="false" outlineLevel="0" collapsed="false">
      <c r="B2" s="20" t="s">
        <v>300</v>
      </c>
    </row>
    <row r="3" customFormat="false" ht="15" hidden="false" customHeight="false" outlineLevel="0" collapsed="false">
      <c r="B3" s="6" t="str">
        <f aca="false">"기준일: "&amp;TEXT(기준정보!$C$4,"YYYY-MM-DD")&amp;"  ·  소재입고 마감 = 출고예정일 − "&amp;기준정보!$C$5&amp;"일"</f>
        <v>기준일: 2026-08-06  ·  소재입고 마감 = 출고예정일 − 90일</v>
      </c>
    </row>
    <row r="5" customFormat="false" ht="15" hidden="false" customHeight="false" outlineLevel="0" collapsed="false">
      <c r="B5" s="21" t="s">
        <v>301</v>
      </c>
      <c r="D5" s="6" t="s">
        <v>302</v>
      </c>
      <c r="F5" s="21" t="s">
        <v>303</v>
      </c>
      <c r="H5" s="6" t="s">
        <v>304</v>
      </c>
      <c r="J5" s="21" t="s">
        <v>305</v>
      </c>
    </row>
    <row r="6" customFormat="false" ht="26.8" hidden="false" customHeight="false" outlineLevel="0" collapsed="false">
      <c r="B6" s="34" t="n">
        <f aca="false">COUNTA('소재역산 트래커'!$C$5:$C$95)</f>
        <v>91</v>
      </c>
      <c r="D6" s="34" t="n">
        <f aca="false">COUNTIF('소재역산 트래커'!$E$5:$E$95,"S(봄)")</f>
        <v>40</v>
      </c>
      <c r="F6" s="35" t="n">
        <f aca="false">COUNTIF('소재역산 트래커'!$U$5:$U$95,"★*")</f>
        <v>0</v>
      </c>
      <c r="H6" s="36" t="n">
        <f aca="false">COUNTIF('소재역산 트래커'!$U$5:$U$95,"?*")</f>
        <v>90</v>
      </c>
      <c r="J6" s="34" t="n">
        <f aca="false">COUNTIF('소재역산 트래커'!$U$5:$U$95,"✓*")</f>
        <v>0</v>
      </c>
    </row>
    <row r="9" customFormat="false" ht="16.4" hidden="false" customHeight="false" outlineLevel="0" collapsed="false">
      <c r="B9" s="37" t="s">
        <v>306</v>
      </c>
    </row>
    <row r="10" customFormat="false" ht="15" hidden="false" customHeight="false" outlineLevel="0" collapsed="false">
      <c r="B10" s="38" t="s">
        <v>82</v>
      </c>
      <c r="C10" s="17" t="s">
        <v>307</v>
      </c>
      <c r="D10" s="38" t="s">
        <v>308</v>
      </c>
      <c r="E10" s="17" t="s">
        <v>303</v>
      </c>
      <c r="F10" s="38" t="s">
        <v>309</v>
      </c>
      <c r="G10" s="17" t="s">
        <v>310</v>
      </c>
    </row>
    <row r="11" customFormat="false" ht="15" hidden="false" customHeight="false" outlineLevel="0" collapsed="false">
      <c r="B11" s="28" t="s">
        <v>200</v>
      </c>
      <c r="C11" s="27" t="n">
        <f aca="false">COUNTIF('소재역산 트래커'!$B$5:$B$95,$B11)</f>
        <v>1</v>
      </c>
      <c r="D11" s="27" t="n">
        <f aca="false">COUNTIFS('소재역산 트래커'!$B$5:$B$95,$B11,'소재역산 트래커'!$E$5:$E$95,"S(봄)")</f>
        <v>0</v>
      </c>
      <c r="E11" s="27" t="n">
        <f aca="false">COUNTIFS('소재역산 트래커'!$B$5:$B$95,$B11,'소재역산 트래커'!$U$5:$U$95,"★*")</f>
        <v>0</v>
      </c>
      <c r="F11" s="27" t="n">
        <f aca="false">COUNTIFS('소재역산 트래커'!$B$5:$B$95,$B11,'소재역산 트래커'!$U$5:$U$95,"?*")</f>
        <v>1</v>
      </c>
      <c r="G11" s="27" t="n">
        <f aca="false">COUNTIFS('소재역산 트래커'!$B$5:$B$95,$B11,'소재역산 트래커'!$V$5:$V$95,"조율완료")</f>
        <v>0</v>
      </c>
    </row>
    <row r="12" customFormat="false" ht="15" hidden="false" customHeight="false" outlineLevel="0" collapsed="false">
      <c r="B12" s="28" t="s">
        <v>171</v>
      </c>
      <c r="C12" s="27" t="n">
        <f aca="false">COUNTIF('소재역산 트래커'!$B$5:$B$95,$B12)</f>
        <v>1</v>
      </c>
      <c r="D12" s="27" t="n">
        <f aca="false">COUNTIFS('소재역산 트래커'!$B$5:$B$95,$B12,'소재역산 트래커'!$E$5:$E$95,"S(봄)")</f>
        <v>1</v>
      </c>
      <c r="E12" s="27" t="n">
        <f aca="false">COUNTIFS('소재역산 트래커'!$B$5:$B$95,$B12,'소재역산 트래커'!$U$5:$U$95,"★*")</f>
        <v>0</v>
      </c>
      <c r="F12" s="27" t="n">
        <f aca="false">COUNTIFS('소재역산 트래커'!$B$5:$B$95,$B12,'소재역산 트래커'!$U$5:$U$95,"?*")</f>
        <v>1</v>
      </c>
      <c r="G12" s="27" t="n">
        <f aca="false">COUNTIFS('소재역산 트래커'!$B$5:$B$95,$B12,'소재역산 트래커'!$V$5:$V$95,"조율완료")</f>
        <v>0</v>
      </c>
    </row>
    <row r="13" customFormat="false" ht="15" hidden="false" customHeight="false" outlineLevel="0" collapsed="false">
      <c r="B13" s="28" t="s">
        <v>213</v>
      </c>
      <c r="C13" s="27" t="n">
        <f aca="false">COUNTIF('소재역산 트래커'!$B$5:$B$95,$B13)</f>
        <v>2</v>
      </c>
      <c r="D13" s="27" t="n">
        <f aca="false">COUNTIFS('소재역산 트래커'!$B$5:$B$95,$B13,'소재역산 트래커'!$E$5:$E$95,"S(봄)")</f>
        <v>0</v>
      </c>
      <c r="E13" s="27" t="n">
        <f aca="false">COUNTIFS('소재역산 트래커'!$B$5:$B$95,$B13,'소재역산 트래커'!$U$5:$U$95,"★*")</f>
        <v>0</v>
      </c>
      <c r="F13" s="27" t="n">
        <f aca="false">COUNTIFS('소재역산 트래커'!$B$5:$B$95,$B13,'소재역산 트래커'!$U$5:$U$95,"?*")</f>
        <v>2</v>
      </c>
      <c r="G13" s="27" t="n">
        <f aca="false">COUNTIFS('소재역산 트래커'!$B$5:$B$95,$B13,'소재역산 트래커'!$V$5:$V$95,"조율완료")</f>
        <v>0</v>
      </c>
    </row>
    <row r="14" customFormat="false" ht="15" hidden="false" customHeight="false" outlineLevel="0" collapsed="false">
      <c r="B14" s="28" t="s">
        <v>255</v>
      </c>
      <c r="C14" s="27" t="n">
        <f aca="false">COUNTIF('소재역산 트래커'!$B$5:$B$95,$B14)</f>
        <v>1</v>
      </c>
      <c r="D14" s="27" t="n">
        <f aca="false">COUNTIFS('소재역산 트래커'!$B$5:$B$95,$B14,'소재역산 트래커'!$E$5:$E$95,"S(봄)")</f>
        <v>0</v>
      </c>
      <c r="E14" s="27" t="n">
        <f aca="false">COUNTIFS('소재역산 트래커'!$B$5:$B$95,$B14,'소재역산 트래커'!$U$5:$U$95,"★*")</f>
        <v>0</v>
      </c>
      <c r="F14" s="27" t="n">
        <f aca="false">COUNTIFS('소재역산 트래커'!$B$5:$B$95,$B14,'소재역산 트래커'!$U$5:$U$95,"?*")</f>
        <v>1</v>
      </c>
      <c r="G14" s="27" t="n">
        <f aca="false">COUNTIFS('소재역산 트래커'!$B$5:$B$95,$B14,'소재역산 트래커'!$V$5:$V$95,"조율완료")</f>
        <v>0</v>
      </c>
    </row>
    <row r="15" customFormat="false" ht="15" hidden="false" customHeight="false" outlineLevel="0" collapsed="false">
      <c r="B15" s="28" t="s">
        <v>111</v>
      </c>
      <c r="C15" s="27" t="n">
        <f aca="false">COUNTIF('소재역산 트래커'!$B$5:$B$95,$B15)</f>
        <v>1</v>
      </c>
      <c r="D15" s="27" t="n">
        <f aca="false">COUNTIFS('소재역산 트래커'!$B$5:$B$95,$B15,'소재역산 트래커'!$E$5:$E$95,"S(봄)")</f>
        <v>1</v>
      </c>
      <c r="E15" s="27" t="n">
        <f aca="false">COUNTIFS('소재역산 트래커'!$B$5:$B$95,$B15,'소재역산 트래커'!$U$5:$U$95,"★*")</f>
        <v>0</v>
      </c>
      <c r="F15" s="27" t="n">
        <f aca="false">COUNTIFS('소재역산 트래커'!$B$5:$B$95,$B15,'소재역산 트래커'!$U$5:$U$95,"?*")</f>
        <v>1</v>
      </c>
      <c r="G15" s="27" t="n">
        <f aca="false">COUNTIFS('소재역산 트래커'!$B$5:$B$95,$B15,'소재역산 트래커'!$V$5:$V$95,"조율완료")</f>
        <v>0</v>
      </c>
    </row>
    <row r="16" customFormat="false" ht="15" hidden="false" customHeight="false" outlineLevel="0" collapsed="false">
      <c r="B16" s="28" t="s">
        <v>114</v>
      </c>
      <c r="C16" s="27" t="n">
        <f aca="false">COUNTIF('소재역산 트래커'!$B$5:$B$95,$B16)</f>
        <v>48</v>
      </c>
      <c r="D16" s="27" t="n">
        <f aca="false">COUNTIFS('소재역산 트래커'!$B$5:$B$95,$B16,'소재역산 트래커'!$E$5:$E$95,"S(봄)")</f>
        <v>22</v>
      </c>
      <c r="E16" s="27" t="n">
        <f aca="false">COUNTIFS('소재역산 트래커'!$B$5:$B$95,$B16,'소재역산 트래커'!$U$5:$U$95,"★*")</f>
        <v>0</v>
      </c>
      <c r="F16" s="27" t="n">
        <f aca="false">COUNTIFS('소재역산 트래커'!$B$5:$B$95,$B16,'소재역산 트래커'!$U$5:$U$95,"?*")</f>
        <v>48</v>
      </c>
      <c r="G16" s="27" t="n">
        <f aca="false">COUNTIFS('소재역산 트래커'!$B$5:$B$95,$B16,'소재역산 트래커'!$V$5:$V$95,"조율완료")</f>
        <v>0</v>
      </c>
    </row>
    <row r="17" customFormat="false" ht="15" hidden="false" customHeight="false" outlineLevel="0" collapsed="false">
      <c r="B17" s="28" t="s">
        <v>125</v>
      </c>
      <c r="C17" s="27" t="n">
        <f aca="false">COUNTIF('소재역산 트래커'!$B$5:$B$95,$B17)</f>
        <v>35</v>
      </c>
      <c r="D17" s="27" t="n">
        <f aca="false">COUNTIFS('소재역산 트래커'!$B$5:$B$95,$B17,'소재역산 트래커'!$E$5:$E$95,"S(봄)")</f>
        <v>15</v>
      </c>
      <c r="E17" s="27" t="n">
        <f aca="false">COUNTIFS('소재역산 트래커'!$B$5:$B$95,$B17,'소재역산 트래커'!$U$5:$U$95,"★*")</f>
        <v>0</v>
      </c>
      <c r="F17" s="27" t="n">
        <f aca="false">COUNTIFS('소재역산 트래커'!$B$5:$B$95,$B17,'소재역산 트래커'!$U$5:$U$95,"?*")</f>
        <v>34</v>
      </c>
      <c r="G17" s="27" t="n">
        <f aca="false">COUNTIFS('소재역산 트래커'!$B$5:$B$95,$B17,'소재역산 트래커'!$V$5:$V$95,"조율완료")</f>
        <v>0</v>
      </c>
    </row>
    <row r="18" customFormat="false" ht="15" hidden="false" customHeight="false" outlineLevel="0" collapsed="false">
      <c r="B18" s="28" t="s">
        <v>104</v>
      </c>
      <c r="C18" s="27" t="n">
        <f aca="false">COUNTIF('소재역산 트래커'!$B$5:$B$95,$B18)</f>
        <v>1</v>
      </c>
      <c r="D18" s="27" t="n">
        <f aca="false">COUNTIFS('소재역산 트래커'!$B$5:$B$95,$B18,'소재역산 트래커'!$E$5:$E$95,"S(봄)")</f>
        <v>1</v>
      </c>
      <c r="E18" s="27" t="n">
        <f aca="false">COUNTIFS('소재역산 트래커'!$B$5:$B$95,$B18,'소재역산 트래커'!$U$5:$U$95,"★*")</f>
        <v>0</v>
      </c>
      <c r="F18" s="27" t="n">
        <f aca="false">COUNTIFS('소재역산 트래커'!$B$5:$B$95,$B18,'소재역산 트래커'!$U$5:$U$95,"?*")</f>
        <v>1</v>
      </c>
      <c r="G18" s="27" t="n">
        <f aca="false">COUNTIFS('소재역산 트래커'!$B$5:$B$95,$B18,'소재역산 트래커'!$V$5:$V$95,"조율완료")</f>
        <v>0</v>
      </c>
    </row>
    <row r="21" customFormat="false" ht="16.4" hidden="false" customHeight="false" outlineLevel="0" collapsed="false">
      <c r="B21" s="13" t="s">
        <v>311</v>
      </c>
    </row>
    <row r="22" customFormat="false" ht="15" hidden="false" customHeight="true" outlineLevel="0" collapsed="false">
      <c r="B22" s="39" t="s">
        <v>312</v>
      </c>
      <c r="C22" s="39"/>
      <c r="D22" s="39"/>
      <c r="E22" s="39"/>
      <c r="F22" s="39"/>
      <c r="G22" s="39"/>
    </row>
    <row r="23" customFormat="false" ht="15" hidden="false" customHeight="false" outlineLevel="0" collapsed="false">
      <c r="B23" s="39"/>
      <c r="C23" s="39"/>
      <c r="D23" s="39"/>
      <c r="E23" s="39"/>
      <c r="F23" s="39"/>
      <c r="G23" s="39"/>
    </row>
    <row r="24" customFormat="false" ht="15" hidden="false" customHeight="false" outlineLevel="0" collapsed="false">
      <c r="B24" s="39"/>
      <c r="C24" s="39"/>
      <c r="D24" s="39"/>
      <c r="E24" s="39"/>
      <c r="F24" s="39"/>
      <c r="G24" s="39"/>
    </row>
    <row r="25" customFormat="false" ht="15" hidden="false" customHeight="false" outlineLevel="0" collapsed="false">
      <c r="B25" s="39"/>
      <c r="C25" s="39"/>
      <c r="D25" s="39"/>
      <c r="E25" s="39"/>
      <c r="F25" s="39"/>
      <c r="G25" s="39"/>
    </row>
    <row r="26" customFormat="false" ht="15" hidden="false" customHeight="false" outlineLevel="0" collapsed="false">
      <c r="B26" s="39"/>
      <c r="C26" s="39"/>
      <c r="D26" s="39"/>
      <c r="E26" s="39"/>
      <c r="F26" s="39"/>
      <c r="G26" s="39"/>
    </row>
  </sheetData>
  <mergeCells count="1">
    <mergeCell ref="B22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2026-08-06T14:32:33Z</dcterms:created>
  <dc:creator>openpyxl</dc:creator>
  <dc:description/>
  <dc:language>en-US</dc:language>
  <cp:lastModifiedBy/>
  <dcterms:modified xsi:type="dcterms:W3CDTF">2026-08-06T14:32:34Z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