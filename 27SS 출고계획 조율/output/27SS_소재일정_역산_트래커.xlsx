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금액 요약" sheetId="4" state="visible" r:id="rId4"/>
    <sheet name="리스크 요약" sheetId="5" state="visible" r:id="rId5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7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6" fillId="2" borderId="1" applyAlignment="1" pivotButton="0" quotePrefix="0" xfId="0">
      <alignment horizontal="center"/>
    </xf>
    <xf numFmtId="0" fontId="18" fillId="0" borderId="1" pivotButton="0" quotePrefix="0" xfId="0"/>
    <xf numFmtId="3" fontId="18" fillId="0" borderId="1" applyAlignment="1" pivotButton="0" quotePrefix="0" xfId="0">
      <alignment horizontal="right"/>
    </xf>
    <xf numFmtId="167" fontId="18" fillId="0" borderId="1" applyAlignment="1" pivotButton="0" quotePrefix="0" xfId="0">
      <alignment horizontal="right"/>
    </xf>
    <xf numFmtId="0" fontId="20" fillId="5" borderId="1" pivotButton="0" quotePrefix="0" xfId="0"/>
    <xf numFmtId="3" fontId="20" fillId="5" borderId="1" applyAlignment="1" pivotButton="0" quotePrefix="0" xfId="0">
      <alignment horizontal="right"/>
    </xf>
    <xf numFmtId="167" fontId="20" fillId="5" borderId="1" applyAlignment="1" pivotButton="0" quotePrefix="0" xfId="0">
      <alignment horizontal="right"/>
    </xf>
    <xf numFmtId="0" fontId="21" fillId="6" borderId="1" pivotButton="0" quotePrefix="0" xfId="0"/>
    <xf numFmtId="167" fontId="21" fillId="6" borderId="1" applyAlignment="1" pivotButton="0" quotePrefix="0" xfId="0">
      <alignment horizontal="right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5" borderId="1" pivotButton="0" quotePrefix="0" xfId="0"/>
    <xf numFmtId="0" fontId="26" fillId="5" borderId="1" applyAlignment="1" pivotButton="0" quotePrefix="0" xfId="0">
      <alignment horizontal="center"/>
    </xf>
    <xf numFmtId="0" fontId="18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 (8/10 기준, 1,255행 → 416스타일, 트래커 281개 매칭)</t>
        </is>
      </c>
    </row>
    <row r="36">
      <c r="B36" s="5" t="inlineStr">
        <is>
          <t>· 생산처(소재DB) 열은 크로스체크용 — 0808 생산처와 다르면 빨간색 표시 (픽스처/픽스쳐 같은 표기 차이도 포함되니 확인 필요)</t>
        </is>
      </c>
    </row>
    <row r="37">
      <c r="B37" s="5" t="inlineStr">
        <is>
          <t>· WM/피싱(8로 시작)은 0808 원본에 기획수량 0으로 입력되어 수량 합계 공란 — 금액은 원본 총원가/총공급가 기준</t>
        </is>
      </c>
    </row>
    <row r="38">
      <c r="B38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8/6)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21" t="inlineStr">
        <is>
          <t>X</t>
        </is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 t="inlineStr">
        <is>
          <t>포마트</t>
        </is>
      </c>
      <c r="W5" s="20" t="inlineStr">
        <is>
          <t>베트남</t>
        </is>
      </c>
      <c r="X5" s="20" t="inlineStr">
        <is>
          <t>GORE</t>
        </is>
      </c>
      <c r="Y5" s="26" t="inlineStr">
        <is>
          <t>GORE) bnrSPL80GC/RGD-PX3LPRO</t>
        </is>
      </c>
      <c r="Z5" s="26" t="n"/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21" t="inlineStr">
        <is>
          <t>X</t>
        </is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 t="inlineStr">
        <is>
          <t>원전</t>
        </is>
      </c>
      <c r="W6" s="20" t="inlineStr">
        <is>
          <t>인도네시아</t>
        </is>
      </c>
      <c r="X6" s="20" t="inlineStr">
        <is>
          <t>SPM / 원창</t>
        </is>
      </c>
      <c r="Y6" s="26" t="inlineStr">
        <is>
          <t>SPM) ZX-20M SC</t>
        </is>
      </c>
      <c r="Z6" s="26" t="inlineStr">
        <is>
          <t>원창) YO201293(NY10D</t>
        </is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21" t="inlineStr">
        <is>
          <t>X</t>
        </is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 t="inlineStr">
        <is>
          <t>원전</t>
        </is>
      </c>
      <c r="W7" s="20" t="inlineStr">
        <is>
          <t>인도네시아</t>
        </is>
      </c>
      <c r="X7" s="20" t="inlineStr">
        <is>
          <t>L&amp;S / 케이글로벌 / 원창</t>
        </is>
      </c>
      <c r="Y7" s="26" t="inlineStr">
        <is>
          <t>L&amp;S) ST0452TSPDWR-NF</t>
        </is>
      </c>
      <c r="Z7" s="26" t="inlineStr">
        <is>
          <t>원창) YO201293(NY10D</t>
        </is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21" t="inlineStr">
        <is>
          <t>O</t>
        </is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 t="inlineStr">
        <is>
          <t>원전</t>
        </is>
      </c>
      <c r="W8" s="20" t="inlineStr">
        <is>
          <t>인도네시아</t>
        </is>
      </c>
      <c r="X8" s="20" t="inlineStr">
        <is>
          <t>글로벌B&amp;G</t>
        </is>
      </c>
      <c r="Y8" s="26" t="inlineStr">
        <is>
          <t>글로벌B&amp;G) SINGTEX) SW-70213CO</t>
        </is>
      </c>
      <c r="Z8" s="26" t="n"/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21" t="inlineStr">
        <is>
          <t>X</t>
        </is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 t="inlineStr">
        <is>
          <t>거림</t>
        </is>
      </c>
      <c r="W9" s="20" t="inlineStr">
        <is>
          <t>베트남</t>
        </is>
      </c>
      <c r="X9" s="20" t="inlineStr">
        <is>
          <t>글로벌B&amp;G</t>
        </is>
      </c>
      <c r="Y9" s="26" t="inlineStr">
        <is>
          <t>글로벌B&amp;G) SINGTEX) SW-70213CO</t>
        </is>
      </c>
      <c r="Z9" s="26" t="n"/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21" t="inlineStr">
        <is>
          <t>X</t>
        </is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 t="inlineStr">
        <is>
          <t>거림</t>
        </is>
      </c>
      <c r="W10" s="20" t="inlineStr">
        <is>
          <t>베트남</t>
        </is>
      </c>
      <c r="X10" s="20" t="inlineStr">
        <is>
          <t>IBQ</t>
        </is>
      </c>
      <c r="Y10" s="26" t="inlineStr">
        <is>
          <t>IBQ) N04156A1</t>
        </is>
      </c>
      <c r="Z10" s="26" t="n"/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21" t="inlineStr">
        <is>
          <t>X</t>
        </is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 t="inlineStr">
        <is>
          <t>태화</t>
        </is>
      </c>
      <c r="W11" s="20" t="inlineStr">
        <is>
          <t>베트남</t>
        </is>
      </c>
      <c r="X11" s="20" t="inlineStr">
        <is>
          <t>GEO</t>
        </is>
      </c>
      <c r="Y11" s="26" t="inlineStr">
        <is>
          <t>GEO) GIK-H350</t>
        </is>
      </c>
      <c r="Z11" s="26" t="n"/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21" t="inlineStr">
        <is>
          <t>X</t>
        </is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 t="inlineStr">
        <is>
          <t>포마트</t>
        </is>
      </c>
      <c r="W12" s="20" t="inlineStr">
        <is>
          <t>베트남</t>
        </is>
      </c>
      <c r="X12" s="20" t="inlineStr">
        <is>
          <t>GORE</t>
        </is>
      </c>
      <c r="Y12" s="26" t="inlineStr">
        <is>
          <t>GORE) bnrSPL80GC/RGD-PX3LPRO</t>
        </is>
      </c>
      <c r="Z12" s="26" t="n"/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21" t="inlineStr">
        <is>
          <t>X</t>
        </is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 t="inlineStr">
        <is>
          <t>원전</t>
        </is>
      </c>
      <c r="W13" s="20" t="inlineStr">
        <is>
          <t>인도네시아</t>
        </is>
      </c>
      <c r="X13" s="20" t="inlineStr">
        <is>
          <t>SPM / 원창</t>
        </is>
      </c>
      <c r="Y13" s="26" t="inlineStr">
        <is>
          <t>SPM) ZX-20M SC</t>
        </is>
      </c>
      <c r="Z13" s="26" t="inlineStr">
        <is>
          <t>원창) YO201293(NY10D</t>
        </is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21" t="inlineStr">
        <is>
          <t>X</t>
        </is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 t="inlineStr">
        <is>
          <t>원전</t>
        </is>
      </c>
      <c r="W14" s="20" t="inlineStr">
        <is>
          <t>인도네시아</t>
        </is>
      </c>
      <c r="X14" s="20" t="inlineStr">
        <is>
          <t>L&amp;S / 케이글로벌 / 원창</t>
        </is>
      </c>
      <c r="Y14" s="26" t="inlineStr">
        <is>
          <t>L&amp;S) ST0452TSPDWR-NF</t>
        </is>
      </c>
      <c r="Z14" s="26" t="inlineStr">
        <is>
          <t>원창) YO201293(NY10D</t>
        </is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21" t="inlineStr">
        <is>
          <t>X</t>
        </is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 t="inlineStr">
        <is>
          <t>원전</t>
        </is>
      </c>
      <c r="W15" s="20" t="inlineStr">
        <is>
          <t>인도네시아</t>
        </is>
      </c>
      <c r="X15" s="20" t="inlineStr">
        <is>
          <t>글로벌B&amp;G</t>
        </is>
      </c>
      <c r="Y15" s="26" t="inlineStr">
        <is>
          <t>글로벌B&amp;G) SINGTEX) SW-70213CO</t>
        </is>
      </c>
      <c r="Z15" s="26" t="n"/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21" t="inlineStr">
        <is>
          <t>X</t>
        </is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 t="inlineStr">
        <is>
          <t>거림</t>
        </is>
      </c>
      <c r="W16" s="20" t="inlineStr">
        <is>
          <t>베트남</t>
        </is>
      </c>
      <c r="X16" s="20" t="inlineStr">
        <is>
          <t>글로벌B&amp;G</t>
        </is>
      </c>
      <c r="Y16" s="26" t="inlineStr">
        <is>
          <t>글로벌B&amp;G) SINGTEX) SW-70213CO</t>
        </is>
      </c>
      <c r="Z16" s="26" t="n"/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21" t="inlineStr">
        <is>
          <t>X</t>
        </is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 t="inlineStr">
        <is>
          <t>거림</t>
        </is>
      </c>
      <c r="W17" s="20" t="inlineStr">
        <is>
          <t>베트남</t>
        </is>
      </c>
      <c r="X17" s="20" t="inlineStr">
        <is>
          <t>IBQ</t>
        </is>
      </c>
      <c r="Y17" s="26" t="inlineStr">
        <is>
          <t>IBQ) N04156A1</t>
        </is>
      </c>
      <c r="Z17" s="26" t="n"/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21" t="inlineStr">
        <is>
          <t>X</t>
        </is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 t="inlineStr">
        <is>
          <t>태화</t>
        </is>
      </c>
      <c r="W18" s="20" t="inlineStr">
        <is>
          <t>베트남</t>
        </is>
      </c>
      <c r="X18" s="20" t="inlineStr">
        <is>
          <t>GEO</t>
        </is>
      </c>
      <c r="Y18" s="26" t="inlineStr">
        <is>
          <t>GEO) GIK-H350</t>
        </is>
      </c>
      <c r="Z18" s="26" t="n"/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21" t="inlineStr">
        <is>
          <t>X</t>
        </is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 t="n"/>
      <c r="W19" s="20" t="inlineStr">
        <is>
          <t>중국</t>
        </is>
      </c>
      <c r="X19" s="20" t="n"/>
      <c r="Y19" s="26" t="n"/>
      <c r="Z19" s="26" t="n"/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21" t="inlineStr">
        <is>
          <t>X</t>
        </is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 t="n"/>
      <c r="W20" s="20" t="inlineStr">
        <is>
          <t>베트남</t>
        </is>
      </c>
      <c r="X20" s="20" t="n"/>
      <c r="Y20" s="26" t="n"/>
      <c r="Z20" s="26" t="n"/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21" t="inlineStr">
        <is>
          <t>X</t>
        </is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 t="n"/>
      <c r="W21" s="20" t="inlineStr">
        <is>
          <t>베트남</t>
        </is>
      </c>
      <c r="X21" s="20" t="n"/>
      <c r="Y21" s="26" t="n"/>
      <c r="Z21" s="26" t="n"/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21" t="inlineStr">
        <is>
          <t>X</t>
        </is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 t="n"/>
      <c r="W22" s="20" t="inlineStr">
        <is>
          <t>베트남</t>
        </is>
      </c>
      <c r="X22" s="20" t="n"/>
      <c r="Y22" s="26" t="n"/>
      <c r="Z22" s="26" t="n"/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21" t="inlineStr">
        <is>
          <t>X</t>
        </is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 t="inlineStr">
        <is>
          <t>YIC</t>
        </is>
      </c>
      <c r="W23" s="20" t="inlineStr">
        <is>
          <t>베트남</t>
        </is>
      </c>
      <c r="X23" s="20" t="inlineStr">
        <is>
          <t>케이글로벌 / 서진</t>
        </is>
      </c>
      <c r="Y23" s="26" t="inlineStr">
        <is>
          <t>케이글로벌) KGW-JR7040
서진) SUHW-NN500</t>
        </is>
      </c>
      <c r="Z23" s="26" t="n"/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21" t="inlineStr">
        <is>
          <t>X</t>
        </is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 t="inlineStr">
        <is>
          <t>YIC</t>
        </is>
      </c>
      <c r="W24" s="20" t="inlineStr">
        <is>
          <t>베트남</t>
        </is>
      </c>
      <c r="X24" s="20" t="inlineStr">
        <is>
          <t>케이글로벌 / 서진</t>
        </is>
      </c>
      <c r="Y24" s="26" t="inlineStr">
        <is>
          <t>케이글로벌) KGW-JR7040
서진) SUHW-NN500</t>
        </is>
      </c>
      <c r="Z24" s="26" t="n"/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21" t="inlineStr">
        <is>
          <t>X</t>
        </is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 t="inlineStr">
        <is>
          <t>YIC</t>
        </is>
      </c>
      <c r="W25" s="20" t="inlineStr">
        <is>
          <t>베트남</t>
        </is>
      </c>
      <c r="X25" s="20" t="inlineStr">
        <is>
          <t>케이글로벌 / 서진</t>
        </is>
      </c>
      <c r="Y25" s="26" t="inlineStr">
        <is>
          <t>케이글로벌) KGW-JR7040
서진) SUHW-NN500</t>
        </is>
      </c>
      <c r="Z25" s="26" t="n"/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21" t="inlineStr">
        <is>
          <t>X</t>
        </is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 t="inlineStr">
        <is>
          <t>YIC</t>
        </is>
      </c>
      <c r="W26" s="20" t="inlineStr">
        <is>
          <t>베트남</t>
        </is>
      </c>
      <c r="X26" s="20" t="inlineStr">
        <is>
          <t>케이글로벌 / 서진</t>
        </is>
      </c>
      <c r="Y26" s="26" t="inlineStr">
        <is>
          <t>케이글로벌) KGW-JR7040
서진) SUHW-NN500</t>
        </is>
      </c>
      <c r="Z26" s="26" t="n"/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21" t="inlineStr">
        <is>
          <t>X</t>
        </is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 t="n"/>
      <c r="W27" s="20" t="inlineStr">
        <is>
          <t>베트남</t>
        </is>
      </c>
      <c r="X27" s="20" t="n"/>
      <c r="Y27" s="26" t="n"/>
      <c r="Z27" s="26" t="n"/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21" t="inlineStr">
        <is>
          <t>X</t>
        </is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 t="n"/>
      <c r="W28" s="20" t="inlineStr">
        <is>
          <t>국내</t>
        </is>
      </c>
      <c r="X28" s="20" t="n"/>
      <c r="Y28" s="26" t="n"/>
      <c r="Z28" s="26" t="n"/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21" t="inlineStr">
        <is>
          <t>X</t>
        </is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 t="n"/>
      <c r="W29" s="20" t="inlineStr">
        <is>
          <t>베트남</t>
        </is>
      </c>
      <c r="X29" s="20" t="n"/>
      <c r="Y29" s="26" t="n"/>
      <c r="Z29" s="26" t="n"/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21" t="inlineStr">
        <is>
          <t>X</t>
        </is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 t="n"/>
      <c r="W30" s="20" t="inlineStr">
        <is>
          <t>베트남</t>
        </is>
      </c>
      <c r="X30" s="20" t="n"/>
      <c r="Y30" s="26" t="n"/>
      <c r="Z30" s="26" t="n"/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21" t="inlineStr">
        <is>
          <t>X</t>
        </is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 t="n"/>
      <c r="W31" s="20" t="inlineStr">
        <is>
          <t>베트남</t>
        </is>
      </c>
      <c r="X31" s="20" t="n"/>
      <c r="Y31" s="26" t="n"/>
      <c r="Z31" s="26" t="n"/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21" t="inlineStr">
        <is>
          <t>X</t>
        </is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 t="n"/>
      <c r="W32" s="20" t="inlineStr">
        <is>
          <t>베트남</t>
        </is>
      </c>
      <c r="X32" s="20" t="n"/>
      <c r="Y32" s="26" t="n"/>
      <c r="Z32" s="26" t="n"/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21" t="n"/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 t="inlineStr">
        <is>
          <t>원전</t>
        </is>
      </c>
      <c r="W33" s="20" t="inlineStr">
        <is>
          <t>베트남</t>
        </is>
      </c>
      <c r="X33" s="20" t="inlineStr">
        <is>
          <t>글로벌B&amp;G / 케이글로벌</t>
        </is>
      </c>
      <c r="Y33" s="26" t="inlineStr">
        <is>
          <t>글로벌B&amp;G) GB23T-STW0026
케이글로벌) KSG-E5439</t>
        </is>
      </c>
      <c r="Z33" s="26" t="n"/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21" t="inlineStr">
        <is>
          <t>X</t>
        </is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 t="inlineStr">
        <is>
          <t>원전</t>
        </is>
      </c>
      <c r="W34" s="20" t="inlineStr">
        <is>
          <t>베트남</t>
        </is>
      </c>
      <c r="X34" s="20" t="inlineStr">
        <is>
          <t>신한</t>
        </is>
      </c>
      <c r="Y34" s="26" t="inlineStr">
        <is>
          <t>신한) SV214MONO-1</t>
        </is>
      </c>
      <c r="Z34" s="26" t="n"/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21" t="inlineStr">
        <is>
          <t>X</t>
        </is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 t="inlineStr">
        <is>
          <t>원전</t>
        </is>
      </c>
      <c r="W35" s="20" t="inlineStr">
        <is>
          <t>베트남</t>
        </is>
      </c>
      <c r="X35" s="20" t="inlineStr">
        <is>
          <t>신한</t>
        </is>
      </c>
      <c r="Y35" s="26" t="inlineStr">
        <is>
          <t>신한) DRWSP70</t>
        </is>
      </c>
      <c r="Z35" s="26" t="n"/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21" t="n"/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 t="inlineStr">
        <is>
          <t>원전</t>
        </is>
      </c>
      <c r="W36" s="20" t="inlineStr">
        <is>
          <t>베트남</t>
        </is>
      </c>
      <c r="X36" s="20" t="inlineStr">
        <is>
          <t>글로벌B&amp;G / 케이글로벌</t>
        </is>
      </c>
      <c r="Y36" s="26" t="inlineStr">
        <is>
          <t>글로벌B&amp;G) GB23T-STW0026
케이글로벌) KSG-E5439</t>
        </is>
      </c>
      <c r="Z36" s="26" t="n"/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21" t="inlineStr">
        <is>
          <t>X</t>
        </is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 t="inlineStr">
        <is>
          <t>원전</t>
        </is>
      </c>
      <c r="W37" s="20" t="inlineStr">
        <is>
          <t>베트남</t>
        </is>
      </c>
      <c r="X37" s="20" t="inlineStr">
        <is>
          <t>신한</t>
        </is>
      </c>
      <c r="Y37" s="26" t="inlineStr">
        <is>
          <t>신한) DRWSP70</t>
        </is>
      </c>
      <c r="Z37" s="26" t="n"/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21" t="inlineStr">
        <is>
          <t>X</t>
        </is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 t="inlineStr">
        <is>
          <t>IKG</t>
        </is>
      </c>
      <c r="W38" s="20" t="inlineStr">
        <is>
          <t>베트남</t>
        </is>
      </c>
      <c r="X38" s="20" t="inlineStr">
        <is>
          <t>주연</t>
        </is>
      </c>
      <c r="Y38" s="26" t="inlineStr">
        <is>
          <t>주연) FKTBX24102
주연) JY25</t>
        </is>
      </c>
      <c r="Z38" s="26" t="n"/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21" t="inlineStr">
        <is>
          <t>X</t>
        </is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 t="inlineStr">
        <is>
          <t>주연</t>
        </is>
      </c>
      <c r="W39" s="20" t="inlineStr">
        <is>
          <t>중국</t>
        </is>
      </c>
      <c r="X39" s="20" t="inlineStr">
        <is>
          <t>태진</t>
        </is>
      </c>
      <c r="Y39" s="26" t="inlineStr">
        <is>
          <t>태진) TJ-01445</t>
        </is>
      </c>
      <c r="Z39" s="26" t="n"/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21" t="inlineStr">
        <is>
          <t>X</t>
        </is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 t="inlineStr">
        <is>
          <t>원전</t>
        </is>
      </c>
      <c r="W40" s="20" t="inlineStr"/>
      <c r="X40" s="20" t="inlineStr">
        <is>
          <t>화니GC / SPM / 온고 / 텍스마켓</t>
        </is>
      </c>
      <c r="Y40" s="26" t="inlineStr">
        <is>
          <t>화니GC) TAK
SPM) ZX-20M SC
SPM) DT-20 CRP CR
SPM) ST-F1 CR</t>
        </is>
      </c>
      <c r="Z40" s="26" t="inlineStr">
        <is>
          <t>SPM) OT-A1
텍스마켓) TM-10614</t>
        </is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21" t="inlineStr">
        <is>
          <t>X</t>
        </is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 t="n"/>
      <c r="W41" s="20" t="inlineStr">
        <is>
          <t>베트남</t>
        </is>
      </c>
      <c r="X41" s="20" t="n"/>
      <c r="Y41" s="26" t="n"/>
      <c r="Z41" s="26" t="n"/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21" t="inlineStr">
        <is>
          <t>X</t>
        </is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 t="n"/>
      <c r="W42" s="20" t="inlineStr">
        <is>
          <t>베트남</t>
        </is>
      </c>
      <c r="X42" s="20" t="n"/>
      <c r="Y42" s="26" t="n"/>
      <c r="Z42" s="26" t="n"/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21" t="inlineStr">
        <is>
          <t>X</t>
        </is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 t="n"/>
      <c r="W43" s="20" t="inlineStr">
        <is>
          <t>베트남</t>
        </is>
      </c>
      <c r="X43" s="20" t="n"/>
      <c r="Y43" s="26" t="n"/>
      <c r="Z43" s="26" t="n"/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21" t="inlineStr">
        <is>
          <t>X</t>
        </is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 t="inlineStr">
        <is>
          <t>원전</t>
        </is>
      </c>
      <c r="W44" s="20" t="inlineStr"/>
      <c r="X44" s="20" t="inlineStr">
        <is>
          <t>화니GC / SPM / 온고 / 텍스마켓</t>
        </is>
      </c>
      <c r="Y44" s="26" t="inlineStr">
        <is>
          <t>화니GC) TAK
SPM) ZX-20M SC
SPM) DT-20 CRP CR
SPM) ST-F1 CR</t>
        </is>
      </c>
      <c r="Z44" s="26" t="inlineStr">
        <is>
          <t>SPM) OT-A1
텍스마켓) TM-10614</t>
        </is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21" t="inlineStr">
        <is>
          <t>X</t>
        </is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 t="inlineStr">
        <is>
          <t>원전</t>
        </is>
      </c>
      <c r="W45" s="20" t="inlineStr">
        <is>
          <t>인도네시아</t>
        </is>
      </c>
      <c r="X45" s="20" t="inlineStr">
        <is>
          <t>PERTEX / SPM / 온고 / 텍스마켓</t>
        </is>
      </c>
      <c r="Y45" s="26" t="inlineStr">
        <is>
          <t>PERTEX) PRC2016WA-NFC
SPM) ZX-20M SC
SPM) DT-20 CRP CR
SPM) ST-F1 CR</t>
        </is>
      </c>
      <c r="Z45" s="26" t="inlineStr">
        <is>
          <t>SPM) OT-A1
텍스마켓) TM-10614</t>
        </is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21" t="inlineStr">
        <is>
          <t>X</t>
        </is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 t="n"/>
      <c r="W46" s="20" t="inlineStr">
        <is>
          <t>베트남</t>
        </is>
      </c>
      <c r="X46" s="20" t="n"/>
      <c r="Y46" s="26" t="n"/>
      <c r="Z46" s="26" t="n"/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21" t="inlineStr">
        <is>
          <t>X</t>
        </is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 t="n"/>
      <c r="W47" s="20" t="inlineStr">
        <is>
          <t>베트남</t>
        </is>
      </c>
      <c r="X47" s="20" t="n"/>
      <c r="Y47" s="26" t="n"/>
      <c r="Z47" s="26" t="n"/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21" t="inlineStr">
        <is>
          <t>X</t>
        </is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 t="inlineStr">
        <is>
          <t>TBO</t>
        </is>
      </c>
      <c r="W48" s="20" t="inlineStr">
        <is>
          <t>베트남</t>
        </is>
      </c>
      <c r="X48" s="20" t="inlineStr">
        <is>
          <t>MK</t>
        </is>
      </c>
      <c r="Y48" s="26" t="inlineStr">
        <is>
          <t>MK) GMZ84482</t>
        </is>
      </c>
      <c r="Z48" s="26" t="n"/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21" t="inlineStr">
        <is>
          <t>X</t>
        </is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 t="inlineStr">
        <is>
          <t>성원</t>
        </is>
      </c>
      <c r="W49" s="20" t="inlineStr">
        <is>
          <t>베트남</t>
        </is>
      </c>
      <c r="X49" s="20" t="inlineStr">
        <is>
          <t>신한 / 프라미스</t>
        </is>
      </c>
      <c r="Y49" s="26" t="inlineStr">
        <is>
          <t>신한) SH-TP7204
프라미스) PNP-5002
프라미스) PM-1052</t>
        </is>
      </c>
      <c r="Z49" s="26" t="n"/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21" t="inlineStr">
        <is>
          <t>X</t>
        </is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 t="inlineStr">
        <is>
          <t>IKG</t>
        </is>
      </c>
      <c r="W50" s="20" t="inlineStr">
        <is>
          <t>인도네시아</t>
        </is>
      </c>
      <c r="X50" s="20" t="inlineStr">
        <is>
          <t>SPM / BK</t>
        </is>
      </c>
      <c r="Y50" s="26" t="inlineStr">
        <is>
          <t>SPM) SMART SSO _OK</t>
        </is>
      </c>
      <c r="Z50" s="26" t="n"/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21" t="inlineStr">
        <is>
          <t>X</t>
        </is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 t="inlineStr">
        <is>
          <t>IKG</t>
        </is>
      </c>
      <c r="W51" s="20" t="inlineStr">
        <is>
          <t>인도네시아</t>
        </is>
      </c>
      <c r="X51" s="20" t="inlineStr">
        <is>
          <t>SK패션</t>
        </is>
      </c>
      <c r="Y51" s="26" t="inlineStr">
        <is>
          <t>SK패션) SK26-6002-RV</t>
        </is>
      </c>
      <c r="Z51" s="26" t="n"/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21" t="inlineStr">
        <is>
          <t>X</t>
        </is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 t="inlineStr">
        <is>
          <t>IKG</t>
        </is>
      </c>
      <c r="W52" s="20" t="inlineStr">
        <is>
          <t>인도네시아</t>
        </is>
      </c>
      <c r="X52" s="20" t="inlineStr">
        <is>
          <t>SK패션</t>
        </is>
      </c>
      <c r="Y52" s="26" t="inlineStr">
        <is>
          <t>SK패션) SK26-6002-RV</t>
        </is>
      </c>
      <c r="Z52" s="26" t="n"/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21" t="inlineStr">
        <is>
          <t>X</t>
        </is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 t="inlineStr">
        <is>
          <t>원전</t>
        </is>
      </c>
      <c r="W53" s="20" t="inlineStr">
        <is>
          <t>인도네시아</t>
        </is>
      </c>
      <c r="X53" s="20" t="inlineStr">
        <is>
          <t>PERTEX / SPM / 온고 / 텍스마켓</t>
        </is>
      </c>
      <c r="Y53" s="26" t="inlineStr">
        <is>
          <t>PERTEX) PRC2016WA-NFC
SPM) ZX-20M SC
SPM) DT-20 CRP CR
SPM) ST-F1 CR</t>
        </is>
      </c>
      <c r="Z53" s="26" t="inlineStr">
        <is>
          <t>SPM) OT-A1
텍스마켓) TM-10614</t>
        </is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21" t="inlineStr">
        <is>
          <t>X</t>
        </is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 t="inlineStr">
        <is>
          <t>기도</t>
        </is>
      </c>
      <c r="W54" s="20" t="inlineStr">
        <is>
          <t>베트남</t>
        </is>
      </c>
      <c r="X54" s="20" t="inlineStr">
        <is>
          <t>BROLIN / 프라미스</t>
        </is>
      </c>
      <c r="Y54" s="26" t="inlineStr">
        <is>
          <t>BROLIN) BL-AW24L2060
프라미스) PM-8620CL</t>
        </is>
      </c>
      <c r="Z54" s="26" t="n"/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21" t="inlineStr">
        <is>
          <t>X</t>
        </is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 t="inlineStr">
        <is>
          <t>기도</t>
        </is>
      </c>
      <c r="W55" s="20" t="inlineStr">
        <is>
          <t>베트남</t>
        </is>
      </c>
      <c r="X55" s="20" t="inlineStr">
        <is>
          <t>BROLIN / 지오</t>
        </is>
      </c>
      <c r="Y55" s="26" t="inlineStr">
        <is>
          <t>BROLIN) BL-AW21L3525
지오) eVent)EP-1023</t>
        </is>
      </c>
      <c r="Z55" s="26" t="n"/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21" t="inlineStr">
        <is>
          <t>X</t>
        </is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 t="inlineStr">
        <is>
          <t>아이블</t>
        </is>
      </c>
      <c r="W56" s="20" t="inlineStr">
        <is>
          <t>베트남</t>
        </is>
      </c>
      <c r="X56" s="20" t="inlineStr">
        <is>
          <t>원창</t>
        </is>
      </c>
      <c r="Y56" s="26" t="inlineStr">
        <is>
          <t>원창) AQA-23026</t>
        </is>
      </c>
      <c r="Z56" s="26" t="n"/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21" t="inlineStr">
        <is>
          <t>X</t>
        </is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 t="inlineStr">
        <is>
          <t>거림</t>
        </is>
      </c>
      <c r="W57" s="20" t="inlineStr">
        <is>
          <t>베트남</t>
        </is>
      </c>
      <c r="X57" s="20" t="inlineStr">
        <is>
          <t>TORAY CEM</t>
        </is>
      </c>
      <c r="Y57" s="26" t="inlineStr">
        <is>
          <t>TORAY CEM) 503GD</t>
        </is>
      </c>
      <c r="Z57" s="26" t="n"/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21" t="inlineStr">
        <is>
          <t>X</t>
        </is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 t="inlineStr">
        <is>
          <t>IKG / TESSELLATION</t>
        </is>
      </c>
      <c r="W58" s="20" t="inlineStr">
        <is>
          <t>베트남</t>
        </is>
      </c>
      <c r="X58" s="20" t="inlineStr">
        <is>
          <t>IKG / TESSELLATION / SK패션</t>
        </is>
      </c>
      <c r="Y58" s="26" t="inlineStr">
        <is>
          <t>IKG) CHN-TY-KNEH 1565
TESSELLATION) KSF24KF0103395-B
IKG) CHN-TY-KNECH1565
SK패션) KR26-0003-TD</t>
        </is>
      </c>
      <c r="Z58" s="26" t="n"/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21" t="inlineStr">
        <is>
          <t>X</t>
        </is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 t="inlineStr">
        <is>
          <t>아이블</t>
        </is>
      </c>
      <c r="W59" s="20" t="inlineStr">
        <is>
          <t>베트남</t>
        </is>
      </c>
      <c r="X59" s="20" t="inlineStr">
        <is>
          <t>BROLIN / 프라미스</t>
        </is>
      </c>
      <c r="Y59" s="26" t="inlineStr">
        <is>
          <t>BROLIN) BL-AW24L2060
프라미스) PM-8620CL</t>
        </is>
      </c>
      <c r="Z59" s="26" t="n"/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21" t="n"/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 t="n"/>
      <c r="W60" s="20" t="inlineStr"/>
      <c r="X60" s="20" t="n"/>
      <c r="Y60" s="26" t="n"/>
      <c r="Z60" s="26" t="n"/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21" t="inlineStr">
        <is>
          <t>X</t>
        </is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 t="inlineStr">
        <is>
          <t>포마트</t>
        </is>
      </c>
      <c r="W61" s="20" t="inlineStr">
        <is>
          <t>베트남</t>
        </is>
      </c>
      <c r="X61" s="20" t="inlineStr">
        <is>
          <t>BROLIN / JKTREND</t>
        </is>
      </c>
      <c r="Y61" s="26" t="inlineStr">
        <is>
          <t>BROLIN) BL-AW21L3525
JKTREND) DERMIZAX 155DX</t>
        </is>
      </c>
      <c r="Z61" s="26" t="n"/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21" t="inlineStr">
        <is>
          <t>X</t>
        </is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 t="inlineStr">
        <is>
          <t>기도</t>
        </is>
      </c>
      <c r="W62" s="20" t="inlineStr">
        <is>
          <t>베트남</t>
        </is>
      </c>
      <c r="X62" s="20" t="inlineStr">
        <is>
          <t>BROLIN / 지오</t>
        </is>
      </c>
      <c r="Y62" s="26" t="inlineStr">
        <is>
          <t>BROLIN) BL-AW21L3525
지오) eVent)EP-1023</t>
        </is>
      </c>
      <c r="Z62" s="26" t="n"/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21" t="inlineStr">
        <is>
          <t>X</t>
        </is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 t="inlineStr">
        <is>
          <t>아이블</t>
        </is>
      </c>
      <c r="W63" s="20" t="inlineStr">
        <is>
          <t>베트남</t>
        </is>
      </c>
      <c r="X63" s="20" t="inlineStr">
        <is>
          <t>타키효 / 원창</t>
        </is>
      </c>
      <c r="Y63" s="26" t="inlineStr">
        <is>
          <t>타키효) THRC23AMDA001-C0
원창) AQA-23026</t>
        </is>
      </c>
      <c r="Z63" s="26" t="n"/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21" t="inlineStr">
        <is>
          <t>X</t>
        </is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 t="inlineStr">
        <is>
          <t>아이블</t>
        </is>
      </c>
      <c r="W64" s="20" t="inlineStr">
        <is>
          <t>베트남</t>
        </is>
      </c>
      <c r="X64" s="20" t="inlineStr">
        <is>
          <t>타키효 / 원창</t>
        </is>
      </c>
      <c r="Y64" s="26" t="inlineStr">
        <is>
          <t>타키효) THRC23AMDA001-C0
원창) AQA-23026</t>
        </is>
      </c>
      <c r="Z64" s="26" t="n"/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21" t="inlineStr">
        <is>
          <t>X</t>
        </is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 t="inlineStr">
        <is>
          <t>YIC</t>
        </is>
      </c>
      <c r="W65" s="20" t="inlineStr">
        <is>
          <t>베트남</t>
        </is>
      </c>
      <c r="X65" s="20" t="inlineStr">
        <is>
          <t>TORAY CEM</t>
        </is>
      </c>
      <c r="Y65" s="26" t="inlineStr">
        <is>
          <t>TORAY CEM) 503GD</t>
        </is>
      </c>
      <c r="Z65" s="26" t="n"/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21" t="inlineStr">
        <is>
          <t>X</t>
        </is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 t="inlineStr">
        <is>
          <t>거림</t>
        </is>
      </c>
      <c r="W66" s="20" t="inlineStr">
        <is>
          <t>베트남</t>
        </is>
      </c>
      <c r="X66" s="20" t="inlineStr">
        <is>
          <t>BROLIN / STYLEM / MK / SPM</t>
        </is>
      </c>
      <c r="Y66" s="26" t="inlineStr">
        <is>
          <t>BROLIN) BL-AW21L3525
STYLEM) 012S0008370
MK) GMZ84482
SPM) W4-G.WAY WR
STYLEM) 02600050035
STYLEM) 02100083037</t>
        </is>
      </c>
      <c r="Z66" s="26" t="n"/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21" t="inlineStr">
        <is>
          <t>X</t>
        </is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 t="inlineStr">
        <is>
          <t>TBO</t>
        </is>
      </c>
      <c r="W67" s="20" t="inlineStr">
        <is>
          <t>베트남</t>
        </is>
      </c>
      <c r="X67" s="20" t="inlineStr">
        <is>
          <t>SPM</t>
        </is>
      </c>
      <c r="Y67" s="26" t="inlineStr">
        <is>
          <t>SPM) W4-G.WAY WR</t>
        </is>
      </c>
      <c r="Z67" s="26" t="n"/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21" t="inlineStr">
        <is>
          <t>X</t>
        </is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 t="inlineStr">
        <is>
          <t>거림</t>
        </is>
      </c>
      <c r="W68" s="20" t="inlineStr">
        <is>
          <t>베트남</t>
        </is>
      </c>
      <c r="X68" s="20" t="inlineStr">
        <is>
          <t>TORAY CEM</t>
        </is>
      </c>
      <c r="Y68" s="26" t="inlineStr">
        <is>
          <t>TORAY CEM) 503GD</t>
        </is>
      </c>
      <c r="Z68" s="26" t="n"/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21" t="inlineStr">
        <is>
          <t>X</t>
        </is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 t="inlineStr">
        <is>
          <t>TESSELLATION / IKG</t>
        </is>
      </c>
      <c r="W69" s="20" t="inlineStr">
        <is>
          <t>인도네시아</t>
        </is>
      </c>
      <c r="X69" s="20" t="inlineStr">
        <is>
          <t>TESSELLATION / SK패션 / IKG</t>
        </is>
      </c>
      <c r="Y69" s="26" t="inlineStr">
        <is>
          <t>TESSELLATION) CHN-TY-KNEH 1565
SK패션) KR26-0003-TD
IKG) CHN-TY-KNEH 1565</t>
        </is>
      </c>
      <c r="Z69" s="26" t="n"/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21" t="inlineStr">
        <is>
          <t>X</t>
        </is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 t="inlineStr">
        <is>
          <t>태화</t>
        </is>
      </c>
      <c r="W70" s="20" t="inlineStr">
        <is>
          <t>베트남</t>
        </is>
      </c>
      <c r="X70" s="20" t="inlineStr">
        <is>
          <t>SPM</t>
        </is>
      </c>
      <c r="Y70" s="26" t="inlineStr">
        <is>
          <t>SPM) E3MC01</t>
        </is>
      </c>
      <c r="Z70" s="26" t="n"/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21" t="inlineStr">
        <is>
          <t>X</t>
        </is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 t="inlineStr">
        <is>
          <t>장안</t>
        </is>
      </c>
      <c r="W71" s="20" t="inlineStr">
        <is>
          <t>베트남</t>
        </is>
      </c>
      <c r="X71" s="20" t="inlineStr">
        <is>
          <t>IBQ</t>
        </is>
      </c>
      <c r="Y71" s="26" t="inlineStr">
        <is>
          <t>IBQ) N1001W</t>
        </is>
      </c>
      <c r="Z71" s="26" t="n"/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21" t="inlineStr">
        <is>
          <t>X</t>
        </is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 t="inlineStr">
        <is>
          <t>원전</t>
        </is>
      </c>
      <c r="W72" s="20" t="inlineStr">
        <is>
          <t>인도네시아</t>
        </is>
      </c>
      <c r="X72" s="20" t="inlineStr">
        <is>
          <t>L&amp;S / 원창</t>
        </is>
      </c>
      <c r="Y72" s="26" t="inlineStr">
        <is>
          <t>L&amp;S) ST0452TSPDWR-NF</t>
        </is>
      </c>
      <c r="Z72" s="26" t="inlineStr">
        <is>
          <t>원창) YO201293(NY10D</t>
        </is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21" t="inlineStr">
        <is>
          <t>X</t>
        </is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 t="inlineStr">
        <is>
          <t>태화</t>
        </is>
      </c>
      <c r="W73" s="20" t="inlineStr">
        <is>
          <t>베트남</t>
        </is>
      </c>
      <c r="X73" s="20" t="inlineStr">
        <is>
          <t>SPM</t>
        </is>
      </c>
      <c r="Y73" s="26" t="inlineStr">
        <is>
          <t>SPM) E3MC01</t>
        </is>
      </c>
      <c r="Z73" s="26" t="n"/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21" t="inlineStr">
        <is>
          <t>X</t>
        </is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 t="inlineStr">
        <is>
          <t>IKG</t>
        </is>
      </c>
      <c r="W74" s="20" t="inlineStr">
        <is>
          <t>인도네시아</t>
        </is>
      </c>
      <c r="X74" s="20" t="inlineStr">
        <is>
          <t>케이글로벌 / SPM</t>
        </is>
      </c>
      <c r="Y74" s="26" t="inlineStr">
        <is>
          <t>케이글로벌) KT-26F-17
SPM) SMART SSO _OK</t>
        </is>
      </c>
      <c r="Z74" s="26" t="n"/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21" t="inlineStr">
        <is>
          <t>X</t>
        </is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 t="inlineStr">
        <is>
          <t>장안</t>
        </is>
      </c>
      <c r="W75" s="20" t="inlineStr">
        <is>
          <t>베트남</t>
        </is>
      </c>
      <c r="X75" s="20" t="inlineStr">
        <is>
          <t>글로벌B&amp;G</t>
        </is>
      </c>
      <c r="Y75" s="26" t="inlineStr">
        <is>
          <t>글로벌B&amp;G) GB26T-LIK0003</t>
        </is>
      </c>
      <c r="Z75" s="26" t="n"/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21" t="inlineStr">
        <is>
          <t>X</t>
        </is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 t="inlineStr">
        <is>
          <t>장안</t>
        </is>
      </c>
      <c r="W76" s="20" t="inlineStr">
        <is>
          <t>베트남</t>
        </is>
      </c>
      <c r="X76" s="20" t="inlineStr">
        <is>
          <t>IBQ</t>
        </is>
      </c>
      <c r="Y76" s="26" t="inlineStr">
        <is>
          <t>IBQ) N1001W</t>
        </is>
      </c>
      <c r="Z76" s="26" t="n"/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21" t="inlineStr">
        <is>
          <t>X</t>
        </is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 t="inlineStr">
        <is>
          <t>원전</t>
        </is>
      </c>
      <c r="W77" s="20" t="inlineStr">
        <is>
          <t>인도네시아</t>
        </is>
      </c>
      <c r="X77" s="20" t="inlineStr">
        <is>
          <t>L&amp;S / 원창</t>
        </is>
      </c>
      <c r="Y77" s="26" t="inlineStr">
        <is>
          <t>L&amp;S) ST0452TSPDWR-NF</t>
        </is>
      </c>
      <c r="Z77" s="26" t="inlineStr">
        <is>
          <t>원창) YO201293(NY10D</t>
        </is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21" t="inlineStr">
        <is>
          <t>X</t>
        </is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 t="inlineStr">
        <is>
          <t>포마트</t>
        </is>
      </c>
      <c r="W78" s="20" t="inlineStr">
        <is>
          <t>베트남</t>
        </is>
      </c>
      <c r="X78" s="20" t="inlineStr">
        <is>
          <t>GORE / 밀리테크</t>
        </is>
      </c>
      <c r="Y78" s="26" t="inlineStr">
        <is>
          <t>GORE) BNRSPL75ES-PX 2L</t>
        </is>
      </c>
      <c r="Z78" s="26" t="inlineStr">
        <is>
          <t>밀리테크) MT-3817CH</t>
        </is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21" t="inlineStr">
        <is>
          <t>X</t>
        </is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 t="inlineStr">
        <is>
          <t>기도</t>
        </is>
      </c>
      <c r="W79" s="20" t="inlineStr">
        <is>
          <t>미얀마</t>
        </is>
      </c>
      <c r="X79" s="20" t="inlineStr">
        <is>
          <t>GORE / 밀리테크</t>
        </is>
      </c>
      <c r="Y79" s="26" t="inlineStr">
        <is>
          <t>GORE) BNRSPL75ES-PX 2L</t>
        </is>
      </c>
      <c r="Z79" s="26" t="inlineStr">
        <is>
          <t>밀리테크) MT-3817CH</t>
        </is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21" t="inlineStr">
        <is>
          <t>X</t>
        </is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 t="inlineStr">
        <is>
          <t>원전</t>
        </is>
      </c>
      <c r="W80" s="20" t="inlineStr"/>
      <c r="X80" s="20" t="inlineStr">
        <is>
          <t>신한</t>
        </is>
      </c>
      <c r="Y80" s="26" t="inlineStr">
        <is>
          <t>신한) SH-TP7204</t>
        </is>
      </c>
      <c r="Z80" s="26" t="n"/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21" t="inlineStr">
        <is>
          <t>X</t>
        </is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 t="inlineStr">
        <is>
          <t>원전</t>
        </is>
      </c>
      <c r="W81" s="20" t="inlineStr">
        <is>
          <t>인도네시아</t>
        </is>
      </c>
      <c r="X81" s="20" t="inlineStr">
        <is>
          <t>GORE / 케이글로벌</t>
        </is>
      </c>
      <c r="Y81" s="26" t="inlineStr">
        <is>
          <t>GORE) bnrSPL50NJ/SJ-PG 3L</t>
        </is>
      </c>
      <c r="Z81" s="26" t="n"/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21" t="inlineStr">
        <is>
          <t>X</t>
        </is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 t="inlineStr">
        <is>
          <t>TBO</t>
        </is>
      </c>
      <c r="W82" s="20" t="inlineStr">
        <is>
          <t>베트남</t>
        </is>
      </c>
      <c r="X82" s="20" t="inlineStr">
        <is>
          <t>MK</t>
        </is>
      </c>
      <c r="Y82" s="26" t="inlineStr">
        <is>
          <t>MK) GMZ84482</t>
        </is>
      </c>
      <c r="Z82" s="26" t="n"/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21" t="inlineStr">
        <is>
          <t>X</t>
        </is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 t="inlineStr">
        <is>
          <t>IKG</t>
        </is>
      </c>
      <c r="W83" s="20" t="inlineStr">
        <is>
          <t>인도네시아</t>
        </is>
      </c>
      <c r="X83" s="20" t="inlineStr">
        <is>
          <t>SK패션 / SPM</t>
        </is>
      </c>
      <c r="Y83" s="26" t="inlineStr">
        <is>
          <t>SK패션) SK25-9130-RV
SPM) SMART SSO _OK</t>
        </is>
      </c>
      <c r="Z83" s="26" t="n"/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21" t="inlineStr">
        <is>
          <t>X</t>
        </is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 t="inlineStr">
        <is>
          <t>IKG</t>
        </is>
      </c>
      <c r="W84" s="20" t="inlineStr">
        <is>
          <t>인도네시아</t>
        </is>
      </c>
      <c r="X84" s="20" t="inlineStr">
        <is>
          <t>글로벌B&amp;G / SK패션</t>
        </is>
      </c>
      <c r="Y84" s="26" t="inlineStr">
        <is>
          <t>글로벌B&amp;G) GB25T-NMK0029
SK패션) SK26-6002-RV</t>
        </is>
      </c>
      <c r="Z84" s="26" t="n"/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21" t="inlineStr">
        <is>
          <t>X</t>
        </is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 t="inlineStr">
        <is>
          <t>에이스 / IKG</t>
        </is>
      </c>
      <c r="W85" s="20" t="inlineStr">
        <is>
          <t>인도네시아</t>
        </is>
      </c>
      <c r="X85" s="20" t="inlineStr">
        <is>
          <t>케이글로벌 / SPM</t>
        </is>
      </c>
      <c r="Y85" s="26" t="inlineStr">
        <is>
          <t>케이글로벌) KT-26F-17
SPM) SMART SSO _OK</t>
        </is>
      </c>
      <c r="Z85" s="26" t="n"/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21" t="inlineStr">
        <is>
          <t>X</t>
        </is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 t="inlineStr">
        <is>
          <t>장안 / IKG</t>
        </is>
      </c>
      <c r="W86" s="20" t="inlineStr">
        <is>
          <t>인도네시아</t>
        </is>
      </c>
      <c r="X86" s="20" t="inlineStr">
        <is>
          <t>태진 / BK / 플레이트</t>
        </is>
      </c>
      <c r="Y86" s="26" t="inlineStr">
        <is>
          <t>태진) TJ-01445</t>
        </is>
      </c>
      <c r="Z86" s="26" t="n"/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21" t="inlineStr">
        <is>
          <t>X</t>
        </is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 t="inlineStr">
        <is>
          <t>장안</t>
        </is>
      </c>
      <c r="W87" s="20" t="inlineStr">
        <is>
          <t>인도네시아</t>
        </is>
      </c>
      <c r="X87" s="20" t="inlineStr">
        <is>
          <t>글로벌B&amp;G</t>
        </is>
      </c>
      <c r="Y87" s="26" t="inlineStr">
        <is>
          <t>글로벌B&amp;G) GB26T-LIK0003</t>
        </is>
      </c>
      <c r="Z87" s="26" t="n"/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21" t="inlineStr">
        <is>
          <t>X</t>
        </is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 t="inlineStr">
        <is>
          <t>포마트</t>
        </is>
      </c>
      <c r="W88" s="20" t="inlineStr">
        <is>
          <t>베트남</t>
        </is>
      </c>
      <c r="X88" s="20" t="inlineStr">
        <is>
          <t>GORE / 밀리테크</t>
        </is>
      </c>
      <c r="Y88" s="26" t="inlineStr">
        <is>
          <t>GORE) BNRSPL75ES-PX 2L</t>
        </is>
      </c>
      <c r="Z88" s="26" t="inlineStr">
        <is>
          <t>밀리테크) MT-3817CH</t>
        </is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21" t="inlineStr">
        <is>
          <t>X</t>
        </is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 t="inlineStr">
        <is>
          <t>기도</t>
        </is>
      </c>
      <c r="W89" s="20" t="inlineStr">
        <is>
          <t>미얀마</t>
        </is>
      </c>
      <c r="X89" s="20" t="inlineStr">
        <is>
          <t>GORE / 밀리테크</t>
        </is>
      </c>
      <c r="Y89" s="26" t="inlineStr">
        <is>
          <t>GORE) BNRSPL75ES-PX 2L</t>
        </is>
      </c>
      <c r="Z89" s="26" t="inlineStr">
        <is>
          <t>밀리테크) MT-3817CH</t>
        </is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21" t="inlineStr">
        <is>
          <t>X</t>
        </is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 t="inlineStr">
        <is>
          <t>원전</t>
        </is>
      </c>
      <c r="W90" s="20" t="inlineStr">
        <is>
          <t>인도네시아</t>
        </is>
      </c>
      <c r="X90" s="20" t="inlineStr">
        <is>
          <t>신한 / 화니글로벌</t>
        </is>
      </c>
      <c r="Y90" s="26" t="inlineStr">
        <is>
          <t>신한) SH-TP7470COV
신한) SH-TP7204</t>
        </is>
      </c>
      <c r="Z90" s="26" t="n"/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21" t="inlineStr">
        <is>
          <t>X</t>
        </is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 t="inlineStr">
        <is>
          <t>원전</t>
        </is>
      </c>
      <c r="W91" s="20" t="inlineStr">
        <is>
          <t>인도네시아</t>
        </is>
      </c>
      <c r="X91" s="20" t="inlineStr">
        <is>
          <t>GORE / 케이글로벌</t>
        </is>
      </c>
      <c r="Y91" s="26" t="inlineStr">
        <is>
          <t>GORE) bnrSPL50NJ/SJ-PG 3L</t>
        </is>
      </c>
      <c r="Z91" s="26" t="n"/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21" t="inlineStr">
        <is>
          <t>X</t>
        </is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 t="inlineStr">
        <is>
          <t>포마트</t>
        </is>
      </c>
      <c r="W92" s="20" t="inlineStr">
        <is>
          <t>베트남</t>
        </is>
      </c>
      <c r="X92" s="20" t="inlineStr">
        <is>
          <t>MK / JKTREND</t>
        </is>
      </c>
      <c r="Y92" s="26" t="inlineStr">
        <is>
          <t>MK) GMZ84482
JKTREND) DERMIZAX 155DX</t>
        </is>
      </c>
      <c r="Z92" s="26" t="n"/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21" t="inlineStr">
        <is>
          <t>X</t>
        </is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 t="inlineStr">
        <is>
          <t>포마트</t>
        </is>
      </c>
      <c r="W93" s="20" t="inlineStr">
        <is>
          <t>베트남</t>
        </is>
      </c>
      <c r="X93" s="20" t="inlineStr">
        <is>
          <t>BROLIN / 텍스마켓 / 프라미스 / 플레이트 / GORE</t>
        </is>
      </c>
      <c r="Y93" s="26" t="inlineStr">
        <is>
          <t>BROLIN) BL-AW24L2060
프라미스) PM-8620CL
플레이트) DX-901C</t>
        </is>
      </c>
      <c r="Z93" s="26" t="inlineStr">
        <is>
          <t>텍스마켓) TM-10614
GORE) brTORRES-PG 2L LINER</t>
        </is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21" t="inlineStr">
        <is>
          <t>X</t>
        </is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 t="inlineStr">
        <is>
          <t>TESSELLATION / IKG</t>
        </is>
      </c>
      <c r="W94" s="20" t="inlineStr">
        <is>
          <t>인도네시아</t>
        </is>
      </c>
      <c r="X94" s="20" t="inlineStr">
        <is>
          <t>TESSELLATION / SK패션 / IKG</t>
        </is>
      </c>
      <c r="Y94" s="26" t="inlineStr">
        <is>
          <t>TESSELLATION) KSF24KF0103395-B
SK패션) KR26-0003-TD
SK패션) SK21-0216-HG
SK패션) KR26-0002-TM
IKG) CHN-TY-KNEH 1565</t>
        </is>
      </c>
      <c r="Z94" s="26" t="n"/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21" t="inlineStr">
        <is>
          <t>X</t>
        </is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 t="inlineStr">
        <is>
          <t>포마트</t>
        </is>
      </c>
      <c r="W95" s="20" t="inlineStr">
        <is>
          <t>베트남</t>
        </is>
      </c>
      <c r="X95" s="20" t="inlineStr">
        <is>
          <t>프라미스</t>
        </is>
      </c>
      <c r="Y95" s="26" t="inlineStr">
        <is>
          <t>프라미스) PM-7196</t>
        </is>
      </c>
      <c r="Z95" s="26" t="n"/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21" t="inlineStr">
        <is>
          <t>X</t>
        </is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 t="inlineStr">
        <is>
          <t>원전 / 아이블</t>
        </is>
      </c>
      <c r="W96" s="20" t="inlineStr">
        <is>
          <t>미얀마</t>
        </is>
      </c>
      <c r="X96" s="20" t="inlineStr">
        <is>
          <t>TORAY CEM / 타키효</t>
        </is>
      </c>
      <c r="Y96" s="26" t="inlineStr">
        <is>
          <t>TORAY CEM) 0908SY
타키효) TH23AMDA001</t>
        </is>
      </c>
      <c r="Z96" s="26" t="n"/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21" t="inlineStr">
        <is>
          <t>X</t>
        </is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 t="inlineStr">
        <is>
          <t>YIC</t>
        </is>
      </c>
      <c r="W97" s="20" t="inlineStr">
        <is>
          <t>베트남</t>
        </is>
      </c>
      <c r="X97" s="20" t="inlineStr">
        <is>
          <t>STYLEM / MK / TORAY CEM</t>
        </is>
      </c>
      <c r="Y97" s="26" t="inlineStr">
        <is>
          <t>STYLEM) 012S0008370
MK) GMZ84482
TORAY CEM) 503GD
STYLEM) 02600050035</t>
        </is>
      </c>
      <c r="Z97" s="26" t="n"/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21" t="inlineStr">
        <is>
          <t>X</t>
        </is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 t="inlineStr">
        <is>
          <t>원전 / 포마트</t>
        </is>
      </c>
      <c r="W98" s="20" t="inlineStr">
        <is>
          <t>베트남</t>
        </is>
      </c>
      <c r="X98" s="20" t="inlineStr">
        <is>
          <t>BROLIN / 텍스마켓 / GORE / 프라미스 / 신한</t>
        </is>
      </c>
      <c r="Y98" s="26" t="inlineStr">
        <is>
          <t>BROLIN) BL-AW24L2060
프라미스) PM-8620CL
신한) VLR14JE20</t>
        </is>
      </c>
      <c r="Z98" s="26" t="inlineStr">
        <is>
          <t>텍스마켓) TM-10614
GORE) brTORRES-PG 2L LINER</t>
        </is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21" t="inlineStr">
        <is>
          <t>X</t>
        </is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 t="inlineStr">
        <is>
          <t>TESSELLATION / IKG</t>
        </is>
      </c>
      <c r="W99" s="20" t="inlineStr">
        <is>
          <t>인도네시아</t>
        </is>
      </c>
      <c r="X99" s="20" t="inlineStr">
        <is>
          <t>TESSELLATION / IKG / SK패션</t>
        </is>
      </c>
      <c r="Y99" s="26" t="inlineStr">
        <is>
          <t>TESSELLATION) KSF24KF0103395-B
IKG) CHN-TY-KNEH 1565
IKG) CHN-TY-KNECH1565
SK패션) KSF24KF0100104 B</t>
        </is>
      </c>
      <c r="Z99" s="26" t="n"/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21" t="inlineStr">
        <is>
          <t>X</t>
        </is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 t="n"/>
      <c r="W100" s="20" t="inlineStr">
        <is>
          <t>베트남</t>
        </is>
      </c>
      <c r="X100" s="20" t="n"/>
      <c r="Y100" s="26" t="n"/>
      <c r="Z100" s="26" t="n"/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21" t="inlineStr">
        <is>
          <t>X</t>
        </is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 t="inlineStr">
        <is>
          <t>YIC</t>
        </is>
      </c>
      <c r="W101" s="20" t="inlineStr">
        <is>
          <t>베트남</t>
        </is>
      </c>
      <c r="X101" s="20" t="inlineStr">
        <is>
          <t>신한 / BROLIN</t>
        </is>
      </c>
      <c r="Y101" s="26" t="inlineStr">
        <is>
          <t>신한) VLR14JE20
BROLIN) BL-AW24L2060</t>
        </is>
      </c>
      <c r="Z101" s="26" t="n"/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21" t="inlineStr">
        <is>
          <t>X</t>
        </is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 t="inlineStr">
        <is>
          <t>TBO / YIC</t>
        </is>
      </c>
      <c r="W102" s="20" t="inlineStr">
        <is>
          <t>베트남</t>
        </is>
      </c>
      <c r="X102" s="20" t="inlineStr">
        <is>
          <t>BROLIN / 프라미스</t>
        </is>
      </c>
      <c r="Y102" s="26" t="inlineStr">
        <is>
          <t>BROLIN) BL-AW21L3525
프라미스) PM-7196</t>
        </is>
      </c>
      <c r="Z102" s="26" t="n"/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21" t="inlineStr">
        <is>
          <t>X</t>
        </is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 t="n"/>
      <c r="W103" s="20" t="inlineStr">
        <is>
          <t>베트남</t>
        </is>
      </c>
      <c r="X103" s="20" t="n"/>
      <c r="Y103" s="26" t="n"/>
      <c r="Z103" s="26" t="n"/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21" t="inlineStr">
        <is>
          <t>X</t>
        </is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 t="inlineStr">
        <is>
          <t>성원</t>
        </is>
      </c>
      <c r="W104" s="20" t="inlineStr"/>
      <c r="X104" s="20" t="inlineStr">
        <is>
          <t>TORAY CEM</t>
        </is>
      </c>
      <c r="Y104" s="26" t="inlineStr">
        <is>
          <t>TORAY CEM) 5356-C0</t>
        </is>
      </c>
      <c r="Z104" s="26" t="n"/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21" t="inlineStr">
        <is>
          <t>O</t>
        </is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 t="inlineStr">
        <is>
          <t>성원</t>
        </is>
      </c>
      <c r="W105" s="20" t="inlineStr"/>
      <c r="X105" s="20" t="inlineStr">
        <is>
          <t>프라미스</t>
        </is>
      </c>
      <c r="Y105" s="26" t="inlineStr">
        <is>
          <t>프라미스) PM-8569</t>
        </is>
      </c>
      <c r="Z105" s="26" t="n"/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21" t="inlineStr">
        <is>
          <t>X</t>
        </is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 t="inlineStr">
        <is>
          <t>성원</t>
        </is>
      </c>
      <c r="W106" s="20" t="inlineStr">
        <is>
          <t>베트남</t>
        </is>
      </c>
      <c r="X106" s="20" t="inlineStr">
        <is>
          <t>TORAY CEM</t>
        </is>
      </c>
      <c r="Y106" s="26" t="inlineStr">
        <is>
          <t>TORAY CEM) 5356-C0</t>
        </is>
      </c>
      <c r="Z106" s="26" t="n"/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21" t="inlineStr">
        <is>
          <t>X</t>
        </is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 t="inlineStr">
        <is>
          <t>성원</t>
        </is>
      </c>
      <c r="W107" s="20" t="inlineStr">
        <is>
          <t>베트남</t>
        </is>
      </c>
      <c r="X107" s="20" t="inlineStr">
        <is>
          <t>프라미스</t>
        </is>
      </c>
      <c r="Y107" s="26" t="inlineStr">
        <is>
          <t>프라미스) PM-8569</t>
        </is>
      </c>
      <c r="Z107" s="26" t="n"/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21" t="inlineStr">
        <is>
          <t>X</t>
        </is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 t="n"/>
      <c r="W108" s="20" t="inlineStr">
        <is>
          <t>베트남</t>
        </is>
      </c>
      <c r="X108" s="20" t="n"/>
      <c r="Y108" s="26" t="n"/>
      <c r="Z108" s="26" t="n"/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21" t="inlineStr">
        <is>
          <t>X</t>
        </is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 t="n"/>
      <c r="W109" s="20" t="inlineStr">
        <is>
          <t>베트남</t>
        </is>
      </c>
      <c r="X109" s="20" t="n"/>
      <c r="Y109" s="26" t="n"/>
      <c r="Z109" s="26" t="n"/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21" t="inlineStr">
        <is>
          <t>X</t>
        </is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 t="n"/>
      <c r="W110" s="20" t="inlineStr">
        <is>
          <t>인도네시아</t>
        </is>
      </c>
      <c r="X110" s="20" t="n"/>
      <c r="Y110" s="26" t="n"/>
      <c r="Z110" s="26" t="n"/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21" t="inlineStr">
        <is>
          <t>X</t>
        </is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 t="inlineStr">
        <is>
          <t>아이블</t>
        </is>
      </c>
      <c r="W111" s="20" t="inlineStr">
        <is>
          <t>베트남</t>
        </is>
      </c>
      <c r="X111" s="20" t="inlineStr">
        <is>
          <t>P&amp;T</t>
        </is>
      </c>
      <c r="Y111" s="26" t="inlineStr">
        <is>
          <t>P&amp;T) PNT-00215-WL</t>
        </is>
      </c>
      <c r="Z111" s="26" t="n"/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21" t="inlineStr">
        <is>
          <t>X</t>
        </is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 t="inlineStr">
        <is>
          <t>아이블</t>
        </is>
      </c>
      <c r="W112" s="20" t="inlineStr">
        <is>
          <t>베트남</t>
        </is>
      </c>
      <c r="X112" s="20" t="inlineStr">
        <is>
          <t>P&amp;T</t>
        </is>
      </c>
      <c r="Y112" s="26" t="inlineStr">
        <is>
          <t>P&amp;T) PNT-00215-WL</t>
        </is>
      </c>
      <c r="Z112" s="26" t="n"/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21" t="inlineStr">
        <is>
          <t>X</t>
        </is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 t="inlineStr">
        <is>
          <t>장안</t>
        </is>
      </c>
      <c r="W113" s="20" t="inlineStr">
        <is>
          <t>베트남</t>
        </is>
      </c>
      <c r="X113" s="20" t="inlineStr">
        <is>
          <t>태진</t>
        </is>
      </c>
      <c r="Y113" s="26" t="inlineStr">
        <is>
          <t>태진) TJ-01445</t>
        </is>
      </c>
      <c r="Z113" s="26" t="n"/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21" t="inlineStr">
        <is>
          <t>X</t>
        </is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 t="inlineStr">
        <is>
          <t>장안</t>
        </is>
      </c>
      <c r="W114" s="20" t="inlineStr">
        <is>
          <t>베트남</t>
        </is>
      </c>
      <c r="X114" s="20" t="inlineStr">
        <is>
          <t>태진</t>
        </is>
      </c>
      <c r="Y114" s="26" t="inlineStr">
        <is>
          <t>태진) TJ-01445</t>
        </is>
      </c>
      <c r="Z114" s="26" t="n"/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21" t="inlineStr">
        <is>
          <t>X</t>
        </is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 t="inlineStr">
        <is>
          <t>태화</t>
        </is>
      </c>
      <c r="W115" s="20" t="inlineStr">
        <is>
          <t>베트남</t>
        </is>
      </c>
      <c r="X115" s="20" t="inlineStr">
        <is>
          <t>태화</t>
        </is>
      </c>
      <c r="Y115" s="26" t="inlineStr">
        <is>
          <t>태화) THC-2096</t>
        </is>
      </c>
      <c r="Z115" s="26" t="n"/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21" t="inlineStr">
        <is>
          <t>X</t>
        </is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 t="inlineStr">
        <is>
          <t>장안</t>
        </is>
      </c>
      <c r="W116" s="20" t="inlineStr">
        <is>
          <t>베트남</t>
        </is>
      </c>
      <c r="X116" s="20" t="inlineStr">
        <is>
          <t>TNT / JKTREND</t>
        </is>
      </c>
      <c r="Y116" s="26" t="inlineStr">
        <is>
          <t>TNT) TNT-K2337</t>
        </is>
      </c>
      <c r="Z116" s="26" t="n"/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21" t="inlineStr">
        <is>
          <t>X</t>
        </is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 t="inlineStr">
        <is>
          <t>거림</t>
        </is>
      </c>
      <c r="W117" s="20" t="inlineStr">
        <is>
          <t>베트남</t>
        </is>
      </c>
      <c r="X117" s="20" t="inlineStr">
        <is>
          <t>필코</t>
        </is>
      </c>
      <c r="Y117" s="26" t="inlineStr">
        <is>
          <t>필코) 쿨율턴2</t>
        </is>
      </c>
      <c r="Z117" s="26" t="n"/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21" t="inlineStr">
        <is>
          <t>X</t>
        </is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 t="inlineStr">
        <is>
          <t>IKG</t>
        </is>
      </c>
      <c r="W118" s="20" t="inlineStr">
        <is>
          <t>인도네시아</t>
        </is>
      </c>
      <c r="X118" s="20" t="inlineStr">
        <is>
          <t>SPM</t>
        </is>
      </c>
      <c r="Y118" s="26" t="inlineStr">
        <is>
          <t>SPM) SR-COOL PL</t>
        </is>
      </c>
      <c r="Z118" s="26" t="n"/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21" t="inlineStr">
        <is>
          <t>X</t>
        </is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 t="inlineStr">
        <is>
          <t>아이블</t>
        </is>
      </c>
      <c r="W119" s="20" t="inlineStr">
        <is>
          <t>베트남</t>
        </is>
      </c>
      <c r="X119" s="20" t="inlineStr">
        <is>
          <t>플레이트</t>
        </is>
      </c>
      <c r="Y119" s="26" t="inlineStr">
        <is>
          <t>플레이트) NY130</t>
        </is>
      </c>
      <c r="Z119" s="26" t="n"/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21" t="inlineStr">
        <is>
          <t>X</t>
        </is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 t="inlineStr">
        <is>
          <t>장안</t>
        </is>
      </c>
      <c r="W120" s="20" t="inlineStr">
        <is>
          <t>베트남</t>
        </is>
      </c>
      <c r="X120" s="20" t="inlineStr">
        <is>
          <t>SPM</t>
        </is>
      </c>
      <c r="Y120" s="26" t="inlineStr">
        <is>
          <t>SPM) SR-COOL PL</t>
        </is>
      </c>
      <c r="Z120" s="26" t="n"/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21" t="inlineStr">
        <is>
          <t>X</t>
        </is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 t="inlineStr">
        <is>
          <t>원전 / 아이블</t>
        </is>
      </c>
      <c r="W121" s="20" t="inlineStr"/>
      <c r="X121" s="20" t="inlineStr">
        <is>
          <t>SPM / MOXX / 화니GC</t>
        </is>
      </c>
      <c r="Y121" s="26" t="inlineStr">
        <is>
          <t>SPM) WST-20SR
MOXX) MHT-942
화니GC) THIN SUN</t>
        </is>
      </c>
      <c r="Z121" s="26" t="n"/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21" t="inlineStr">
        <is>
          <t>X</t>
        </is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 t="inlineStr">
        <is>
          <t>원전</t>
        </is>
      </c>
      <c r="W122" s="20" t="inlineStr">
        <is>
          <t>인도네시아</t>
        </is>
      </c>
      <c r="X122" s="20" t="inlineStr">
        <is>
          <t>SPM</t>
        </is>
      </c>
      <c r="Y122" s="26" t="inlineStr">
        <is>
          <t>SPM) WST-20SR</t>
        </is>
      </c>
      <c r="Z122" s="26" t="n"/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21" t="inlineStr">
        <is>
          <t>X</t>
        </is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 t="inlineStr">
        <is>
          <t>아이블</t>
        </is>
      </c>
      <c r="W123" s="20" t="inlineStr">
        <is>
          <t>베트남</t>
        </is>
      </c>
      <c r="X123" s="20" t="inlineStr">
        <is>
          <t>서진</t>
        </is>
      </c>
      <c r="Y123" s="26" t="inlineStr">
        <is>
          <t>서진) LUHW-NN605R</t>
        </is>
      </c>
      <c r="Z123" s="26" t="n"/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21" t="inlineStr">
        <is>
          <t>X</t>
        </is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 t="inlineStr">
        <is>
          <t>아이블</t>
        </is>
      </c>
      <c r="W124" s="20" t="inlineStr"/>
      <c r="X124" s="20" t="inlineStr">
        <is>
          <t>PERTEX / BROLIN / L&amp;S / 밀리테크 / OLMETEX</t>
        </is>
      </c>
      <c r="Y124" s="26" t="inlineStr">
        <is>
          <t>PERTEX) PRC5911U-NFC
BROLIN) BL-SS23SN1018
L&amp;S) ST005TSPDWR
밀리테크) MT-9560HD
OLMETEX) N787154 GROGU</t>
        </is>
      </c>
      <c r="Z124" s="26" t="n"/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21" t="inlineStr">
        <is>
          <t>X</t>
        </is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 t="inlineStr">
        <is>
          <t>장안</t>
        </is>
      </c>
      <c r="W125" s="20" t="inlineStr">
        <is>
          <t>베트남</t>
        </is>
      </c>
      <c r="X125" s="20" t="inlineStr">
        <is>
          <t>대웅</t>
        </is>
      </c>
      <c r="Y125" s="26" t="inlineStr">
        <is>
          <t>대웅) DWT-2724/1</t>
        </is>
      </c>
      <c r="Z125" s="26" t="n"/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21" t="inlineStr">
        <is>
          <t>X</t>
        </is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 t="inlineStr">
        <is>
          <t>IKG</t>
        </is>
      </c>
      <c r="W126" s="20" t="inlineStr">
        <is>
          <t>인도네시아</t>
        </is>
      </c>
      <c r="X126" s="20" t="inlineStr">
        <is>
          <t>인터필</t>
        </is>
      </c>
      <c r="Y126" s="26" t="inlineStr">
        <is>
          <t>인터필) TI-229H</t>
        </is>
      </c>
      <c r="Z126" s="26" t="n"/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21" t="inlineStr">
        <is>
          <t>X</t>
        </is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 t="inlineStr">
        <is>
          <t>아이블</t>
        </is>
      </c>
      <c r="W127" s="20" t="inlineStr"/>
      <c r="X127" s="20" t="inlineStr">
        <is>
          <t>SPM</t>
        </is>
      </c>
      <c r="Y127" s="26" t="inlineStr">
        <is>
          <t>SPM) WST-20SR</t>
        </is>
      </c>
      <c r="Z127" s="26" t="n"/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21" t="inlineStr">
        <is>
          <t>X</t>
        </is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 t="inlineStr">
        <is>
          <t>아이블</t>
        </is>
      </c>
      <c r="W128" s="20" t="inlineStr">
        <is>
          <t>베트남</t>
        </is>
      </c>
      <c r="X128" s="20" t="inlineStr">
        <is>
          <t>PERTEX / L&amp;S / 밀리테크 / BROLIN</t>
        </is>
      </c>
      <c r="Y128" s="26" t="inlineStr">
        <is>
          <t>PERTEX) PRC5911U-NFC
L&amp;S) ST005TSPDWR
밀리테크) MT-9560HD
BROLIN) BL-SS23SN1018</t>
        </is>
      </c>
      <c r="Z128" s="26" t="n"/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21" t="inlineStr">
        <is>
          <t>X</t>
        </is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 t="inlineStr">
        <is>
          <t>YIC</t>
        </is>
      </c>
      <c r="W129" s="20" t="inlineStr">
        <is>
          <t>베트남</t>
        </is>
      </c>
      <c r="X129" s="20" t="inlineStr">
        <is>
          <t>JKTREND / 원창 / 신한</t>
        </is>
      </c>
      <c r="Y129" s="26" t="inlineStr">
        <is>
          <t>JKTREND) 3121WR
원창) OCI-4345
신한) SVR1544FD</t>
        </is>
      </c>
      <c r="Z129" s="26" t="n"/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21" t="inlineStr">
        <is>
          <t>X</t>
        </is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 t="inlineStr">
        <is>
          <t>아이블</t>
        </is>
      </c>
      <c r="W130" s="20" t="inlineStr">
        <is>
          <t>베트남</t>
        </is>
      </c>
      <c r="X130" s="20" t="inlineStr">
        <is>
          <t>SPM</t>
        </is>
      </c>
      <c r="Y130" s="26" t="inlineStr">
        <is>
          <t>SPM) WST-20SR</t>
        </is>
      </c>
      <c r="Z130" s="26" t="n"/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21" t="inlineStr">
        <is>
          <t>X</t>
        </is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 t="inlineStr">
        <is>
          <t>거림</t>
        </is>
      </c>
      <c r="W131" s="20" t="inlineStr">
        <is>
          <t>베트남</t>
        </is>
      </c>
      <c r="X131" s="20" t="inlineStr">
        <is>
          <t>SPM</t>
        </is>
      </c>
      <c r="Y131" s="26" t="inlineStr">
        <is>
          <t>SPM) SO-SUCKER</t>
        </is>
      </c>
      <c r="Z131" s="26" t="n"/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21" t="inlineStr">
        <is>
          <t>X</t>
        </is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 t="n"/>
      <c r="W132" s="20" t="inlineStr">
        <is>
          <t>베트남</t>
        </is>
      </c>
      <c r="X132" s="20" t="n"/>
      <c r="Y132" s="26" t="n"/>
      <c r="Z132" s="26" t="n"/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21" t="inlineStr">
        <is>
          <t>X</t>
        </is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 t="inlineStr">
        <is>
          <t>픽스쳐</t>
        </is>
      </c>
      <c r="W133" s="20" t="inlineStr">
        <is>
          <t>베트남</t>
        </is>
      </c>
      <c r="X133" s="20" t="inlineStr">
        <is>
          <t>타키사다나고야 / SPM</t>
        </is>
      </c>
      <c r="Y133" s="26" t="inlineStr">
        <is>
          <t>타키사다나고야) 106-13537
SPM) SO-SUCKER</t>
        </is>
      </c>
      <c r="Z133" s="26" t="n"/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21" t="inlineStr">
        <is>
          <t>X</t>
        </is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 t="inlineStr">
        <is>
          <t>픽스쳐</t>
        </is>
      </c>
      <c r="W134" s="20" t="inlineStr">
        <is>
          <t>베트남</t>
        </is>
      </c>
      <c r="X134" s="20" t="inlineStr">
        <is>
          <t>STYLEM / 대웅</t>
        </is>
      </c>
      <c r="Y134" s="26" t="inlineStr">
        <is>
          <t>STYLEM) 0850011630H
대웅) DWT-2982DTP</t>
        </is>
      </c>
      <c r="Z134" s="26" t="n"/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21" t="inlineStr">
        <is>
          <t>X</t>
        </is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 t="inlineStr">
        <is>
          <t>픽스쳐</t>
        </is>
      </c>
      <c r="W135" s="20" t="inlineStr">
        <is>
          <t>베트남</t>
        </is>
      </c>
      <c r="X135" s="20" t="inlineStr">
        <is>
          <t>STYLEM / 픽스처</t>
        </is>
      </c>
      <c r="Y135" s="26" t="inlineStr">
        <is>
          <t>STYLEM) 08500001170
픽스처) HL2026-5861"B"</t>
        </is>
      </c>
      <c r="Z135" s="26" t="n"/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21" t="inlineStr">
        <is>
          <t>X</t>
        </is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 t="inlineStr">
        <is>
          <t>픽스쳐</t>
        </is>
      </c>
      <c r="W136" s="20" t="inlineStr">
        <is>
          <t>베트남</t>
        </is>
      </c>
      <c r="X136" s="20" t="inlineStr">
        <is>
          <t>픽스처</t>
        </is>
      </c>
      <c r="Y136" s="26" t="inlineStr">
        <is>
          <t>픽스처) CFS01438A</t>
        </is>
      </c>
      <c r="Z136" s="26" t="n"/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21" t="inlineStr">
        <is>
          <t>X</t>
        </is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 t="inlineStr">
        <is>
          <t>장안</t>
        </is>
      </c>
      <c r="W137" s="20" t="inlineStr">
        <is>
          <t>베트남</t>
        </is>
      </c>
      <c r="X137" s="20" t="inlineStr">
        <is>
          <t>MD글로벌</t>
        </is>
      </c>
      <c r="Y137" s="26" t="inlineStr">
        <is>
          <t>MD글로벌) MDAC-72610</t>
        </is>
      </c>
      <c r="Z137" s="26" t="n"/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21" t="inlineStr">
        <is>
          <t>X</t>
        </is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 t="inlineStr">
        <is>
          <t>장안</t>
        </is>
      </c>
      <c r="W138" s="20" t="inlineStr">
        <is>
          <t>베트남</t>
        </is>
      </c>
      <c r="X138" s="20" t="inlineStr">
        <is>
          <t>SPM</t>
        </is>
      </c>
      <c r="Y138" s="26" t="inlineStr">
        <is>
          <t>SPM) SO-SUCKER</t>
        </is>
      </c>
      <c r="Z138" s="26" t="n"/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21" t="inlineStr">
        <is>
          <t>X</t>
        </is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 t="inlineStr">
        <is>
          <t>원전</t>
        </is>
      </c>
      <c r="W139" s="20" t="inlineStr">
        <is>
          <t>베트남</t>
        </is>
      </c>
      <c r="X139" s="20" t="inlineStr">
        <is>
          <t>프라미스</t>
        </is>
      </c>
      <c r="Y139" s="26" t="inlineStr">
        <is>
          <t>프라미스) 1274P</t>
        </is>
      </c>
      <c r="Z139" s="26" t="n"/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21" t="inlineStr">
        <is>
          <t>X</t>
        </is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 t="inlineStr">
        <is>
          <t>거림</t>
        </is>
      </c>
      <c r="W140" s="20" t="inlineStr">
        <is>
          <t>베트남</t>
        </is>
      </c>
      <c r="X140" s="20" t="inlineStr">
        <is>
          <t>SPM / 신한 / 케이글로벌</t>
        </is>
      </c>
      <c r="Y140" s="26" t="inlineStr">
        <is>
          <t>SPM) SO-SUCKER
신한) DRCW2
케이글로벌) KNG-27S-12</t>
        </is>
      </c>
      <c r="Z140" s="26" t="n"/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21" t="inlineStr">
        <is>
          <t>X</t>
        </is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 t="inlineStr">
        <is>
          <t>거림</t>
        </is>
      </c>
      <c r="W141" s="20" t="inlineStr">
        <is>
          <t>베트남</t>
        </is>
      </c>
      <c r="X141" s="20" t="inlineStr">
        <is>
          <t>SPM</t>
        </is>
      </c>
      <c r="Y141" s="26" t="inlineStr">
        <is>
          <t>SPM) SO-SUCKER</t>
        </is>
      </c>
      <c r="Z141" s="26" t="n"/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21" t="inlineStr">
        <is>
          <t>X</t>
        </is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 t="inlineStr">
        <is>
          <t>태화</t>
        </is>
      </c>
      <c r="W142" s="20" t="inlineStr">
        <is>
          <t>베트남</t>
        </is>
      </c>
      <c r="X142" s="20" t="inlineStr">
        <is>
          <t>스타이렘 / 픽스처</t>
        </is>
      </c>
      <c r="Y142" s="26" t="inlineStr">
        <is>
          <t>스타이렘) 08500001170
픽스처) HL2026-5862"A"</t>
        </is>
      </c>
      <c r="Z142" s="26" t="n"/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21" t="inlineStr">
        <is>
          <t>X</t>
        </is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 t="inlineStr">
        <is>
          <t>태화</t>
        </is>
      </c>
      <c r="W143" s="20" t="inlineStr">
        <is>
          <t>베트남</t>
        </is>
      </c>
      <c r="X143" s="20" t="inlineStr">
        <is>
          <t>MD글로벌</t>
        </is>
      </c>
      <c r="Y143" s="26" t="inlineStr">
        <is>
          <t>MD글로벌) MDAC-72610</t>
        </is>
      </c>
      <c r="Z143" s="26" t="n"/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21" t="inlineStr">
        <is>
          <t>X</t>
        </is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 t="inlineStr">
        <is>
          <t>아이블</t>
        </is>
      </c>
      <c r="W144" s="20" t="inlineStr">
        <is>
          <t>베트남</t>
        </is>
      </c>
      <c r="X144" s="20" t="inlineStr">
        <is>
          <t>P&amp;T</t>
        </is>
      </c>
      <c r="Y144" s="26" t="inlineStr">
        <is>
          <t>P&amp;T) PNT-00108RE-WA</t>
        </is>
      </c>
      <c r="Z144" s="26" t="n"/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21" t="inlineStr">
        <is>
          <t>X</t>
        </is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 t="inlineStr">
        <is>
          <t>거림</t>
        </is>
      </c>
      <c r="W145" s="20" t="inlineStr">
        <is>
          <t>베트남</t>
        </is>
      </c>
      <c r="X145" s="20" t="inlineStr">
        <is>
          <t>SPM / 미지앤티</t>
        </is>
      </c>
      <c r="Y145" s="26" t="inlineStr">
        <is>
          <t>SPM) W4-NSP WR
미지앤티) MJ-NEO004 140 PD
SPM) NSX-WR</t>
        </is>
      </c>
      <c r="Z145" s="26" t="n"/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21" t="inlineStr">
        <is>
          <t>X</t>
        </is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 t="inlineStr">
        <is>
          <t>거림</t>
        </is>
      </c>
      <c r="W146" s="20" t="inlineStr">
        <is>
          <t>베트남</t>
        </is>
      </c>
      <c r="X146" s="20" t="inlineStr">
        <is>
          <t>SPM</t>
        </is>
      </c>
      <c r="Y146" s="26" t="inlineStr">
        <is>
          <t>SPM) SO-SUCKER</t>
        </is>
      </c>
      <c r="Z146" s="26" t="n"/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21" t="inlineStr">
        <is>
          <t>X</t>
        </is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 t="inlineStr">
        <is>
          <t>TBO</t>
        </is>
      </c>
      <c r="W147" s="20" t="inlineStr">
        <is>
          <t>베트남</t>
        </is>
      </c>
      <c r="X147" s="20" t="inlineStr">
        <is>
          <t>SPM</t>
        </is>
      </c>
      <c r="Y147" s="26" t="inlineStr">
        <is>
          <t>SPM) W4-NSP WR
SPM) NSX-WR</t>
        </is>
      </c>
      <c r="Z147" s="26" t="n"/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21" t="inlineStr">
        <is>
          <t>X</t>
        </is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 t="inlineStr">
        <is>
          <t>TBO</t>
        </is>
      </c>
      <c r="W148" s="20" t="inlineStr">
        <is>
          <t>베트남</t>
        </is>
      </c>
      <c r="X148" s="20" t="inlineStr">
        <is>
          <t>SPM</t>
        </is>
      </c>
      <c r="Y148" s="26" t="inlineStr">
        <is>
          <t>SPM) NSX-WR</t>
        </is>
      </c>
      <c r="Z148" s="26" t="n"/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21" t="inlineStr">
        <is>
          <t>X</t>
        </is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 t="inlineStr">
        <is>
          <t>성원</t>
        </is>
      </c>
      <c r="W149" s="20" t="inlineStr">
        <is>
          <t>베트남</t>
        </is>
      </c>
      <c r="X149" s="20" t="inlineStr">
        <is>
          <t>SPM</t>
        </is>
      </c>
      <c r="Y149" s="26" t="inlineStr">
        <is>
          <t>SPM) NSX-WR</t>
        </is>
      </c>
      <c r="Z149" s="26" t="n"/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21" t="inlineStr">
        <is>
          <t>X</t>
        </is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 t="inlineStr">
        <is>
          <t>IKG</t>
        </is>
      </c>
      <c r="W150" s="20" t="inlineStr">
        <is>
          <t>베트남</t>
        </is>
      </c>
      <c r="X150" s="20" t="inlineStr">
        <is>
          <t>SPM</t>
        </is>
      </c>
      <c r="Y150" s="26" t="inlineStr">
        <is>
          <t>SPM) NSX-WR</t>
        </is>
      </c>
      <c r="Z150" s="26" t="n"/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21" t="inlineStr">
        <is>
          <t>X</t>
        </is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 t="inlineStr">
        <is>
          <t>TBO</t>
        </is>
      </c>
      <c r="W151" s="20" t="inlineStr">
        <is>
          <t>베트남</t>
        </is>
      </c>
      <c r="X151" s="20" t="inlineStr">
        <is>
          <t>SPM</t>
        </is>
      </c>
      <c r="Y151" s="26" t="inlineStr">
        <is>
          <t>SPM) NSX-WR</t>
        </is>
      </c>
      <c r="Z151" s="26" t="n"/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21" t="inlineStr">
        <is>
          <t>X</t>
        </is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 t="inlineStr">
        <is>
          <t>YIC</t>
        </is>
      </c>
      <c r="W152" s="20" t="inlineStr">
        <is>
          <t>베트남</t>
        </is>
      </c>
      <c r="X152" s="20" t="inlineStr">
        <is>
          <t>SPM</t>
        </is>
      </c>
      <c r="Y152" s="26" t="inlineStr">
        <is>
          <t>SPM) NSX-WR</t>
        </is>
      </c>
      <c r="Z152" s="26" t="n"/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21" t="inlineStr">
        <is>
          <t>X</t>
        </is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 t="inlineStr">
        <is>
          <t>TBO</t>
        </is>
      </c>
      <c r="W153" s="20" t="inlineStr">
        <is>
          <t>베트남</t>
        </is>
      </c>
      <c r="X153" s="20" t="inlineStr">
        <is>
          <t>SPM</t>
        </is>
      </c>
      <c r="Y153" s="26" t="inlineStr">
        <is>
          <t>SPM) NSX-WR</t>
        </is>
      </c>
      <c r="Z153" s="26" t="n"/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21" t="inlineStr">
        <is>
          <t>X</t>
        </is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 t="inlineStr">
        <is>
          <t>TBO</t>
        </is>
      </c>
      <c r="W154" s="20" t="inlineStr">
        <is>
          <t>베트남</t>
        </is>
      </c>
      <c r="X154" s="20" t="inlineStr">
        <is>
          <t>SPM</t>
        </is>
      </c>
      <c r="Y154" s="26" t="inlineStr">
        <is>
          <t>SPM) NSX-WR</t>
        </is>
      </c>
      <c r="Z154" s="26" t="n"/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21" t="inlineStr">
        <is>
          <t>X</t>
        </is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 t="inlineStr">
        <is>
          <t>성원</t>
        </is>
      </c>
      <c r="W155" s="20" t="inlineStr">
        <is>
          <t>베트남</t>
        </is>
      </c>
      <c r="X155" s="20" t="inlineStr">
        <is>
          <t>SPM</t>
        </is>
      </c>
      <c r="Y155" s="26" t="inlineStr">
        <is>
          <t>SPM) NSX-WR</t>
        </is>
      </c>
      <c r="Z155" s="26" t="n"/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21" t="inlineStr">
        <is>
          <t>X</t>
        </is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 t="inlineStr">
        <is>
          <t>에이스 / 장안</t>
        </is>
      </c>
      <c r="W156" s="20" t="inlineStr">
        <is>
          <t>베트남</t>
        </is>
      </c>
      <c r="X156" s="20" t="inlineStr">
        <is>
          <t>SPM</t>
        </is>
      </c>
      <c r="Y156" s="26" t="inlineStr">
        <is>
          <t>SPM) NSX WR (WRE
SPM) DTS-B4N
SPM) SR-COOL PL</t>
        </is>
      </c>
      <c r="Z156" s="26" t="n"/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21" t="inlineStr">
        <is>
          <t>X</t>
        </is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 t="inlineStr">
        <is>
          <t>IKG</t>
        </is>
      </c>
      <c r="W157" s="20" t="inlineStr">
        <is>
          <t>인도네시아</t>
        </is>
      </c>
      <c r="X157" s="20" t="inlineStr">
        <is>
          <t>SPM</t>
        </is>
      </c>
      <c r="Y157" s="26" t="inlineStr">
        <is>
          <t>SPM) NSX-WR</t>
        </is>
      </c>
      <c r="Z157" s="26" t="n"/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21" t="inlineStr">
        <is>
          <t>X</t>
        </is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 t="inlineStr">
        <is>
          <t>IKG</t>
        </is>
      </c>
      <c r="W158" s="20" t="inlineStr">
        <is>
          <t>베트남</t>
        </is>
      </c>
      <c r="X158" s="20" t="inlineStr">
        <is>
          <t>SPM</t>
        </is>
      </c>
      <c r="Y158" s="26" t="inlineStr">
        <is>
          <t>SPM) NSX-WR</t>
        </is>
      </c>
      <c r="Z158" s="26" t="n"/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21" t="inlineStr">
        <is>
          <t>X</t>
        </is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 t="inlineStr">
        <is>
          <t>IKG</t>
        </is>
      </c>
      <c r="W159" s="20" t="inlineStr">
        <is>
          <t>베트남</t>
        </is>
      </c>
      <c r="X159" s="20" t="inlineStr">
        <is>
          <t>SPM</t>
        </is>
      </c>
      <c r="Y159" s="26" t="inlineStr">
        <is>
          <t>SPM) NSX-WR</t>
        </is>
      </c>
      <c r="Z159" s="26" t="n"/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21" t="inlineStr">
        <is>
          <t>X</t>
        </is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 t="inlineStr">
        <is>
          <t>TESSELLATION</t>
        </is>
      </c>
      <c r="W160" s="20" t="inlineStr">
        <is>
          <t>베트남</t>
        </is>
      </c>
      <c r="X160" s="20" t="inlineStr">
        <is>
          <t>TESSELLATION</t>
        </is>
      </c>
      <c r="Y160" s="26" t="inlineStr">
        <is>
          <t>TESSELLATION) KSF23KF0104532 B</t>
        </is>
      </c>
      <c r="Z160" s="26" t="n"/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21" t="inlineStr">
        <is>
          <t>X</t>
        </is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 t="inlineStr">
        <is>
          <t>IKG</t>
        </is>
      </c>
      <c r="W161" s="20" t="inlineStr">
        <is>
          <t>베트남</t>
        </is>
      </c>
      <c r="X161" s="20" t="inlineStr">
        <is>
          <t>플레이트</t>
        </is>
      </c>
      <c r="Y161" s="26" t="inlineStr">
        <is>
          <t>플레이트) DI-001C</t>
        </is>
      </c>
      <c r="Z161" s="26" t="n"/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21" t="inlineStr">
        <is>
          <t>X</t>
        </is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 t="inlineStr">
        <is>
          <t>IKG</t>
        </is>
      </c>
      <c r="W162" s="20" t="inlineStr">
        <is>
          <t>인도네시아</t>
        </is>
      </c>
      <c r="X162" s="20" t="inlineStr">
        <is>
          <t>POLARTEC / 신원</t>
        </is>
      </c>
      <c r="Y162" s="26" t="inlineStr">
        <is>
          <t>POLARTEC) 4004</t>
        </is>
      </c>
      <c r="Z162" s="26" t="n"/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21" t="inlineStr">
        <is>
          <t>X</t>
        </is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 t="n"/>
      <c r="W163" s="20" t="inlineStr">
        <is>
          <t>인도네시아</t>
        </is>
      </c>
      <c r="X163" s="20" t="n"/>
      <c r="Y163" s="26" t="n"/>
      <c r="Z163" s="26" t="n"/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21" t="inlineStr">
        <is>
          <t>X</t>
        </is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 t="n"/>
      <c r="W164" s="20" t="inlineStr">
        <is>
          <t>인도네시아</t>
        </is>
      </c>
      <c r="X164" s="20" t="n"/>
      <c r="Y164" s="26" t="n"/>
      <c r="Z164" s="26" t="n"/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21" t="inlineStr">
        <is>
          <t>X</t>
        </is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 t="inlineStr">
        <is>
          <t>거림</t>
        </is>
      </c>
      <c r="W165" s="20" t="inlineStr">
        <is>
          <t>베트남</t>
        </is>
      </c>
      <c r="X165" s="20" t="inlineStr">
        <is>
          <t>신한</t>
        </is>
      </c>
      <c r="Y165" s="26" t="inlineStr">
        <is>
          <t>신한) SH-TP7204</t>
        </is>
      </c>
      <c r="Z165" s="26" t="n"/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21" t="inlineStr">
        <is>
          <t>X</t>
        </is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 t="inlineStr">
        <is>
          <t>거림</t>
        </is>
      </c>
      <c r="W166" s="20" t="inlineStr">
        <is>
          <t>베트남</t>
        </is>
      </c>
      <c r="X166" s="20" t="inlineStr">
        <is>
          <t>JKTREND / 밀리테크</t>
        </is>
      </c>
      <c r="Y166" s="26" t="inlineStr">
        <is>
          <t>JKTREND) 60A25FWR
밀리테크) MT-9560HD</t>
        </is>
      </c>
      <c r="Z166" s="26" t="n"/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21" t="inlineStr">
        <is>
          <t>X</t>
        </is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 t="inlineStr">
        <is>
          <t>IKG</t>
        </is>
      </c>
      <c r="W167" s="20" t="inlineStr">
        <is>
          <t>인도네시아</t>
        </is>
      </c>
      <c r="X167" s="20" t="inlineStr">
        <is>
          <t>글로벌B&amp;G</t>
        </is>
      </c>
      <c r="Y167" s="26" t="inlineStr">
        <is>
          <t>글로벌B&amp;G) GB26T-LIK0001</t>
        </is>
      </c>
      <c r="Z167" s="26" t="n"/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21" t="inlineStr">
        <is>
          <t>X</t>
        </is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 t="inlineStr">
        <is>
          <t>YIC</t>
        </is>
      </c>
      <c r="W168" s="20" t="inlineStr">
        <is>
          <t>베트남</t>
        </is>
      </c>
      <c r="X168" s="20" t="inlineStr">
        <is>
          <t>플레이트</t>
        </is>
      </c>
      <c r="Y168" s="26" t="inlineStr">
        <is>
          <t>플레이트) DI-001C</t>
        </is>
      </c>
      <c r="Z168" s="26" t="n"/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21" t="inlineStr">
        <is>
          <t>X</t>
        </is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 t="inlineStr">
        <is>
          <t>IKG</t>
        </is>
      </c>
      <c r="W169" s="20" t="inlineStr">
        <is>
          <t>인도네시아</t>
        </is>
      </c>
      <c r="X169" s="20" t="inlineStr">
        <is>
          <t>글로벌B&amp;G</t>
        </is>
      </c>
      <c r="Y169" s="26" t="inlineStr">
        <is>
          <t>글로벌B&amp;G) GB26T-LIK0001</t>
        </is>
      </c>
      <c r="Z169" s="26" t="n"/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21" t="inlineStr">
        <is>
          <t>X</t>
        </is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 t="n"/>
      <c r="W170" s="20" t="inlineStr">
        <is>
          <t>베트남</t>
        </is>
      </c>
      <c r="X170" s="20" t="n"/>
      <c r="Y170" s="26" t="n"/>
      <c r="Z170" s="26" t="n"/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21" t="inlineStr">
        <is>
          <t>X</t>
        </is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 t="inlineStr">
        <is>
          <t>장안</t>
        </is>
      </c>
      <c r="W171" s="20" t="inlineStr">
        <is>
          <t>베트남</t>
        </is>
      </c>
      <c r="X171" s="20" t="inlineStr">
        <is>
          <t>SPM</t>
        </is>
      </c>
      <c r="Y171" s="26" t="inlineStr">
        <is>
          <t>SPM) DOT AIR -50SF</t>
        </is>
      </c>
      <c r="Z171" s="26" t="n"/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21" t="inlineStr">
        <is>
          <t>X</t>
        </is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 t="inlineStr">
        <is>
          <t>장안</t>
        </is>
      </c>
      <c r="W172" s="20" t="inlineStr">
        <is>
          <t>베트남</t>
        </is>
      </c>
      <c r="X172" s="20" t="inlineStr">
        <is>
          <t>태진 / 한샘</t>
        </is>
      </c>
      <c r="Y172" s="26" t="inlineStr">
        <is>
          <t>태진) TJ-04111</t>
        </is>
      </c>
      <c r="Z172" s="26" t="n"/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21" t="inlineStr">
        <is>
          <t>X</t>
        </is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 t="inlineStr">
        <is>
          <t>거림</t>
        </is>
      </c>
      <c r="W173" s="20" t="inlineStr">
        <is>
          <t>베트남</t>
        </is>
      </c>
      <c r="X173" s="20" t="inlineStr">
        <is>
          <t>신한</t>
        </is>
      </c>
      <c r="Y173" s="26" t="inlineStr">
        <is>
          <t>신한) SH-TP7204</t>
        </is>
      </c>
      <c r="Z173" s="26" t="n"/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21" t="inlineStr">
        <is>
          <t>X</t>
        </is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 t="n"/>
      <c r="W174" s="20" t="inlineStr">
        <is>
          <t>베트남</t>
        </is>
      </c>
      <c r="X174" s="20" t="n"/>
      <c r="Y174" s="26" t="n"/>
      <c r="Z174" s="26" t="n"/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21" t="inlineStr">
        <is>
          <t>X</t>
        </is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 t="n"/>
      <c r="W175" s="20" t="inlineStr">
        <is>
          <t>베트남</t>
        </is>
      </c>
      <c r="X175" s="20" t="n"/>
      <c r="Y175" s="26" t="n"/>
      <c r="Z175" s="26" t="n"/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21" t="inlineStr">
        <is>
          <t>X</t>
        </is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 t="inlineStr">
        <is>
          <t>IKG</t>
        </is>
      </c>
      <c r="W176" s="20" t="inlineStr">
        <is>
          <t>인도네시아</t>
        </is>
      </c>
      <c r="X176" s="20" t="inlineStr">
        <is>
          <t>글로벌B&amp;G</t>
        </is>
      </c>
      <c r="Y176" s="26" t="inlineStr">
        <is>
          <t>글로벌B&amp;G) GB25T-STK0297</t>
        </is>
      </c>
      <c r="Z176" s="26" t="n"/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21" t="inlineStr">
        <is>
          <t>X</t>
        </is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 t="n"/>
      <c r="W177" s="20" t="inlineStr">
        <is>
          <t>베트남</t>
        </is>
      </c>
      <c r="X177" s="20" t="n"/>
      <c r="Y177" s="26" t="n"/>
      <c r="Z177" s="26" t="n"/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21" t="inlineStr">
        <is>
          <t>X</t>
        </is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 t="n"/>
      <c r="W178" s="20" t="inlineStr">
        <is>
          <t>베트남</t>
        </is>
      </c>
      <c r="X178" s="20" t="n"/>
      <c r="Y178" s="26" t="n"/>
      <c r="Z178" s="26" t="n"/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21" t="inlineStr">
        <is>
          <t>X</t>
        </is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 t="n"/>
      <c r="W179" s="20" t="inlineStr">
        <is>
          <t>베트남</t>
        </is>
      </c>
      <c r="X179" s="20" t="n"/>
      <c r="Y179" s="26" t="n"/>
      <c r="Z179" s="26" t="n"/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21" t="inlineStr">
        <is>
          <t>X</t>
        </is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 t="inlineStr">
        <is>
          <t>거림</t>
        </is>
      </c>
      <c r="W180" s="20" t="inlineStr">
        <is>
          <t>베트남</t>
        </is>
      </c>
      <c r="X180" s="20" t="inlineStr">
        <is>
          <t>플레이트 / STYLEM / 신한 / 케이글로벌</t>
        </is>
      </c>
      <c r="Y180" s="26" t="inlineStr">
        <is>
          <t>플레이트) DO-482C
STYLEM) 012S0085870
신한) DRCW2
케이글로벌) KNG-27S-12</t>
        </is>
      </c>
      <c r="Z180" s="26" t="n"/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21" t="inlineStr">
        <is>
          <t>X</t>
        </is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 t="inlineStr">
        <is>
          <t>픽스쳐</t>
        </is>
      </c>
      <c r="W181" s="20" t="inlineStr">
        <is>
          <t>베트남</t>
        </is>
      </c>
      <c r="X181" s="20" t="inlineStr">
        <is>
          <t>픽스처</t>
        </is>
      </c>
      <c r="Y181" s="26" t="inlineStr">
        <is>
          <t>픽스처) SUH404749-01</t>
        </is>
      </c>
      <c r="Z181" s="26" t="n"/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21" t="inlineStr">
        <is>
          <t>X</t>
        </is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 t="inlineStr">
        <is>
          <t>픽스쳐</t>
        </is>
      </c>
      <c r="W182" s="20" t="inlineStr">
        <is>
          <t>베트남</t>
        </is>
      </c>
      <c r="X182" s="20" t="inlineStr">
        <is>
          <t>픽스처 / EVOKE / 타키사다나고야 / MK / 픽스쳐 / SUNWELL / JK TREND</t>
        </is>
      </c>
      <c r="Y182" s="26" t="inlineStr">
        <is>
          <t>픽스처) JIANGSU LIANFA) 666708-02
EVOKE) JAPAN BLUE)COD2989-03
타키사다나고야) 1083500MI
MK) GMZ710295R
픽스쳐) SUH404749-01
SUNWELL) 14187
타키사다나고야) 106-13537
픽스쳐) DENIM RHTS 448
JK TREND) 30007WRSPV</t>
        </is>
      </c>
      <c r="Z182" s="26" t="n"/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21" t="inlineStr">
        <is>
          <t>X</t>
        </is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 t="inlineStr">
        <is>
          <t>IKG</t>
        </is>
      </c>
      <c r="W183" s="20" t="inlineStr">
        <is>
          <t>인도네시아</t>
        </is>
      </c>
      <c r="X183" s="20" t="inlineStr">
        <is>
          <t>IKG</t>
        </is>
      </c>
      <c r="Y183" s="26" t="inlineStr">
        <is>
          <t>IKG) BROS B8802 싱글</t>
        </is>
      </c>
      <c r="Z183" s="26" t="n"/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21" t="inlineStr">
        <is>
          <t>X</t>
        </is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 t="inlineStr">
        <is>
          <t>원전</t>
        </is>
      </c>
      <c r="W184" s="20" t="inlineStr">
        <is>
          <t>베트남</t>
        </is>
      </c>
      <c r="X184" s="20" t="inlineStr">
        <is>
          <t>필코 / 소노</t>
        </is>
      </c>
      <c r="Y184" s="26" t="inlineStr">
        <is>
          <t>필코) 마쿠스
소노) 25SS-JH-095</t>
        </is>
      </c>
      <c r="Z184" s="26" t="n"/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21" t="n"/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 t="n"/>
      <c r="W185" s="20" t="inlineStr"/>
      <c r="X185" s="20" t="n"/>
      <c r="Y185" s="26" t="n"/>
      <c r="Z185" s="26" t="n"/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21" t="inlineStr">
        <is>
          <t>X</t>
        </is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 t="n"/>
      <c r="W186" s="20" t="inlineStr">
        <is>
          <t>중국</t>
        </is>
      </c>
      <c r="X186" s="20" t="n"/>
      <c r="Y186" s="26" t="n"/>
      <c r="Z186" s="26" t="n"/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21" t="inlineStr">
        <is>
          <t>X</t>
        </is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 t="inlineStr">
        <is>
          <t>원전</t>
        </is>
      </c>
      <c r="W187" s="20" t="inlineStr"/>
      <c r="X187" s="20" t="inlineStr">
        <is>
          <t>플레이트</t>
        </is>
      </c>
      <c r="Y187" s="26" t="inlineStr">
        <is>
          <t>플레이트) DI-001C</t>
        </is>
      </c>
      <c r="Z187" s="26" t="n"/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21" t="inlineStr">
        <is>
          <t>X</t>
        </is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 t="n"/>
      <c r="W188" s="20" t="inlineStr"/>
      <c r="X188" s="20" t="n"/>
      <c r="Y188" s="26" t="n"/>
      <c r="Z188" s="26" t="n"/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21" t="inlineStr">
        <is>
          <t>X</t>
        </is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 t="inlineStr">
        <is>
          <t>원전</t>
        </is>
      </c>
      <c r="W189" s="20" t="inlineStr">
        <is>
          <t>인도네시아</t>
        </is>
      </c>
      <c r="X189" s="20" t="inlineStr">
        <is>
          <t>플레이트</t>
        </is>
      </c>
      <c r="Y189" s="26" t="inlineStr">
        <is>
          <t>플레이트) DI-001C</t>
        </is>
      </c>
      <c r="Z189" s="26" t="n"/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21" t="inlineStr">
        <is>
          <t>X</t>
        </is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 t="inlineStr">
        <is>
          <t>IKG</t>
        </is>
      </c>
      <c r="W190" s="20" t="inlineStr">
        <is>
          <t>인도네시아</t>
        </is>
      </c>
      <c r="X190" s="20" t="inlineStr">
        <is>
          <t>수텍스</t>
        </is>
      </c>
      <c r="Y190" s="26" t="inlineStr">
        <is>
          <t>수텍스) SJS-23-1568</t>
        </is>
      </c>
      <c r="Z190" s="26" t="n"/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21" t="inlineStr">
        <is>
          <t>X</t>
        </is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 t="inlineStr">
        <is>
          <t>IKG</t>
        </is>
      </c>
      <c r="W191" s="20" t="inlineStr">
        <is>
          <t>인도네시아</t>
        </is>
      </c>
      <c r="X191" s="20" t="inlineStr">
        <is>
          <t>수텍스</t>
        </is>
      </c>
      <c r="Y191" s="26" t="inlineStr">
        <is>
          <t>수텍스) SJS-23-1568</t>
        </is>
      </c>
      <c r="Z191" s="26" t="n"/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21" t="inlineStr">
        <is>
          <t>X</t>
        </is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 t="inlineStr">
        <is>
          <t>태화</t>
        </is>
      </c>
      <c r="W192" s="20" t="inlineStr">
        <is>
          <t>베트남</t>
        </is>
      </c>
      <c r="X192" s="20" t="inlineStr">
        <is>
          <t>SPM</t>
        </is>
      </c>
      <c r="Y192" s="26" t="inlineStr">
        <is>
          <t>SPM) SR-COOL PL</t>
        </is>
      </c>
      <c r="Z192" s="26" t="n"/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21" t="inlineStr">
        <is>
          <t>X</t>
        </is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 t="inlineStr">
        <is>
          <t>원전</t>
        </is>
      </c>
      <c r="W193" s="20" t="inlineStr">
        <is>
          <t>미얀마</t>
        </is>
      </c>
      <c r="X193" s="20" t="inlineStr">
        <is>
          <t>STYLEM / 신한 / 케이글로벌 / 플레이트 / 화니글로벌</t>
        </is>
      </c>
      <c r="Y193" s="26" t="inlineStr">
        <is>
          <t>STYLEM) 012S0085870
신한) DRCW2
케이글로벌) KNG-27S-12
플레이트) DO-482C
플레이트) HQ-213
화니글로벌) SGT1211</t>
        </is>
      </c>
      <c r="Z193" s="26" t="n"/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21" t="inlineStr">
        <is>
          <t>X</t>
        </is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 t="inlineStr">
        <is>
          <t>포마트</t>
        </is>
      </c>
      <c r="W194" s="20" t="inlineStr">
        <is>
          <t>베트남</t>
        </is>
      </c>
      <c r="X194" s="20" t="inlineStr">
        <is>
          <t>PERTEX</t>
        </is>
      </c>
      <c r="Y194" s="26" t="inlineStr">
        <is>
          <t>PERTEX) PS074-20C3L7</t>
        </is>
      </c>
      <c r="Z194" s="26" t="n"/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21" t="inlineStr">
        <is>
          <t>X</t>
        </is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 t="inlineStr">
        <is>
          <t>포마트</t>
        </is>
      </c>
      <c r="W195" s="20" t="inlineStr">
        <is>
          <t>베트남</t>
        </is>
      </c>
      <c r="X195" s="20" t="inlineStr">
        <is>
          <t>텍스마켓</t>
        </is>
      </c>
      <c r="Y195" s="26" t="inlineStr">
        <is>
          <t>텍스마켓) CN-163</t>
        </is>
      </c>
      <c r="Z195" s="26" t="n"/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21" t="inlineStr">
        <is>
          <t>X</t>
        </is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 t="inlineStr">
        <is>
          <t>YIC</t>
        </is>
      </c>
      <c r="W196" s="20" t="inlineStr">
        <is>
          <t>베트남</t>
        </is>
      </c>
      <c r="X196" s="20" t="inlineStr">
        <is>
          <t>KG-GLOBAL</t>
        </is>
      </c>
      <c r="Y196" s="26" t="inlineStr">
        <is>
          <t>KG-GLOBAL) KGA-2724</t>
        </is>
      </c>
      <c r="Z196" s="26" t="n"/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21" t="inlineStr">
        <is>
          <t>X</t>
        </is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 t="inlineStr">
        <is>
          <t>YIC</t>
        </is>
      </c>
      <c r="W197" s="20" t="inlineStr">
        <is>
          <t>베트남</t>
        </is>
      </c>
      <c r="X197" s="20" t="inlineStr">
        <is>
          <t>텍스마켓 / 우주</t>
        </is>
      </c>
      <c r="Y197" s="26" t="inlineStr">
        <is>
          <t>텍스마켓) CN-163</t>
        </is>
      </c>
      <c r="Z197" s="26" t="n"/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21" t="inlineStr">
        <is>
          <t>X</t>
        </is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 t="inlineStr">
        <is>
          <t>IKG</t>
        </is>
      </c>
      <c r="W198" s="20" t="inlineStr">
        <is>
          <t>베트남</t>
        </is>
      </c>
      <c r="X198" s="20" t="inlineStr">
        <is>
          <t>ECLAT</t>
        </is>
      </c>
      <c r="Y198" s="26" t="inlineStr">
        <is>
          <t>ECLAT) RT1706334</t>
        </is>
      </c>
      <c r="Z198" s="26" t="n"/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21" t="inlineStr">
        <is>
          <t>X</t>
        </is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 t="inlineStr">
        <is>
          <t>장안</t>
        </is>
      </c>
      <c r="W199" s="20" t="inlineStr">
        <is>
          <t>베트남</t>
        </is>
      </c>
      <c r="X199" s="20" t="inlineStr">
        <is>
          <t>POLARTEC</t>
        </is>
      </c>
      <c r="Y199" s="26" t="inlineStr">
        <is>
          <t>POLARTEC) 8022(21082-1-2</t>
        </is>
      </c>
      <c r="Z199" s="26" t="n"/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21" t="inlineStr">
        <is>
          <t>X</t>
        </is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 t="inlineStr">
        <is>
          <t>장안</t>
        </is>
      </c>
      <c r="W200" s="20" t="inlineStr">
        <is>
          <t>베트남</t>
        </is>
      </c>
      <c r="X200" s="20" t="inlineStr">
        <is>
          <t>화니글로벌</t>
        </is>
      </c>
      <c r="Y200" s="26" t="inlineStr">
        <is>
          <t>화니글로벌) TVT0085</t>
        </is>
      </c>
      <c r="Z200" s="26" t="n"/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21" t="inlineStr">
        <is>
          <t>X</t>
        </is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 t="inlineStr">
        <is>
          <t>장안</t>
        </is>
      </c>
      <c r="W201" s="20" t="inlineStr">
        <is>
          <t>베트남</t>
        </is>
      </c>
      <c r="X201" s="20" t="inlineStr">
        <is>
          <t>SK패션</t>
        </is>
      </c>
      <c r="Y201" s="26" t="inlineStr">
        <is>
          <t>SK패션) SK23-9192-YC</t>
        </is>
      </c>
      <c r="Z201" s="26" t="n"/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21" t="inlineStr">
        <is>
          <t>X</t>
        </is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 t="inlineStr">
        <is>
          <t>포마트</t>
        </is>
      </c>
      <c r="W202" s="20" t="inlineStr">
        <is>
          <t>베트남</t>
        </is>
      </c>
      <c r="X202" s="20" t="inlineStr">
        <is>
          <t>PERTEX</t>
        </is>
      </c>
      <c r="Y202" s="26" t="inlineStr">
        <is>
          <t>PERTEX) PS074-20C3L7</t>
        </is>
      </c>
      <c r="Z202" s="26" t="n"/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21" t="inlineStr">
        <is>
          <t>X</t>
        </is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 t="inlineStr">
        <is>
          <t>포마트</t>
        </is>
      </c>
      <c r="W203" s="20" t="inlineStr">
        <is>
          <t>베트남</t>
        </is>
      </c>
      <c r="X203" s="20" t="inlineStr">
        <is>
          <t>텍스마켓</t>
        </is>
      </c>
      <c r="Y203" s="26" t="inlineStr">
        <is>
          <t>텍스마켓) CN-163</t>
        </is>
      </c>
      <c r="Z203" s="26" t="n"/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21" t="inlineStr">
        <is>
          <t>X</t>
        </is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 t="inlineStr">
        <is>
          <t>YIC</t>
        </is>
      </c>
      <c r="W204" s="20" t="inlineStr">
        <is>
          <t>베트남</t>
        </is>
      </c>
      <c r="X204" s="20" t="inlineStr">
        <is>
          <t>필코</t>
        </is>
      </c>
      <c r="Y204" s="26" t="inlineStr">
        <is>
          <t>필코) 쿨율턴2</t>
        </is>
      </c>
      <c r="Z204" s="26" t="n"/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21" t="inlineStr">
        <is>
          <t>X</t>
        </is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 t="inlineStr">
        <is>
          <t>YIC</t>
        </is>
      </c>
      <c r="W205" s="20" t="inlineStr">
        <is>
          <t>베트남</t>
        </is>
      </c>
      <c r="X205" s="20" t="inlineStr">
        <is>
          <t>필코</t>
        </is>
      </c>
      <c r="Y205" s="26" t="inlineStr">
        <is>
          <t>필코) 쿨율턴2</t>
        </is>
      </c>
      <c r="Z205" s="26" t="n"/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21" t="inlineStr">
        <is>
          <t>X</t>
        </is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 t="inlineStr">
        <is>
          <t>TBO</t>
        </is>
      </c>
      <c r="W206" s="20" t="inlineStr">
        <is>
          <t>베트남</t>
        </is>
      </c>
      <c r="X206" s="20" t="inlineStr">
        <is>
          <t>필코 / SPM</t>
        </is>
      </c>
      <c r="Y206" s="26" t="inlineStr">
        <is>
          <t>필코) 쿨율턴2
SPM) SP2-BIG TS</t>
        </is>
      </c>
      <c r="Z206" s="26" t="n"/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21" t="inlineStr">
        <is>
          <t>X</t>
        </is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 t="n"/>
      <c r="W207" s="20" t="inlineStr">
        <is>
          <t>베트남</t>
        </is>
      </c>
      <c r="X207" s="20" t="n"/>
      <c r="Y207" s="26" t="n"/>
      <c r="Z207" s="26" t="n"/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21" t="inlineStr">
        <is>
          <t>X</t>
        </is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 t="inlineStr">
        <is>
          <t>YIC</t>
        </is>
      </c>
      <c r="W208" s="20" t="inlineStr">
        <is>
          <t>베트남</t>
        </is>
      </c>
      <c r="X208" s="20" t="inlineStr">
        <is>
          <t>KG-GLOBAL</t>
        </is>
      </c>
      <c r="Y208" s="26" t="inlineStr">
        <is>
          <t>KG-GLOBAL) KGA-2724</t>
        </is>
      </c>
      <c r="Z208" s="26" t="n"/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21" t="inlineStr">
        <is>
          <t>X</t>
        </is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 t="inlineStr">
        <is>
          <t>YIC</t>
        </is>
      </c>
      <c r="W209" s="20" t="inlineStr">
        <is>
          <t>베트남</t>
        </is>
      </c>
      <c r="X209" s="20" t="inlineStr">
        <is>
          <t>텍스마켓 / 우주</t>
        </is>
      </c>
      <c r="Y209" s="26" t="inlineStr">
        <is>
          <t>텍스마켓) CN-163</t>
        </is>
      </c>
      <c r="Z209" s="26" t="n"/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21" t="inlineStr">
        <is>
          <t>X</t>
        </is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 t="inlineStr">
        <is>
          <t>IKG</t>
        </is>
      </c>
      <c r="W210" s="20" t="inlineStr">
        <is>
          <t>베트남</t>
        </is>
      </c>
      <c r="X210" s="20" t="inlineStr">
        <is>
          <t>ECLAT</t>
        </is>
      </c>
      <c r="Y210" s="26" t="inlineStr">
        <is>
          <t>ECLAT) RT1706334</t>
        </is>
      </c>
      <c r="Z210" s="26" t="n"/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21" t="inlineStr">
        <is>
          <t>X</t>
        </is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 t="inlineStr">
        <is>
          <t>성원</t>
        </is>
      </c>
      <c r="W211" s="20" t="inlineStr">
        <is>
          <t>베트남</t>
        </is>
      </c>
      <c r="X211" s="20" t="inlineStr">
        <is>
          <t>필코</t>
        </is>
      </c>
      <c r="Y211" s="26" t="inlineStr">
        <is>
          <t>필코) 마쿠스</t>
        </is>
      </c>
      <c r="Z211" s="26" t="n"/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21" t="inlineStr">
        <is>
          <t>X</t>
        </is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 t="inlineStr">
        <is>
          <t>장안</t>
        </is>
      </c>
      <c r="W212" s="20" t="inlineStr">
        <is>
          <t>베트남</t>
        </is>
      </c>
      <c r="X212" s="20" t="inlineStr">
        <is>
          <t>POLARTEC</t>
        </is>
      </c>
      <c r="Y212" s="26" t="inlineStr">
        <is>
          <t>POLARTEC) 8022(21082-1-2</t>
        </is>
      </c>
      <c r="Z212" s="26" t="n"/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21" t="inlineStr">
        <is>
          <t>X</t>
        </is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 t="inlineStr">
        <is>
          <t>장안</t>
        </is>
      </c>
      <c r="W213" s="20" t="inlineStr">
        <is>
          <t>베트남</t>
        </is>
      </c>
      <c r="X213" s="20" t="inlineStr">
        <is>
          <t>POLARTEC</t>
        </is>
      </c>
      <c r="Y213" s="26" t="inlineStr">
        <is>
          <t>POLARTEC) 8022(21082-1-2</t>
        </is>
      </c>
      <c r="Z213" s="26" t="n"/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21" t="inlineStr">
        <is>
          <t>X</t>
        </is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 t="inlineStr">
        <is>
          <t>장안</t>
        </is>
      </c>
      <c r="W214" s="20" t="inlineStr">
        <is>
          <t>베트남</t>
        </is>
      </c>
      <c r="X214" s="20" t="inlineStr">
        <is>
          <t>화니글로벌</t>
        </is>
      </c>
      <c r="Y214" s="26" t="inlineStr">
        <is>
          <t>화니글로벌) TVT0085</t>
        </is>
      </c>
      <c r="Z214" s="26" t="n"/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21" t="inlineStr">
        <is>
          <t>X</t>
        </is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 t="inlineStr">
        <is>
          <t>장안</t>
        </is>
      </c>
      <c r="W215" s="20" t="inlineStr">
        <is>
          <t>베트남</t>
        </is>
      </c>
      <c r="X215" s="20" t="inlineStr">
        <is>
          <t>SK패션</t>
        </is>
      </c>
      <c r="Y215" s="26" t="inlineStr">
        <is>
          <t>SK패션) SK23-9192-YC</t>
        </is>
      </c>
      <c r="Z215" s="26" t="n"/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21" t="inlineStr">
        <is>
          <t>X</t>
        </is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 t="inlineStr">
        <is>
          <t>원전</t>
        </is>
      </c>
      <c r="W216" s="20" t="inlineStr"/>
      <c r="X216" s="20" t="inlineStr">
        <is>
          <t>프라미스</t>
        </is>
      </c>
      <c r="Y216" s="26" t="inlineStr">
        <is>
          <t>프라미스) PM-7273</t>
        </is>
      </c>
      <c r="Z216" s="26" t="n"/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21" t="inlineStr">
        <is>
          <t>X</t>
        </is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 t="inlineStr">
        <is>
          <t>아이블</t>
        </is>
      </c>
      <c r="W217" s="20" t="inlineStr"/>
      <c r="X217" s="20" t="inlineStr">
        <is>
          <t>PERTEX / 화니GC</t>
        </is>
      </c>
      <c r="Y217" s="26" t="inlineStr">
        <is>
          <t>PERTEX) PRC5911U-NFC
화니GC) THIN SUN</t>
        </is>
      </c>
      <c r="Z217" s="26" t="n"/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21" t="inlineStr">
        <is>
          <t>X</t>
        </is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 t="n"/>
      <c r="W218" s="20" t="inlineStr">
        <is>
          <t>베트남</t>
        </is>
      </c>
      <c r="X218" s="20" t="n"/>
      <c r="Y218" s="26" t="n"/>
      <c r="Z218" s="26" t="n"/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21" t="inlineStr">
        <is>
          <t>X</t>
        </is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 t="inlineStr">
        <is>
          <t>YIC</t>
        </is>
      </c>
      <c r="W219" s="20" t="inlineStr">
        <is>
          <t>베트남</t>
        </is>
      </c>
      <c r="X219" s="20" t="inlineStr">
        <is>
          <t>대웅 / 글로벌B&amp;G</t>
        </is>
      </c>
      <c r="Y219" s="26" t="inlineStr">
        <is>
          <t>대웅) DWT-2982
글로벌B&amp;G) GB19T-LUW0296</t>
        </is>
      </c>
      <c r="Z219" s="26" t="n"/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21" t="inlineStr">
        <is>
          <t>X</t>
        </is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 t="inlineStr">
        <is>
          <t>YIC</t>
        </is>
      </c>
      <c r="W220" s="20" t="inlineStr">
        <is>
          <t>베트남</t>
        </is>
      </c>
      <c r="X220" s="20" t="inlineStr">
        <is>
          <t>L&amp;S / 대웅</t>
        </is>
      </c>
      <c r="Y220" s="26" t="inlineStr">
        <is>
          <t>L&amp;S) DA4288SYWR</t>
        </is>
      </c>
      <c r="Z220" s="26" t="n"/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21" t="inlineStr">
        <is>
          <t>X</t>
        </is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 t="inlineStr">
        <is>
          <t>성원</t>
        </is>
      </c>
      <c r="W221" s="20" t="inlineStr">
        <is>
          <t>베트남</t>
        </is>
      </c>
      <c r="X221" s="20" t="inlineStr">
        <is>
          <t>L&amp;S / 대웅</t>
        </is>
      </c>
      <c r="Y221" s="26" t="inlineStr">
        <is>
          <t>L&amp;S) DA4288SYWR
대웅) DWT-2724/1</t>
        </is>
      </c>
      <c r="Z221" s="26" t="n"/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21" t="inlineStr">
        <is>
          <t>X</t>
        </is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 t="n"/>
      <c r="W222" s="20" t="inlineStr">
        <is>
          <t>베트남</t>
        </is>
      </c>
      <c r="X222" s="20" t="n"/>
      <c r="Y222" s="26" t="n"/>
      <c r="Z222" s="26" t="n"/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21" t="inlineStr">
        <is>
          <t>X</t>
        </is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 t="n"/>
      <c r="W223" s="20" t="inlineStr">
        <is>
          <t>베트남</t>
        </is>
      </c>
      <c r="X223" s="20" t="n"/>
      <c r="Y223" s="26" t="n"/>
      <c r="Z223" s="26" t="n"/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21" t="inlineStr">
        <is>
          <t>X</t>
        </is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 t="inlineStr">
        <is>
          <t>장안</t>
        </is>
      </c>
      <c r="W224" s="20" t="inlineStr">
        <is>
          <t>베트남</t>
        </is>
      </c>
      <c r="X224" s="20" t="inlineStr">
        <is>
          <t>대웅</t>
        </is>
      </c>
      <c r="Y224" s="26" t="inlineStr">
        <is>
          <t>대웅) DWT-2724/1</t>
        </is>
      </c>
      <c r="Z224" s="26" t="n"/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21" t="inlineStr">
        <is>
          <t>X</t>
        </is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 t="inlineStr">
        <is>
          <t>태화</t>
        </is>
      </c>
      <c r="W225" s="20" t="inlineStr">
        <is>
          <t>베트남</t>
        </is>
      </c>
      <c r="X225" s="20" t="inlineStr">
        <is>
          <t>SPM</t>
        </is>
      </c>
      <c r="Y225" s="26" t="inlineStr">
        <is>
          <t>SPM) DOT AIR -50SF</t>
        </is>
      </c>
      <c r="Z225" s="26" t="n"/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21" t="inlineStr">
        <is>
          <t>X</t>
        </is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 t="inlineStr">
        <is>
          <t>원전</t>
        </is>
      </c>
      <c r="W226" s="20" t="inlineStr">
        <is>
          <t>인도네시아</t>
        </is>
      </c>
      <c r="X226" s="20" t="inlineStr">
        <is>
          <t>프라미스</t>
        </is>
      </c>
      <c r="Y226" s="26" t="inlineStr">
        <is>
          <t>프라미스) PM-7273</t>
        </is>
      </c>
      <c r="Z226" s="26" t="n"/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21" t="inlineStr">
        <is>
          <t>X</t>
        </is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 t="inlineStr">
        <is>
          <t>YIC</t>
        </is>
      </c>
      <c r="W227" s="20" t="inlineStr">
        <is>
          <t>베트남</t>
        </is>
      </c>
      <c r="X227" s="20" t="inlineStr">
        <is>
          <t>플레이트</t>
        </is>
      </c>
      <c r="Y227" s="26" t="inlineStr">
        <is>
          <t>플레이트) DI-001C</t>
        </is>
      </c>
      <c r="Z227" s="26" t="n"/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21" t="inlineStr">
        <is>
          <t>X</t>
        </is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 t="n"/>
      <c r="W228" s="20" t="inlineStr">
        <is>
          <t>베트남</t>
        </is>
      </c>
      <c r="X228" s="20" t="n"/>
      <c r="Y228" s="26" t="n"/>
      <c r="Z228" s="26" t="n"/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21" t="inlineStr">
        <is>
          <t>X</t>
        </is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 t="inlineStr">
        <is>
          <t>YIC</t>
        </is>
      </c>
      <c r="W229" s="20" t="inlineStr">
        <is>
          <t>베트남</t>
        </is>
      </c>
      <c r="X229" s="20" t="inlineStr">
        <is>
          <t>L&amp;S</t>
        </is>
      </c>
      <c r="Y229" s="26" t="inlineStr">
        <is>
          <t>L&amp;S) DA4288SYWR</t>
        </is>
      </c>
      <c r="Z229" s="26" t="n"/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21" t="inlineStr">
        <is>
          <t>X</t>
        </is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 t="inlineStr">
        <is>
          <t>TBO</t>
        </is>
      </c>
      <c r="W230" s="20" t="inlineStr">
        <is>
          <t>베트남</t>
        </is>
      </c>
      <c r="X230" s="20" t="inlineStr">
        <is>
          <t>대웅</t>
        </is>
      </c>
      <c r="Y230" s="26" t="inlineStr">
        <is>
          <t>대웅) DWT-2982</t>
        </is>
      </c>
      <c r="Z230" s="26" t="n"/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21" t="inlineStr">
        <is>
          <t>X</t>
        </is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 t="inlineStr">
        <is>
          <t>TBO</t>
        </is>
      </c>
      <c r="W231" s="20" t="inlineStr">
        <is>
          <t>베트남</t>
        </is>
      </c>
      <c r="X231" s="20" t="inlineStr">
        <is>
          <t>JKTREND / 밀리테크</t>
        </is>
      </c>
      <c r="Y231" s="26" t="inlineStr">
        <is>
          <t>JKTREND) 60A25FWR
밀리테크) MT-9560HD</t>
        </is>
      </c>
      <c r="Z231" s="26" t="n"/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21" t="inlineStr">
        <is>
          <t>X</t>
        </is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 t="inlineStr">
        <is>
          <t>성원</t>
        </is>
      </c>
      <c r="W232" s="20" t="inlineStr">
        <is>
          <t>베트남</t>
        </is>
      </c>
      <c r="X232" s="20" t="inlineStr">
        <is>
          <t>대웅</t>
        </is>
      </c>
      <c r="Y232" s="26" t="inlineStr">
        <is>
          <t>대웅) DWT-2982</t>
        </is>
      </c>
      <c r="Z232" s="26" t="n"/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21" t="inlineStr">
        <is>
          <t>X</t>
        </is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 t="inlineStr">
        <is>
          <t>태화</t>
        </is>
      </c>
      <c r="W233" s="20" t="inlineStr">
        <is>
          <t>베트남</t>
        </is>
      </c>
      <c r="X233" s="20" t="inlineStr">
        <is>
          <t>태화</t>
        </is>
      </c>
      <c r="Y233" s="26" t="inlineStr">
        <is>
          <t>태화) THC-2096</t>
        </is>
      </c>
      <c r="Z233" s="26" t="n"/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21" t="inlineStr">
        <is>
          <t>X</t>
        </is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 t="inlineStr">
        <is>
          <t>장안</t>
        </is>
      </c>
      <c r="W234" s="20" t="inlineStr">
        <is>
          <t>베트남</t>
        </is>
      </c>
      <c r="X234" s="20" t="inlineStr">
        <is>
          <t>L&amp;S / 대웅</t>
        </is>
      </c>
      <c r="Y234" s="26" t="inlineStr">
        <is>
          <t>L&amp;S) DA4288SYWR</t>
        </is>
      </c>
      <c r="Z234" s="26" t="n"/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21" t="inlineStr">
        <is>
          <t>X</t>
        </is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 t="n"/>
      <c r="W235" s="20" t="inlineStr">
        <is>
          <t>베트남</t>
        </is>
      </c>
      <c r="X235" s="20" t="n"/>
      <c r="Y235" s="26" t="n"/>
      <c r="Z235" s="26" t="n"/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21" t="inlineStr">
        <is>
          <t>X</t>
        </is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 t="n"/>
      <c r="W236" s="20" t="inlineStr">
        <is>
          <t>베트남</t>
        </is>
      </c>
      <c r="X236" s="20" t="n"/>
      <c r="Y236" s="26" t="n"/>
      <c r="Z236" s="26" t="n"/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21" t="inlineStr">
        <is>
          <t>X</t>
        </is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 t="n"/>
      <c r="W237" s="20" t="inlineStr">
        <is>
          <t>국내</t>
        </is>
      </c>
      <c r="X237" s="20" t="n"/>
      <c r="Y237" s="26" t="n"/>
      <c r="Z237" s="26" t="n"/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21" t="inlineStr">
        <is>
          <t>X</t>
        </is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 t="n"/>
      <c r="W238" s="20" t="inlineStr">
        <is>
          <t>국내</t>
        </is>
      </c>
      <c r="X238" s="20" t="n"/>
      <c r="Y238" s="26" t="n"/>
      <c r="Z238" s="26" t="n"/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21" t="inlineStr">
        <is>
          <t>X</t>
        </is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 t="n"/>
      <c r="W239" s="20" t="inlineStr">
        <is>
          <t>국내</t>
        </is>
      </c>
      <c r="X239" s="20" t="n"/>
      <c r="Y239" s="26" t="n"/>
      <c r="Z239" s="26" t="n"/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21" t="inlineStr">
        <is>
          <t>X</t>
        </is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 t="n"/>
      <c r="W240" s="20" t="inlineStr">
        <is>
          <t>국내</t>
        </is>
      </c>
      <c r="X240" s="20" t="n"/>
      <c r="Y240" s="26" t="n"/>
      <c r="Z240" s="26" t="n"/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21" t="inlineStr">
        <is>
          <t>X</t>
        </is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 t="n"/>
      <c r="W241" s="20" t="inlineStr">
        <is>
          <t>국내</t>
        </is>
      </c>
      <c r="X241" s="20" t="n"/>
      <c r="Y241" s="26" t="n"/>
      <c r="Z241" s="26" t="n"/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21" t="inlineStr">
        <is>
          <t>X</t>
        </is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 t="n"/>
      <c r="W242" s="20" t="inlineStr">
        <is>
          <t>국내</t>
        </is>
      </c>
      <c r="X242" s="20" t="n"/>
      <c r="Y242" s="26" t="n"/>
      <c r="Z242" s="26" t="n"/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21" t="inlineStr">
        <is>
          <t>X</t>
        </is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 t="inlineStr">
        <is>
          <t>TBO</t>
        </is>
      </c>
      <c r="W243" s="20" t="inlineStr">
        <is>
          <t>베트남</t>
        </is>
      </c>
      <c r="X243" s="20" t="inlineStr">
        <is>
          <t>프라미스</t>
        </is>
      </c>
      <c r="Y243" s="26" t="inlineStr">
        <is>
          <t>프라미스) PM-7196</t>
        </is>
      </c>
      <c r="Z243" s="26" t="n"/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21" t="n"/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 t="n"/>
      <c r="W244" s="20" t="inlineStr"/>
      <c r="X244" s="20" t="n"/>
      <c r="Y244" s="26" t="n"/>
      <c r="Z244" s="26" t="n"/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21" t="inlineStr">
        <is>
          <t>X</t>
        </is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 t="n"/>
      <c r="W245" s="20" t="inlineStr">
        <is>
          <t>베트남</t>
        </is>
      </c>
      <c r="X245" s="20" t="n"/>
      <c r="Y245" s="26" t="n"/>
      <c r="Z245" s="26" t="n"/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21" t="inlineStr">
        <is>
          <t>X</t>
        </is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 t="inlineStr">
        <is>
          <t>장안</t>
        </is>
      </c>
      <c r="W246" s="20" t="inlineStr">
        <is>
          <t>베트남</t>
        </is>
      </c>
      <c r="X246" s="20" t="inlineStr">
        <is>
          <t>타키사다나고야</t>
        </is>
      </c>
      <c r="Y246" s="26" t="inlineStr">
        <is>
          <t>타키사다나고야) 106-13414</t>
        </is>
      </c>
      <c r="Z246" s="26" t="n"/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21" t="n"/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 t="n"/>
      <c r="W247" s="20" t="inlineStr"/>
      <c r="X247" s="20" t="n"/>
      <c r="Y247" s="26" t="n"/>
      <c r="Z247" s="26" t="n"/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21" t="n"/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 t="n"/>
      <c r="W248" s="20" t="inlineStr"/>
      <c r="X248" s="20" t="n"/>
      <c r="Y248" s="26" t="n"/>
      <c r="Z248" s="26" t="n"/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21" t="inlineStr">
        <is>
          <t>X</t>
        </is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 t="inlineStr">
        <is>
          <t>장안</t>
        </is>
      </c>
      <c r="W249" s="20" t="inlineStr">
        <is>
          <t>베트남</t>
        </is>
      </c>
      <c r="X249" s="20" t="inlineStr">
        <is>
          <t>SPM</t>
        </is>
      </c>
      <c r="Y249" s="26" t="inlineStr">
        <is>
          <t>SPM) SO-SUCKER</t>
        </is>
      </c>
      <c r="Z249" s="26" t="n"/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21" t="inlineStr">
        <is>
          <t>X</t>
        </is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 t="inlineStr">
        <is>
          <t>기도 / 아이블</t>
        </is>
      </c>
      <c r="W250" s="20" t="inlineStr">
        <is>
          <t>베트남</t>
        </is>
      </c>
      <c r="X250" s="20" t="inlineStr">
        <is>
          <t>화니GC / 신원 / SPM</t>
        </is>
      </c>
      <c r="Y250" s="26" t="inlineStr">
        <is>
          <t>화니GC) TAK</t>
        </is>
      </c>
      <c r="Z250" s="26" t="n"/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21" t="inlineStr">
        <is>
          <t>X</t>
        </is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 t="inlineStr">
        <is>
          <t>아이블</t>
        </is>
      </c>
      <c r="W251" s="20" t="inlineStr">
        <is>
          <t>베트남</t>
        </is>
      </c>
      <c r="X251" s="20" t="inlineStr">
        <is>
          <t>SPM / 신원</t>
        </is>
      </c>
      <c r="Y251" s="26" t="inlineStr">
        <is>
          <t>SPM) MAX20-SC</t>
        </is>
      </c>
      <c r="Z251" s="26" t="n"/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21" t="inlineStr">
        <is>
          <t>X</t>
        </is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 t="inlineStr">
        <is>
          <t>성원</t>
        </is>
      </c>
      <c r="W252" s="20" t="inlineStr">
        <is>
          <t>베트남</t>
        </is>
      </c>
      <c r="X252" s="20" t="inlineStr">
        <is>
          <t>SPM</t>
        </is>
      </c>
      <c r="Y252" s="26" t="inlineStr">
        <is>
          <t>SPM) SO-SUCKER</t>
        </is>
      </c>
      <c r="Z252" s="26" t="n"/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21" t="inlineStr">
        <is>
          <t>X</t>
        </is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 t="inlineStr">
        <is>
          <t>성원 / 픽스쳐</t>
        </is>
      </c>
      <c r="W253" s="20" t="inlineStr">
        <is>
          <t>베트남</t>
        </is>
      </c>
      <c r="X253" s="20" t="inlineStr">
        <is>
          <t>픽스쳐 / 타키사다나고야 / MK / SUNWELL / SPM / JKTREND</t>
        </is>
      </c>
      <c r="Y253" s="26" t="inlineStr">
        <is>
          <t>픽스쳐) 개발원단
타키사다나고야) 1083500MI
MK) GMZ710295R
SUNWELL) 14187
SPM) SO-SUCKER
JKTREND) 30007WRSPV</t>
        </is>
      </c>
      <c r="Z253" s="26" t="n"/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21" t="inlineStr">
        <is>
          <t>X</t>
        </is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 t="inlineStr">
        <is>
          <t>픽스쳐</t>
        </is>
      </c>
      <c r="W254" s="20" t="inlineStr">
        <is>
          <t>베트남</t>
        </is>
      </c>
      <c r="X254" s="20" t="inlineStr">
        <is>
          <t>픽스처</t>
        </is>
      </c>
      <c r="Y254" s="26" t="inlineStr">
        <is>
          <t>픽스처) M622383-03
픽스처) CFS01438A</t>
        </is>
      </c>
      <c r="Z254" s="26" t="n"/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21" t="inlineStr">
        <is>
          <t>X</t>
        </is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 t="inlineStr">
        <is>
          <t>장안</t>
        </is>
      </c>
      <c r="W255" s="20" t="inlineStr">
        <is>
          <t>베트남</t>
        </is>
      </c>
      <c r="X255" s="20" t="inlineStr">
        <is>
          <t>타키사다나고야</t>
        </is>
      </c>
      <c r="Y255" s="26" t="inlineStr">
        <is>
          <t>타키사다나고야) 106-13414</t>
        </is>
      </c>
      <c r="Z255" s="26" t="n"/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21" t="n"/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 t="n"/>
      <c r="W256" s="20" t="inlineStr"/>
      <c r="X256" s="20" t="n"/>
      <c r="Y256" s="26" t="n"/>
      <c r="Z256" s="26" t="n"/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21" t="n"/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 t="n"/>
      <c r="W257" s="20" t="inlineStr"/>
      <c r="X257" s="20" t="n"/>
      <c r="Y257" s="26" t="n"/>
      <c r="Z257" s="26" t="n"/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21" t="inlineStr">
        <is>
          <t>X</t>
        </is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 t="inlineStr">
        <is>
          <t>아이블</t>
        </is>
      </c>
      <c r="W258" s="20" t="inlineStr">
        <is>
          <t>베트남</t>
        </is>
      </c>
      <c r="X258" s="20" t="inlineStr">
        <is>
          <t>SPM / 신원</t>
        </is>
      </c>
      <c r="Y258" s="26" t="inlineStr">
        <is>
          <t>SPM) MAX20-SC</t>
        </is>
      </c>
      <c r="Z258" s="26" t="n"/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21" t="inlineStr">
        <is>
          <t>X</t>
        </is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 t="inlineStr">
        <is>
          <t>IKG</t>
        </is>
      </c>
      <c r="W259" s="20" t="inlineStr">
        <is>
          <t>인도네시아</t>
        </is>
      </c>
      <c r="X259" s="20" t="inlineStr">
        <is>
          <t>SK패션</t>
        </is>
      </c>
      <c r="Y259" s="26" t="inlineStr">
        <is>
          <t>SK패션) SK25-9182-YC</t>
        </is>
      </c>
      <c r="Z259" s="26" t="n"/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21" t="inlineStr">
        <is>
          <t>X</t>
        </is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 t="inlineStr">
        <is>
          <t>포마트</t>
        </is>
      </c>
      <c r="W260" s="20" t="inlineStr">
        <is>
          <t>베트남</t>
        </is>
      </c>
      <c r="X260" s="20" t="inlineStr">
        <is>
          <t>SPM</t>
        </is>
      </c>
      <c r="Y260" s="26" t="inlineStr">
        <is>
          <t>SPM) DT-LOKU</t>
        </is>
      </c>
      <c r="Z260" s="26" t="n"/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21" t="inlineStr">
        <is>
          <t>X</t>
        </is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 t="inlineStr">
        <is>
          <t>포마트</t>
        </is>
      </c>
      <c r="W261" s="20" t="inlineStr">
        <is>
          <t>베트남</t>
        </is>
      </c>
      <c r="X261" s="20" t="inlineStr">
        <is>
          <t>신한</t>
        </is>
      </c>
      <c r="Y261" s="26" t="inlineStr">
        <is>
          <t>신한) WOA13JEC10F</t>
        </is>
      </c>
      <c r="Z261" s="26" t="n"/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21" t="inlineStr">
        <is>
          <t>X</t>
        </is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 t="inlineStr">
        <is>
          <t>포마트</t>
        </is>
      </c>
      <c r="W262" s="20" t="inlineStr">
        <is>
          <t>베트남</t>
        </is>
      </c>
      <c r="X262" s="20" t="inlineStr">
        <is>
          <t>SPM</t>
        </is>
      </c>
      <c r="Y262" s="26" t="inlineStr">
        <is>
          <t>SPM) DT-LOKU</t>
        </is>
      </c>
      <c r="Z262" s="26" t="n"/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21" t="inlineStr">
        <is>
          <t>X</t>
        </is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 t="inlineStr">
        <is>
          <t>TBO</t>
        </is>
      </c>
      <c r="W263" s="20" t="inlineStr">
        <is>
          <t>베트남</t>
        </is>
      </c>
      <c r="X263" s="20" t="inlineStr">
        <is>
          <t>COX / TEIJIN / 신한 / STYLEM</t>
        </is>
      </c>
      <c r="Y263" s="26" t="inlineStr">
        <is>
          <t>COX) COX-4209
TEIJIN) HEC991GWP
신한) SVR1544FD
STYLEM) 08500093270</t>
        </is>
      </c>
      <c r="Z263" s="26" t="n"/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21" t="inlineStr">
        <is>
          <t>X</t>
        </is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 t="inlineStr">
        <is>
          <t>YIC</t>
        </is>
      </c>
      <c r="W264" s="20" t="inlineStr">
        <is>
          <t>베트남</t>
        </is>
      </c>
      <c r="X264" s="20" t="inlineStr">
        <is>
          <t>JKTREND / 원창 / 신한</t>
        </is>
      </c>
      <c r="Y264" s="26" t="inlineStr">
        <is>
          <t>JKTREND) 3121WR
원창) OCI-4345
신한) SVR1544FD</t>
        </is>
      </c>
      <c r="Z264" s="26" t="n"/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21" t="inlineStr">
        <is>
          <t>X</t>
        </is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 t="inlineStr">
        <is>
          <t>TBO</t>
        </is>
      </c>
      <c r="W265" s="20" t="inlineStr">
        <is>
          <t>베트남</t>
        </is>
      </c>
      <c r="X265" s="20" t="inlineStr">
        <is>
          <t>PERTEX / 신한</t>
        </is>
      </c>
      <c r="Y265" s="26" t="inlineStr">
        <is>
          <t>PERTEX) PRC5911U-NFC
신한) SVR1544FD</t>
        </is>
      </c>
      <c r="Z265" s="26" t="n"/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21" t="inlineStr">
        <is>
          <t>X</t>
        </is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 t="inlineStr">
        <is>
          <t>태화</t>
        </is>
      </c>
      <c r="W266" s="20" t="inlineStr">
        <is>
          <t>베트남</t>
        </is>
      </c>
      <c r="X266" s="20" t="inlineStr">
        <is>
          <t>ECLAT / CARVICO</t>
        </is>
      </c>
      <c r="Y266" s="26" t="inlineStr">
        <is>
          <t>ECLAT) RT1706334
CARVICO) REVOLUTIONAL ENERGY</t>
        </is>
      </c>
      <c r="Z266" s="26" t="n"/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21" t="inlineStr">
        <is>
          <t>X</t>
        </is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 t="inlineStr">
        <is>
          <t>성원</t>
        </is>
      </c>
      <c r="W267" s="20" t="inlineStr">
        <is>
          <t>베트남</t>
        </is>
      </c>
      <c r="X267" s="20" t="inlineStr">
        <is>
          <t>TEIJIN / 글로벌B&amp;G</t>
        </is>
      </c>
      <c r="Y267" s="26" t="inlineStr">
        <is>
          <t>TEIJIN) HEC991GWP
글로벌B&amp;G) GB25T-STK0297</t>
        </is>
      </c>
      <c r="Z267" s="26" t="n"/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21" t="inlineStr">
        <is>
          <t>X</t>
        </is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 t="inlineStr">
        <is>
          <t>성원</t>
        </is>
      </c>
      <c r="W268" s="20" t="inlineStr">
        <is>
          <t>베트남</t>
        </is>
      </c>
      <c r="X268" s="20" t="inlineStr">
        <is>
          <t>대웅 / 글로벌B&amp;G</t>
        </is>
      </c>
      <c r="Y268" s="26" t="inlineStr">
        <is>
          <t>대웅) DWT-2982
글로벌B&amp;G) GB19T-LUW0296</t>
        </is>
      </c>
      <c r="Z268" s="26" t="n"/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21" t="inlineStr">
        <is>
          <t>X</t>
        </is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 t="inlineStr">
        <is>
          <t>장안</t>
        </is>
      </c>
      <c r="W269" s="20" t="inlineStr">
        <is>
          <t>베트남</t>
        </is>
      </c>
      <c r="X269" s="20" t="inlineStr">
        <is>
          <t>SPM / 신원 / MOVE</t>
        </is>
      </c>
      <c r="Y269" s="26" t="inlineStr">
        <is>
          <t>SPM) CC-DRY F
MOVE) MVK-1064</t>
        </is>
      </c>
      <c r="Z269" s="26" t="n"/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21" t="inlineStr">
        <is>
          <t>X</t>
        </is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 t="inlineStr">
        <is>
          <t>에이스 / IKG</t>
        </is>
      </c>
      <c r="W270" s="20" t="inlineStr">
        <is>
          <t>인도네시아</t>
        </is>
      </c>
      <c r="X270" s="20" t="inlineStr">
        <is>
          <t>SPM / SOLT / 신원</t>
        </is>
      </c>
      <c r="Y270" s="26" t="inlineStr">
        <is>
          <t>SPM) CC-DRY F
SOLT) ST-JH-7616</t>
        </is>
      </c>
      <c r="Z270" s="26" t="n"/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21" t="inlineStr">
        <is>
          <t>X</t>
        </is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 t="inlineStr">
        <is>
          <t>IKG</t>
        </is>
      </c>
      <c r="W271" s="20" t="inlineStr">
        <is>
          <t>인도네시아</t>
        </is>
      </c>
      <c r="X271" s="20" t="inlineStr">
        <is>
          <t>태진</t>
        </is>
      </c>
      <c r="Y271" s="26" t="inlineStr">
        <is>
          <t>태진) TJ-05095</t>
        </is>
      </c>
      <c r="Z271" s="26" t="n"/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21" t="inlineStr">
        <is>
          <t>X</t>
        </is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 t="inlineStr">
        <is>
          <t>에이스 / 장안</t>
        </is>
      </c>
      <c r="W272" s="20" t="inlineStr">
        <is>
          <t>베트남</t>
        </is>
      </c>
      <c r="X272" s="20" t="inlineStr">
        <is>
          <t>MOVE / SPM / 신원</t>
        </is>
      </c>
      <c r="Y272" s="26" t="inlineStr">
        <is>
          <t>MOVE) MVK-1064
SPM) DOT AIR-50SF</t>
        </is>
      </c>
      <c r="Z272" s="26" t="n"/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21" t="inlineStr">
        <is>
          <t>X</t>
        </is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 t="inlineStr">
        <is>
          <t>포마트</t>
        </is>
      </c>
      <c r="W273" s="20" t="inlineStr">
        <is>
          <t>베트남</t>
        </is>
      </c>
      <c r="X273" s="20" t="inlineStr">
        <is>
          <t>SPM</t>
        </is>
      </c>
      <c r="Y273" s="26" t="inlineStr">
        <is>
          <t>SPM) DT-LOKU</t>
        </is>
      </c>
      <c r="Z273" s="26" t="n"/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21" t="inlineStr">
        <is>
          <t>X</t>
        </is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 t="n"/>
      <c r="W274" s="20" t="inlineStr">
        <is>
          <t>베트남</t>
        </is>
      </c>
      <c r="X274" s="20" t="n"/>
      <c r="Y274" s="26" t="n"/>
      <c r="Z274" s="26" t="n"/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21" t="inlineStr">
        <is>
          <t>X</t>
        </is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 t="inlineStr">
        <is>
          <t>포마트</t>
        </is>
      </c>
      <c r="W275" s="20" t="inlineStr">
        <is>
          <t>베트남</t>
        </is>
      </c>
      <c r="X275" s="20" t="inlineStr">
        <is>
          <t>신한 / 프라미스 / PERTEX</t>
        </is>
      </c>
      <c r="Y275" s="26" t="inlineStr">
        <is>
          <t>신한) FCJEC10SW
프라미스) PM-8945-2.5L
PERTEX) PRC523-20W3L7-NFC
신한) AL24E25</t>
        </is>
      </c>
      <c r="Z275" s="26" t="n"/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21" t="inlineStr">
        <is>
          <t>X</t>
        </is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 t="inlineStr">
        <is>
          <t>포마트</t>
        </is>
      </c>
      <c r="W276" s="20" t="inlineStr">
        <is>
          <t>베트남</t>
        </is>
      </c>
      <c r="X276" s="20" t="inlineStr">
        <is>
          <t>SPM</t>
        </is>
      </c>
      <c r="Y276" s="26" t="inlineStr">
        <is>
          <t>SPM) DT-LOKU</t>
        </is>
      </c>
      <c r="Z276" s="26" t="n"/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21" t="inlineStr">
        <is>
          <t>X</t>
        </is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 t="inlineStr">
        <is>
          <t>포마트</t>
        </is>
      </c>
      <c r="W277" s="20" t="inlineStr">
        <is>
          <t>베트남</t>
        </is>
      </c>
      <c r="X277" s="20" t="inlineStr">
        <is>
          <t>신한</t>
        </is>
      </c>
      <c r="Y277" s="26" t="inlineStr">
        <is>
          <t>신한) WOA13JEC10F</t>
        </is>
      </c>
      <c r="Z277" s="26" t="n"/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21" t="inlineStr">
        <is>
          <t>X</t>
        </is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 t="inlineStr">
        <is>
          <t>포마트</t>
        </is>
      </c>
      <c r="W278" s="20" t="inlineStr">
        <is>
          <t>베트남</t>
        </is>
      </c>
      <c r="X278" s="20" t="inlineStr">
        <is>
          <t>SPM</t>
        </is>
      </c>
      <c r="Y278" s="26" t="inlineStr">
        <is>
          <t>SPM) DT-LOKU</t>
        </is>
      </c>
      <c r="Z278" s="26" t="n"/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21" t="inlineStr">
        <is>
          <t>X</t>
        </is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 t="n"/>
      <c r="W279" s="20" t="inlineStr">
        <is>
          <t>베트남</t>
        </is>
      </c>
      <c r="X279" s="20" t="n"/>
      <c r="Y279" s="26" t="n"/>
      <c r="Z279" s="26" t="n"/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21" t="inlineStr">
        <is>
          <t>X</t>
        </is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 t="inlineStr">
        <is>
          <t>YIC</t>
        </is>
      </c>
      <c r="W280" s="20" t="inlineStr">
        <is>
          <t>베트남</t>
        </is>
      </c>
      <c r="X280" s="20" t="inlineStr">
        <is>
          <t>프라미스</t>
        </is>
      </c>
      <c r="Y280" s="26" t="inlineStr">
        <is>
          <t>프라미스) PM-8574</t>
        </is>
      </c>
      <c r="Z280" s="26" t="n"/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21" t="inlineStr">
        <is>
          <t>X</t>
        </is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 t="inlineStr">
        <is>
          <t>성원</t>
        </is>
      </c>
      <c r="W281" s="20" t="inlineStr">
        <is>
          <t>베트남</t>
        </is>
      </c>
      <c r="X281" s="20" t="inlineStr">
        <is>
          <t>대웅</t>
        </is>
      </c>
      <c r="Y281" s="26" t="inlineStr">
        <is>
          <t>대웅) DWT-2982</t>
        </is>
      </c>
      <c r="Z281" s="26" t="n"/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21" t="inlineStr">
        <is>
          <t>X</t>
        </is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 t="inlineStr">
        <is>
          <t>장안</t>
        </is>
      </c>
      <c r="W282" s="20" t="inlineStr">
        <is>
          <t>베트남</t>
        </is>
      </c>
      <c r="X282" s="20" t="inlineStr">
        <is>
          <t>SPM / 신원 / MOVE</t>
        </is>
      </c>
      <c r="Y282" s="26" t="inlineStr">
        <is>
          <t>SPM) CC-DRY F
MOVE) MVK-1064</t>
        </is>
      </c>
      <c r="Z282" s="26" t="n"/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21" t="inlineStr">
        <is>
          <t>X</t>
        </is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 t="inlineStr">
        <is>
          <t>에이스 / IKG</t>
        </is>
      </c>
      <c r="W283" s="20" t="inlineStr">
        <is>
          <t>인도네시아</t>
        </is>
      </c>
      <c r="X283" s="20" t="inlineStr">
        <is>
          <t>SPM / SOLT / 신원</t>
        </is>
      </c>
      <c r="Y283" s="26" t="inlineStr">
        <is>
          <t>SPM) CC-DRY F
SOLT) ST-JH-7616</t>
        </is>
      </c>
      <c r="Z283" s="26" t="n"/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21" t="inlineStr">
        <is>
          <t>X</t>
        </is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 t="inlineStr">
        <is>
          <t>IKG</t>
        </is>
      </c>
      <c r="W284" s="20" t="inlineStr">
        <is>
          <t>인도네시아</t>
        </is>
      </c>
      <c r="X284" s="20" t="inlineStr">
        <is>
          <t>수텍스</t>
        </is>
      </c>
      <c r="Y284" s="26" t="inlineStr">
        <is>
          <t>수텍스) SJS-23-1568</t>
        </is>
      </c>
      <c r="Z284" s="26" t="n"/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21" t="inlineStr">
        <is>
          <t>X</t>
        </is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 t="inlineStr">
        <is>
          <t>IKG</t>
        </is>
      </c>
      <c r="W285" s="20" t="inlineStr">
        <is>
          <t>인도네시아</t>
        </is>
      </c>
      <c r="X285" s="20" t="inlineStr">
        <is>
          <t>SPM</t>
        </is>
      </c>
      <c r="Y285" s="26" t="inlineStr">
        <is>
          <t>SPM) AIRON</t>
        </is>
      </c>
      <c r="Z285" s="26" t="n"/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21" t="inlineStr">
        <is>
          <t>X</t>
        </is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 t="inlineStr">
        <is>
          <t>장안 / IKG</t>
        </is>
      </c>
      <c r="W286" s="20" t="inlineStr">
        <is>
          <t>인도네시아</t>
        </is>
      </c>
      <c r="X286" s="20" t="inlineStr">
        <is>
          <t>IBQ / 수텍스</t>
        </is>
      </c>
      <c r="Y286" s="26" t="inlineStr">
        <is>
          <t>IBQ) K10605A0
IBQ) K11749A0
수텍스) SJS-23-1568</t>
        </is>
      </c>
      <c r="Z286" s="26" t="n"/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21" t="inlineStr">
        <is>
          <t>X</t>
        </is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 t="inlineStr">
        <is>
          <t>IKG</t>
        </is>
      </c>
      <c r="W287" s="20" t="inlineStr">
        <is>
          <t>인도네시아</t>
        </is>
      </c>
      <c r="X287" s="20" t="inlineStr">
        <is>
          <t>SPM</t>
        </is>
      </c>
      <c r="Y287" s="26" t="inlineStr">
        <is>
          <t>SPM) SR-COOL PL</t>
        </is>
      </c>
      <c r="Z287" s="26" t="n"/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21" t="inlineStr">
        <is>
          <t>X</t>
        </is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 t="inlineStr">
        <is>
          <t>장안 / 에이스</t>
        </is>
      </c>
      <c r="W288" s="20" t="inlineStr">
        <is>
          <t>베트남</t>
        </is>
      </c>
      <c r="X288" s="20" t="inlineStr">
        <is>
          <t>SPM / JKTREND / 신원 / MOVE / 장안</t>
        </is>
      </c>
      <c r="Y288" s="26" t="inlineStr">
        <is>
          <t>SPM) CC-DRY F
JKTREND) MS2910QS</t>
        </is>
      </c>
      <c r="Z288" s="26" t="n"/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21" t="inlineStr">
        <is>
          <t>X</t>
        </is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 t="inlineStr">
        <is>
          <t>장안</t>
        </is>
      </c>
      <c r="W289" s="20" t="inlineStr">
        <is>
          <t>베트남</t>
        </is>
      </c>
      <c r="X289" s="20" t="inlineStr">
        <is>
          <t>대웅</t>
        </is>
      </c>
      <c r="Y289" s="26" t="inlineStr">
        <is>
          <t>대웅) DWT-2982</t>
        </is>
      </c>
      <c r="Z289" s="26" t="n"/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21" t="inlineStr">
        <is>
          <t>X</t>
        </is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 t="inlineStr">
        <is>
          <t>태화</t>
        </is>
      </c>
      <c r="W290" s="20" t="inlineStr">
        <is>
          <t>베트남</t>
        </is>
      </c>
      <c r="X290" s="20" t="inlineStr">
        <is>
          <t>대웅</t>
        </is>
      </c>
      <c r="Y290" s="26" t="inlineStr">
        <is>
          <t>대웅) DWT-2982</t>
        </is>
      </c>
      <c r="Z290" s="26" t="n"/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21" t="inlineStr">
        <is>
          <t>X</t>
        </is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 t="inlineStr">
        <is>
          <t>태화</t>
        </is>
      </c>
      <c r="W291" s="20" t="inlineStr">
        <is>
          <t>베트남</t>
        </is>
      </c>
      <c r="X291" s="20" t="inlineStr">
        <is>
          <t>대웅</t>
        </is>
      </c>
      <c r="Y291" s="26" t="inlineStr">
        <is>
          <t>대웅) DWT-2982</t>
        </is>
      </c>
      <c r="Z291" s="26" t="n"/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21" t="inlineStr">
        <is>
          <t>X</t>
        </is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 t="inlineStr">
        <is>
          <t>IKG</t>
        </is>
      </c>
      <c r="W292" s="20" t="inlineStr">
        <is>
          <t>인도네시아</t>
        </is>
      </c>
      <c r="X292" s="20" t="inlineStr">
        <is>
          <t>SPM / 신원</t>
        </is>
      </c>
      <c r="Y292" s="26" t="inlineStr">
        <is>
          <t>SPM) CC-DRY F</t>
        </is>
      </c>
      <c r="Z292" s="26" t="n"/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21" t="inlineStr">
        <is>
          <t>X</t>
        </is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 t="inlineStr">
        <is>
          <t>포마트</t>
        </is>
      </c>
      <c r="W293" s="20" t="inlineStr">
        <is>
          <t>베트남</t>
        </is>
      </c>
      <c r="X293" s="20" t="inlineStr">
        <is>
          <t>SPM</t>
        </is>
      </c>
      <c r="Y293" s="26" t="inlineStr">
        <is>
          <t>SPM) DT-LOKU</t>
        </is>
      </c>
      <c r="Z293" s="26" t="n"/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21" t="inlineStr">
        <is>
          <t>X</t>
        </is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 t="n"/>
      <c r="W294" s="20" t="inlineStr">
        <is>
          <t>베트남</t>
        </is>
      </c>
      <c r="X294" s="20" t="n"/>
      <c r="Y294" s="26" t="n"/>
      <c r="Z294" s="26" t="n"/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21" t="inlineStr">
        <is>
          <t>X</t>
        </is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 t="n"/>
      <c r="W295" s="20" t="inlineStr">
        <is>
          <t>베트남</t>
        </is>
      </c>
      <c r="X295" s="20" t="n"/>
      <c r="Y295" s="26" t="n"/>
      <c r="Z295" s="26" t="n"/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21" t="inlineStr">
        <is>
          <t>X</t>
        </is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 t="n"/>
      <c r="W296" s="20" t="inlineStr">
        <is>
          <t>한국</t>
        </is>
      </c>
      <c r="X296" s="20" t="n"/>
      <c r="Y296" s="26" t="n"/>
      <c r="Z296" s="26" t="n"/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21" t="inlineStr">
        <is>
          <t>X</t>
        </is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 t="n"/>
      <c r="W297" s="20" t="inlineStr">
        <is>
          <t>중국</t>
        </is>
      </c>
      <c r="X297" s="20" t="n"/>
      <c r="Y297" s="26" t="n"/>
      <c r="Z297" s="26" t="n"/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21" t="inlineStr">
        <is>
          <t>X</t>
        </is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 t="n"/>
      <c r="W298" s="20" t="inlineStr">
        <is>
          <t>베트남</t>
        </is>
      </c>
      <c r="X298" s="20" t="n"/>
      <c r="Y298" s="26" t="n"/>
      <c r="Z298" s="26" t="n"/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21" t="inlineStr">
        <is>
          <t>X</t>
        </is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 t="n"/>
      <c r="W299" s="20" t="inlineStr">
        <is>
          <t>베트남</t>
        </is>
      </c>
      <c r="X299" s="20" t="n"/>
      <c r="Y299" s="26" t="n"/>
      <c r="Z299" s="26" t="n"/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21" t="inlineStr">
        <is>
          <t>X</t>
        </is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 t="n"/>
      <c r="W300" s="20" t="inlineStr">
        <is>
          <t>베트남</t>
        </is>
      </c>
      <c r="X300" s="20" t="n"/>
      <c r="Y300" s="26" t="n"/>
      <c r="Z300" s="26" t="n"/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21" t="inlineStr">
        <is>
          <t>X</t>
        </is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 t="n"/>
      <c r="W301" s="20" t="inlineStr">
        <is>
          <t>베트남</t>
        </is>
      </c>
      <c r="X301" s="20" t="n"/>
      <c r="Y301" s="26" t="n"/>
      <c r="Z301" s="26" t="n"/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21" t="n"/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 t="n"/>
      <c r="W302" s="20" t="inlineStr">
        <is>
          <t>베트남</t>
        </is>
      </c>
      <c r="X302" s="20" t="n"/>
      <c r="Y302" s="26" t="n"/>
      <c r="Z302" s="26" t="n"/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21" t="inlineStr">
        <is>
          <t>O</t>
        </is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 t="n"/>
      <c r="W303" s="20" t="inlineStr">
        <is>
          <t>국내</t>
        </is>
      </c>
      <c r="X303" s="20" t="n"/>
      <c r="Y303" s="26" t="n"/>
      <c r="Z303" s="26" t="n"/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21" t="n"/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 t="n"/>
      <c r="W304" s="20" t="inlineStr">
        <is>
          <t>베트남</t>
        </is>
      </c>
      <c r="X304" s="20" t="n"/>
      <c r="Y304" s="26" t="n"/>
      <c r="Z304" s="26" t="n"/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21" t="inlineStr">
        <is>
          <t>X</t>
        </is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 t="inlineStr">
        <is>
          <t>TBO</t>
        </is>
      </c>
      <c r="W305" s="20" t="inlineStr">
        <is>
          <t>베트남</t>
        </is>
      </c>
      <c r="X305" s="20" t="inlineStr">
        <is>
          <t>SPM</t>
        </is>
      </c>
      <c r="Y305" s="26" t="inlineStr">
        <is>
          <t>SPM) CD-441VS</t>
        </is>
      </c>
      <c r="Z305" s="26" t="n"/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21" t="inlineStr">
        <is>
          <t>X</t>
        </is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 t="inlineStr">
        <is>
          <t>거림</t>
        </is>
      </c>
      <c r="W306" s="20" t="inlineStr">
        <is>
          <t>베트남</t>
        </is>
      </c>
      <c r="X306" s="20" t="inlineStr">
        <is>
          <t>플레이트 / STYLEM / 신한 / 케이글로벌</t>
        </is>
      </c>
      <c r="Y306" s="26" t="inlineStr">
        <is>
          <t>플레이트) DO-482C
STYLEM) 012S0085870
신한) DRCW2
케이글로벌) KNG-27S-12</t>
        </is>
      </c>
      <c r="Z306" s="26" t="n"/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21" t="n"/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 t="inlineStr">
        <is>
          <t>태화</t>
        </is>
      </c>
      <c r="W307" s="20" t="inlineStr">
        <is>
          <t>베트남</t>
        </is>
      </c>
      <c r="X307" s="20" t="inlineStr">
        <is>
          <t>타키사다나고야 / SPM</t>
        </is>
      </c>
      <c r="Y307" s="26" t="inlineStr">
        <is>
          <t>타키사다나고야) 106-13537
SPM) TX-SUCKER
SPM) SO-SUCKER
타키사다나고야) 9361000</t>
        </is>
      </c>
      <c r="Z307" s="26" t="n"/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21" t="inlineStr">
        <is>
          <t>X</t>
        </is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 t="inlineStr">
        <is>
          <t>IKG</t>
        </is>
      </c>
      <c r="W308" s="20" t="inlineStr">
        <is>
          <t>인도네시아</t>
        </is>
      </c>
      <c r="X308" s="20" t="inlineStr">
        <is>
          <t>SPM</t>
        </is>
      </c>
      <c r="Y308" s="26" t="inlineStr">
        <is>
          <t>SPM) SR-COOL PL</t>
        </is>
      </c>
      <c r="Z308" s="26" t="n"/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21" t="inlineStr">
        <is>
          <t>X</t>
        </is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 t="inlineStr">
        <is>
          <t>IKG</t>
        </is>
      </c>
      <c r="W309" s="20" t="inlineStr">
        <is>
          <t>인도네시아</t>
        </is>
      </c>
      <c r="X309" s="20" t="inlineStr">
        <is>
          <t>SPM</t>
        </is>
      </c>
      <c r="Y309" s="26" t="inlineStr">
        <is>
          <t>SPM) CD-441VS</t>
        </is>
      </c>
      <c r="Z309" s="26" t="n"/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21" t="inlineStr">
        <is>
          <t>X</t>
        </is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 t="inlineStr">
        <is>
          <t>TBO</t>
        </is>
      </c>
      <c r="W310" s="20" t="inlineStr">
        <is>
          <t>베트남</t>
        </is>
      </c>
      <c r="X310" s="20" t="inlineStr">
        <is>
          <t>플레이트</t>
        </is>
      </c>
      <c r="Y310" s="26" t="inlineStr">
        <is>
          <t>플레이트) DO-482C</t>
        </is>
      </c>
      <c r="Z310" s="26" t="n"/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21" t="inlineStr">
        <is>
          <t>X</t>
        </is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 t="inlineStr">
        <is>
          <t>YIC</t>
        </is>
      </c>
      <c r="W311" s="20" t="inlineStr">
        <is>
          <t>베트남</t>
        </is>
      </c>
      <c r="X311" s="20" t="inlineStr">
        <is>
          <t>SPM</t>
        </is>
      </c>
      <c r="Y311" s="26" t="inlineStr">
        <is>
          <t>SPM) CD-441VS</t>
        </is>
      </c>
      <c r="Z311" s="26" t="n"/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21" t="n"/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 t="inlineStr">
        <is>
          <t>IKG</t>
        </is>
      </c>
      <c r="W312" s="20" t="inlineStr">
        <is>
          <t>베트남</t>
        </is>
      </c>
      <c r="X312" s="20" t="inlineStr">
        <is>
          <t>SK패션 / SPM</t>
        </is>
      </c>
      <c r="Y312" s="26" t="inlineStr">
        <is>
          <t>SK패션) SK25-9182-YC
SPM) SR-COOL PL</t>
        </is>
      </c>
      <c r="Z312" s="26" t="n"/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21" t="inlineStr">
        <is>
          <t>X</t>
        </is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 t="inlineStr">
        <is>
          <t>IKG</t>
        </is>
      </c>
      <c r="W313" s="20" t="inlineStr">
        <is>
          <t>인도네시아</t>
        </is>
      </c>
      <c r="X313" s="20" t="inlineStr">
        <is>
          <t>SPM</t>
        </is>
      </c>
      <c r="Y313" s="26" t="inlineStr">
        <is>
          <t>SPM) DTS-B4N</t>
        </is>
      </c>
      <c r="Z313" s="26" t="n"/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21" t="inlineStr">
        <is>
          <t>X</t>
        </is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 t="inlineStr">
        <is>
          <t>IKG</t>
        </is>
      </c>
      <c r="W314" s="20" t="inlineStr">
        <is>
          <t>인도네시아</t>
        </is>
      </c>
      <c r="X314" s="20" t="inlineStr">
        <is>
          <t>SPM</t>
        </is>
      </c>
      <c r="Y314" s="26" t="inlineStr">
        <is>
          <t>SPM) CD-441VS</t>
        </is>
      </c>
      <c r="Z314" s="26" t="n"/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21" t="inlineStr">
        <is>
          <t>X</t>
        </is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 t="inlineStr">
        <is>
          <t>YIC</t>
        </is>
      </c>
      <c r="W315" s="20" t="inlineStr">
        <is>
          <t>베트남</t>
        </is>
      </c>
      <c r="X315" s="20" t="inlineStr">
        <is>
          <t>플레이트</t>
        </is>
      </c>
      <c r="Y315" s="26" t="inlineStr">
        <is>
          <t>플레이트) DI-001C</t>
        </is>
      </c>
      <c r="Z315" s="26" t="n"/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21" t="inlineStr">
        <is>
          <t>X</t>
        </is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 t="inlineStr">
        <is>
          <t>TBO</t>
        </is>
      </c>
      <c r="W316" s="20" t="inlineStr">
        <is>
          <t>베트남</t>
        </is>
      </c>
      <c r="X316" s="20" t="inlineStr">
        <is>
          <t>대웅</t>
        </is>
      </c>
      <c r="Y316" s="26" t="inlineStr">
        <is>
          <t>대웅) DWT-2982</t>
        </is>
      </c>
      <c r="Z316" s="26" t="n"/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21" t="inlineStr">
        <is>
          <t>X</t>
        </is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 t="inlineStr">
        <is>
          <t>TBO</t>
        </is>
      </c>
      <c r="W317" s="20" t="inlineStr">
        <is>
          <t>베트남</t>
        </is>
      </c>
      <c r="X317" s="20" t="inlineStr">
        <is>
          <t>STYLEM / 신한</t>
        </is>
      </c>
      <c r="Y317" s="26" t="inlineStr">
        <is>
          <t>STYLEM) 08500093270
신한) SVR1544FD</t>
        </is>
      </c>
      <c r="Z317" s="26" t="n"/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21" t="inlineStr">
        <is>
          <t>X</t>
        </is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 t="inlineStr">
        <is>
          <t>장안</t>
        </is>
      </c>
      <c r="W318" s="20" t="inlineStr">
        <is>
          <t>베트남</t>
        </is>
      </c>
      <c r="X318" s="20" t="inlineStr">
        <is>
          <t>글로벌B&amp;G / MOVE / SPM</t>
        </is>
      </c>
      <c r="Y318" s="26" t="inlineStr">
        <is>
          <t>글로벌B&amp;G) GB19T-HUK0007
MOVE) MVK-1051
SPM) AIRON</t>
        </is>
      </c>
      <c r="Z318" s="26" t="n"/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21" t="inlineStr">
        <is>
          <t>X</t>
        </is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 t="inlineStr">
        <is>
          <t>IKG</t>
        </is>
      </c>
      <c r="W319" s="20" t="inlineStr">
        <is>
          <t>베트남</t>
        </is>
      </c>
      <c r="X319" s="20" t="inlineStr">
        <is>
          <t>IKG</t>
        </is>
      </c>
      <c r="Y319" s="26" t="inlineStr">
        <is>
          <t>IKG) 시장수배</t>
        </is>
      </c>
      <c r="Z319" s="26" t="n"/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21" t="inlineStr">
        <is>
          <t>X</t>
        </is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 t="inlineStr">
        <is>
          <t>TBO</t>
        </is>
      </c>
      <c r="W320" s="20" t="inlineStr">
        <is>
          <t>베트남</t>
        </is>
      </c>
      <c r="X320" s="20" t="inlineStr">
        <is>
          <t>플레이트</t>
        </is>
      </c>
      <c r="Y320" s="26" t="inlineStr">
        <is>
          <t>플레이트) PS-1426</t>
        </is>
      </c>
      <c r="Z320" s="26" t="n"/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21" t="inlineStr">
        <is>
          <t>X</t>
        </is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 t="inlineStr">
        <is>
          <t>원전</t>
        </is>
      </c>
      <c r="W321" s="20" t="inlineStr">
        <is>
          <t>베트남</t>
        </is>
      </c>
      <c r="X321" s="20" t="inlineStr">
        <is>
          <t>소노</t>
        </is>
      </c>
      <c r="Y321" s="26" t="inlineStr">
        <is>
          <t>소노) 25SS-C-006</t>
        </is>
      </c>
      <c r="Z321" s="26" t="n"/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21" t="inlineStr">
        <is>
          <t>X</t>
        </is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 t="inlineStr">
        <is>
          <t>TBO</t>
        </is>
      </c>
      <c r="W322" s="20" t="inlineStr">
        <is>
          <t>베트남</t>
        </is>
      </c>
      <c r="X322" s="20" t="inlineStr">
        <is>
          <t>플레이트</t>
        </is>
      </c>
      <c r="Y322" s="26" t="inlineStr">
        <is>
          <t>플레이트) PS-1426</t>
        </is>
      </c>
      <c r="Z322" s="26" t="n"/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21" t="inlineStr">
        <is>
          <t>X</t>
        </is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 t="inlineStr">
        <is>
          <t>IKG</t>
        </is>
      </c>
      <c r="W323" s="20" t="inlineStr">
        <is>
          <t>중국</t>
        </is>
      </c>
      <c r="X323" s="20" t="inlineStr">
        <is>
          <t>유라</t>
        </is>
      </c>
      <c r="Y323" s="26" t="inlineStr">
        <is>
          <t>유라) YK-416/M</t>
        </is>
      </c>
      <c r="Z323" s="26" t="n"/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21" t="inlineStr">
        <is>
          <t>X</t>
        </is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 t="n"/>
      <c r="W324" s="20" t="inlineStr">
        <is>
          <t>베트남</t>
        </is>
      </c>
      <c r="X324" s="20" t="n"/>
      <c r="Y324" s="26" t="n"/>
      <c r="Z324" s="26" t="n"/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21" t="inlineStr">
        <is>
          <t>X</t>
        </is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 t="n"/>
      <c r="W325" s="20" t="inlineStr">
        <is>
          <t>베트남</t>
        </is>
      </c>
      <c r="X325" s="20" t="n"/>
      <c r="Y325" s="26" t="n"/>
      <c r="Z325" s="26" t="n"/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21" t="inlineStr">
        <is>
          <t>X</t>
        </is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 t="n"/>
      <c r="W326" s="20" t="inlineStr">
        <is>
          <t>베트남</t>
        </is>
      </c>
      <c r="X326" s="20" t="n"/>
      <c r="Y326" s="26" t="n"/>
      <c r="Z326" s="26" t="n"/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21" t="inlineStr">
        <is>
          <t>X</t>
        </is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 t="n"/>
      <c r="W327" s="20" t="inlineStr">
        <is>
          <t>국내</t>
        </is>
      </c>
      <c r="X327" s="20" t="n"/>
      <c r="Y327" s="26" t="n"/>
      <c r="Z327" s="26" t="n"/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21" t="inlineStr">
        <is>
          <t>X</t>
        </is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 t="n"/>
      <c r="W328" s="20" t="inlineStr">
        <is>
          <t>베트남</t>
        </is>
      </c>
      <c r="X328" s="20" t="n"/>
      <c r="Y328" s="26" t="n"/>
      <c r="Z328" s="26" t="n"/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21" t="inlineStr">
        <is>
          <t>X</t>
        </is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 t="inlineStr">
        <is>
          <t>아이블</t>
        </is>
      </c>
      <c r="W329" s="20" t="inlineStr">
        <is>
          <t>베트남</t>
        </is>
      </c>
      <c r="X329" s="20" t="inlineStr">
        <is>
          <t>PERTEX</t>
        </is>
      </c>
      <c r="Y329" s="26" t="inlineStr">
        <is>
          <t>PERTEX) PRD811H-NFC</t>
        </is>
      </c>
      <c r="Z329" s="26" t="n"/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21" t="inlineStr">
        <is>
          <t>X</t>
        </is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 t="inlineStr">
        <is>
          <t>YIC</t>
        </is>
      </c>
      <c r="W330" s="20" t="inlineStr">
        <is>
          <t>베트남</t>
        </is>
      </c>
      <c r="X330" s="20" t="inlineStr">
        <is>
          <t>플레이트</t>
        </is>
      </c>
      <c r="Y330" s="26" t="inlineStr">
        <is>
          <t>플레이트) DI-001C</t>
        </is>
      </c>
      <c r="Z330" s="26" t="n"/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21" t="inlineStr">
        <is>
          <t>X</t>
        </is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 t="inlineStr">
        <is>
          <t>YIC</t>
        </is>
      </c>
      <c r="W331" s="20" t="inlineStr">
        <is>
          <t>베트남</t>
        </is>
      </c>
      <c r="X331" s="20" t="inlineStr">
        <is>
          <t>플레이트</t>
        </is>
      </c>
      <c r="Y331" s="26" t="inlineStr">
        <is>
          <t>플레이트) DI-001C</t>
        </is>
      </c>
      <c r="Z331" s="26" t="n"/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21" t="inlineStr">
        <is>
          <t>X</t>
        </is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 t="inlineStr">
        <is>
          <t>TBO</t>
        </is>
      </c>
      <c r="W332" s="20" t="inlineStr">
        <is>
          <t>베트남</t>
        </is>
      </c>
      <c r="X332" s="20" t="inlineStr">
        <is>
          <t>신원</t>
        </is>
      </c>
      <c r="Y332" s="26" t="inlineStr">
        <is>
          <t>신원) SWT-0572-1</t>
        </is>
      </c>
      <c r="Z332" s="26" t="n"/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21" t="inlineStr">
        <is>
          <t>X</t>
        </is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 t="inlineStr">
        <is>
          <t>YIC</t>
        </is>
      </c>
      <c r="W333" s="20" t="inlineStr">
        <is>
          <t>베트남</t>
        </is>
      </c>
      <c r="X333" s="20" t="inlineStr">
        <is>
          <t>케이글로벌 / 서진</t>
        </is>
      </c>
      <c r="Y333" s="26" t="inlineStr">
        <is>
          <t>케이글로벌) KGW-JR7040
서진) SUHW-NN500</t>
        </is>
      </c>
      <c r="Z333" s="26" t="n"/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21" t="inlineStr">
        <is>
          <t>X</t>
        </is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 t="inlineStr">
        <is>
          <t>아이블</t>
        </is>
      </c>
      <c r="W334" s="20" t="inlineStr">
        <is>
          <t>베트남</t>
        </is>
      </c>
      <c r="X334" s="20" t="inlineStr">
        <is>
          <t>밀리테크 / 타키사다나고야</t>
        </is>
      </c>
      <c r="Y334" s="26" t="inlineStr">
        <is>
          <t>밀리테크) MT-3817CH-DTP
타키사다나고야) 1060201
타키사다나고야) 1060201WX</t>
        </is>
      </c>
      <c r="Z334" s="26" t="n"/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21" t="inlineStr">
        <is>
          <t>X</t>
        </is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 t="inlineStr">
        <is>
          <t>주연</t>
        </is>
      </c>
      <c r="W335" s="20" t="inlineStr">
        <is>
          <t>국내</t>
        </is>
      </c>
      <c r="X335" s="20" t="inlineStr">
        <is>
          <t>신원</t>
        </is>
      </c>
      <c r="Y335" s="26" t="inlineStr">
        <is>
          <t>신원) SWT-0572-1</t>
        </is>
      </c>
      <c r="Z335" s="26" t="n"/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21" t="inlineStr">
        <is>
          <t>X</t>
        </is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 t="inlineStr">
        <is>
          <t>주연</t>
        </is>
      </c>
      <c r="W336" s="20" t="inlineStr">
        <is>
          <t>국내</t>
        </is>
      </c>
      <c r="X336" s="20" t="inlineStr">
        <is>
          <t>인터필</t>
        </is>
      </c>
      <c r="Y336" s="26" t="inlineStr">
        <is>
          <t>인터필) TI-263F</t>
        </is>
      </c>
      <c r="Z336" s="26" t="n"/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21" t="inlineStr">
        <is>
          <t>X</t>
        </is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 t="inlineStr">
        <is>
          <t>주연</t>
        </is>
      </c>
      <c r="W337" s="20" t="inlineStr">
        <is>
          <t>중국</t>
        </is>
      </c>
      <c r="X337" s="20" t="inlineStr">
        <is>
          <t>태진</t>
        </is>
      </c>
      <c r="Y337" s="26" t="inlineStr">
        <is>
          <t>태진) TJ-01445</t>
        </is>
      </c>
      <c r="Z337" s="26" t="n"/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21" t="inlineStr">
        <is>
          <t>X</t>
        </is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 t="inlineStr">
        <is>
          <t>장안</t>
        </is>
      </c>
      <c r="W338" s="20" t="inlineStr">
        <is>
          <t>베트남</t>
        </is>
      </c>
      <c r="X338" s="20" t="inlineStr">
        <is>
          <t>POLARTEC</t>
        </is>
      </c>
      <c r="Y338" s="26" t="inlineStr">
        <is>
          <t>POLARTEC) 8022(21082-1-2</t>
        </is>
      </c>
      <c r="Z338" s="26" t="n"/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21" t="inlineStr">
        <is>
          <t>X</t>
        </is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 t="n"/>
      <c r="W339" s="20" t="inlineStr">
        <is>
          <t>국내</t>
        </is>
      </c>
      <c r="X339" s="20" t="n"/>
      <c r="Y339" s="26" t="n"/>
      <c r="Z339" s="26" t="n"/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21" t="inlineStr">
        <is>
          <t>X</t>
        </is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 t="n"/>
      <c r="W340" s="20" t="inlineStr">
        <is>
          <t>국내</t>
        </is>
      </c>
      <c r="X340" s="20" t="n"/>
      <c r="Y340" s="26" t="n"/>
      <c r="Z340" s="26" t="n"/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21" t="n"/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 t="n"/>
      <c r="W341" s="20" t="inlineStr"/>
      <c r="X341" s="20" t="n"/>
      <c r="Y341" s="26" t="n"/>
      <c r="Z341" s="26" t="n"/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21" t="n"/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 t="n"/>
      <c r="W342" s="20" t="inlineStr"/>
      <c r="X342" s="20" t="n"/>
      <c r="Y342" s="26" t="n"/>
      <c r="Z342" s="26" t="n"/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21" t="n"/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 t="n"/>
      <c r="W343" s="20" t="inlineStr"/>
      <c r="X343" s="20" t="n"/>
      <c r="Y343" s="26" t="n"/>
      <c r="Z343" s="26" t="n"/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21" t="inlineStr">
        <is>
          <t>X</t>
        </is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 t="inlineStr">
        <is>
          <t>포마트</t>
        </is>
      </c>
      <c r="W344" s="20" t="inlineStr">
        <is>
          <t>베트남</t>
        </is>
      </c>
      <c r="X344" s="20" t="inlineStr">
        <is>
          <t>MOVE / 화니GC</t>
        </is>
      </c>
      <c r="Y344" s="26" t="inlineStr">
        <is>
          <t>MOVE) N434 (SI</t>
        </is>
      </c>
      <c r="Z344" s="26" t="n"/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21" t="inlineStr">
        <is>
          <t>X</t>
        </is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 t="inlineStr">
        <is>
          <t>거림</t>
        </is>
      </c>
      <c r="W345" s="20" t="inlineStr">
        <is>
          <t>베트남</t>
        </is>
      </c>
      <c r="X345" s="20" t="inlineStr">
        <is>
          <t>화니GC / MOVE</t>
        </is>
      </c>
      <c r="Y345" s="26" t="inlineStr">
        <is>
          <t>화니GC) W72228CN</t>
        </is>
      </c>
      <c r="Z345" s="26" t="n"/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21" t="inlineStr">
        <is>
          <t>X</t>
        </is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 t="inlineStr">
        <is>
          <t>호전 / 장안</t>
        </is>
      </c>
      <c r="W346" s="20" t="inlineStr">
        <is>
          <t>베트남</t>
        </is>
      </c>
      <c r="X346" s="20" t="inlineStr">
        <is>
          <t>MOVE</t>
        </is>
      </c>
      <c r="Y346" s="26" t="inlineStr">
        <is>
          <t>MOVE) N434 (SI</t>
        </is>
      </c>
      <c r="Z346" s="26" t="n"/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21" t="inlineStr">
        <is>
          <t>X</t>
        </is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 t="inlineStr">
        <is>
          <t>장안</t>
        </is>
      </c>
      <c r="W347" s="20" t="inlineStr">
        <is>
          <t>베트남</t>
        </is>
      </c>
      <c r="X347" s="20" t="inlineStr">
        <is>
          <t>수텍스</t>
        </is>
      </c>
      <c r="Y347" s="26" t="inlineStr">
        <is>
          <t>수텍스) SJD-23-1568</t>
        </is>
      </c>
      <c r="Z347" s="26" t="n"/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21" t="inlineStr">
        <is>
          <t>X</t>
        </is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 t="inlineStr">
        <is>
          <t>장안</t>
        </is>
      </c>
      <c r="W348" s="20" t="inlineStr">
        <is>
          <t>베트남</t>
        </is>
      </c>
      <c r="X348" s="20" t="inlineStr">
        <is>
          <t>SK패션</t>
        </is>
      </c>
      <c r="Y348" s="26" t="inlineStr">
        <is>
          <t>SK패션) SK25-9182-YC</t>
        </is>
      </c>
      <c r="Z348" s="26" t="n"/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21" t="inlineStr">
        <is>
          <t>X</t>
        </is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 t="inlineStr">
        <is>
          <t>IKG</t>
        </is>
      </c>
      <c r="W349" s="20" t="inlineStr">
        <is>
          <t>인도네시아</t>
        </is>
      </c>
      <c r="X349" s="20" t="inlineStr">
        <is>
          <t>SPM / SK패션</t>
        </is>
      </c>
      <c r="Y349" s="26" t="inlineStr">
        <is>
          <t>SPM) SR-COOL PL
SK패션) SK25-9182-YC</t>
        </is>
      </c>
      <c r="Z349" s="26" t="n"/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21" t="inlineStr">
        <is>
          <t>X</t>
        </is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 t="inlineStr">
        <is>
          <t>YIC</t>
        </is>
      </c>
      <c r="W350" s="20" t="inlineStr">
        <is>
          <t>베트남</t>
        </is>
      </c>
      <c r="X350" s="20" t="inlineStr">
        <is>
          <t>프라미스</t>
        </is>
      </c>
      <c r="Y350" s="26" t="inlineStr">
        <is>
          <t>프라미스) PM-8574</t>
        </is>
      </c>
      <c r="Z350" s="26" t="n"/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21" t="inlineStr">
        <is>
          <t>X</t>
        </is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 t="n"/>
      <c r="W351" s="20" t="inlineStr">
        <is>
          <t>베트남</t>
        </is>
      </c>
      <c r="X351" s="20" t="n"/>
      <c r="Y351" s="26" t="n"/>
      <c r="Z351" s="26" t="n"/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21" t="inlineStr">
        <is>
          <t>X</t>
        </is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 t="inlineStr">
        <is>
          <t>장안</t>
        </is>
      </c>
      <c r="W352" s="20" t="inlineStr">
        <is>
          <t>베트남</t>
        </is>
      </c>
      <c r="X352" s="20" t="inlineStr">
        <is>
          <t>SK패션</t>
        </is>
      </c>
      <c r="Y352" s="26" t="inlineStr">
        <is>
          <t>SK패션) SK25-9182-YC</t>
        </is>
      </c>
      <c r="Z352" s="26" t="n"/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21" t="inlineStr">
        <is>
          <t>X</t>
        </is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 t="inlineStr">
        <is>
          <t>IKG</t>
        </is>
      </c>
      <c r="W353" s="20" t="inlineStr">
        <is>
          <t>인도네시아</t>
        </is>
      </c>
      <c r="X353" s="20" t="inlineStr">
        <is>
          <t>SPM</t>
        </is>
      </c>
      <c r="Y353" s="26" t="inlineStr">
        <is>
          <t>SPM) AIRON</t>
        </is>
      </c>
      <c r="Z353" s="26" t="n"/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21" t="inlineStr">
        <is>
          <t>X</t>
        </is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 t="inlineStr">
        <is>
          <t>IKG</t>
        </is>
      </c>
      <c r="W354" s="20" t="inlineStr">
        <is>
          <t>인도네시아</t>
        </is>
      </c>
      <c r="X354" s="20" t="inlineStr">
        <is>
          <t>SPM</t>
        </is>
      </c>
      <c r="Y354" s="26" t="inlineStr">
        <is>
          <t>SPM) AIRON</t>
        </is>
      </c>
      <c r="Z354" s="26" t="n"/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21" t="inlineStr">
        <is>
          <t>X</t>
        </is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 t="inlineStr">
        <is>
          <t>장안</t>
        </is>
      </c>
      <c r="W355" s="20" t="inlineStr">
        <is>
          <t>베트남</t>
        </is>
      </c>
      <c r="X355" s="20" t="inlineStr">
        <is>
          <t>SPM</t>
        </is>
      </c>
      <c r="Y355" s="26" t="inlineStr">
        <is>
          <t>SPM) CC-DRY F</t>
        </is>
      </c>
      <c r="Z355" s="26" t="n"/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21" t="inlineStr">
        <is>
          <t>X</t>
        </is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 t="inlineStr">
        <is>
          <t>장안</t>
        </is>
      </c>
      <c r="W356" s="20" t="inlineStr">
        <is>
          <t>베트남</t>
        </is>
      </c>
      <c r="X356" s="20" t="inlineStr">
        <is>
          <t>SPM</t>
        </is>
      </c>
      <c r="Y356" s="26" t="inlineStr">
        <is>
          <t>SPM) CC-DRY F</t>
        </is>
      </c>
      <c r="Z356" s="26" t="n"/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21" t="inlineStr">
        <is>
          <t>X</t>
        </is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 t="n"/>
      <c r="W357" s="20" t="inlineStr">
        <is>
          <t>베트남</t>
        </is>
      </c>
      <c r="X357" s="20" t="n"/>
      <c r="Y357" s="26" t="n"/>
      <c r="Z357" s="26" t="n"/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21" t="n"/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 t="n"/>
      <c r="W358" s="20" t="inlineStr">
        <is>
          <t>중국</t>
        </is>
      </c>
      <c r="X358" s="20" t="n"/>
      <c r="Y358" s="26" t="n"/>
      <c r="Z358" s="26" t="n"/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21" t="inlineStr">
        <is>
          <t>X</t>
        </is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 t="n"/>
      <c r="W359" s="20" t="inlineStr">
        <is>
          <t>중국</t>
        </is>
      </c>
      <c r="X359" s="20" t="n"/>
      <c r="Y359" s="26" t="n"/>
      <c r="Z359" s="26" t="n"/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21" t="inlineStr">
        <is>
          <t>X</t>
        </is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 t="n"/>
      <c r="W360" s="20" t="inlineStr">
        <is>
          <t>국내</t>
        </is>
      </c>
      <c r="X360" s="20" t="n"/>
      <c r="Y360" s="26" t="n"/>
      <c r="Z360" s="26" t="n"/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21" t="inlineStr">
        <is>
          <t>X</t>
        </is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 t="n"/>
      <c r="W361" s="20" t="inlineStr">
        <is>
          <t>국내</t>
        </is>
      </c>
      <c r="X361" s="20" t="n"/>
      <c r="Y361" s="26" t="n"/>
      <c r="Z361" s="26" t="n"/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21" t="inlineStr">
        <is>
          <t>O</t>
        </is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 t="inlineStr">
        <is>
          <t>기도</t>
        </is>
      </c>
      <c r="W362" s="20" t="inlineStr">
        <is>
          <t>베트남</t>
        </is>
      </c>
      <c r="X362" s="20" t="inlineStr">
        <is>
          <t>GORE</t>
        </is>
      </c>
      <c r="Y362" s="26" t="inlineStr">
        <is>
          <t>GORE) bnrFRP40GF/RGD-PX 3L
GORE) bnSRP40AL/RGD-PX 3L</t>
        </is>
      </c>
      <c r="Z362" s="26" t="n"/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21" t="inlineStr">
        <is>
          <t>X</t>
        </is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 t="inlineStr">
        <is>
          <t>기도</t>
        </is>
      </c>
      <c r="W363" s="20" t="inlineStr">
        <is>
          <t>베트남</t>
        </is>
      </c>
      <c r="X363" s="20" t="inlineStr">
        <is>
          <t>신한</t>
        </is>
      </c>
      <c r="Y363" s="26" t="inlineStr">
        <is>
          <t>신한) SU107JE15Z</t>
        </is>
      </c>
      <c r="Z363" s="26" t="n"/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21" t="inlineStr">
        <is>
          <t>X</t>
        </is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 t="inlineStr">
        <is>
          <t>원전</t>
        </is>
      </c>
      <c r="W364" s="20" t="inlineStr">
        <is>
          <t>베트남</t>
        </is>
      </c>
      <c r="X364" s="20" t="inlineStr">
        <is>
          <t>PERTEX / 라임</t>
        </is>
      </c>
      <c r="Y364" s="26" t="inlineStr">
        <is>
          <t>PERTEX) PS2270WNSA-NFC</t>
        </is>
      </c>
      <c r="Z364" s="26" t="n"/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21" t="inlineStr">
        <is>
          <t>X</t>
        </is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 t="inlineStr">
        <is>
          <t>기도</t>
        </is>
      </c>
      <c r="W365" s="20" t="inlineStr">
        <is>
          <t>베트남</t>
        </is>
      </c>
      <c r="X365" s="20" t="inlineStr">
        <is>
          <t>GORE</t>
        </is>
      </c>
      <c r="Y365" s="26" t="inlineStr">
        <is>
          <t>GORE) bnrFRP40GF/RGD-PX 3L
GORE) bnSRP40AL/RGD-PX 3L</t>
        </is>
      </c>
      <c r="Z365" s="26" t="n"/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21" t="inlineStr">
        <is>
          <t>X</t>
        </is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 t="inlineStr">
        <is>
          <t>기도</t>
        </is>
      </c>
      <c r="W366" s="20" t="inlineStr">
        <is>
          <t>베트남</t>
        </is>
      </c>
      <c r="X366" s="20" t="inlineStr">
        <is>
          <t>신한</t>
        </is>
      </c>
      <c r="Y366" s="26" t="inlineStr">
        <is>
          <t>신한) SU107JE15Z</t>
        </is>
      </c>
      <c r="Z366" s="26" t="n"/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21" t="inlineStr">
        <is>
          <t>X</t>
        </is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 t="n"/>
      <c r="W367" s="20" t="inlineStr">
        <is>
          <t>중국</t>
        </is>
      </c>
      <c r="X367" s="20" t="n"/>
      <c r="Y367" s="26" t="n"/>
      <c r="Z367" s="26" t="n"/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21" t="inlineStr">
        <is>
          <t>X</t>
        </is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 t="n"/>
      <c r="W368" s="20" t="inlineStr">
        <is>
          <t>중국</t>
        </is>
      </c>
      <c r="X368" s="20" t="n"/>
      <c r="Y368" s="26" t="n"/>
      <c r="Z368" s="26" t="n"/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21" t="inlineStr">
        <is>
          <t>X</t>
        </is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 t="n"/>
      <c r="W369" s="20" t="inlineStr">
        <is>
          <t>중국</t>
        </is>
      </c>
      <c r="X369" s="20" t="n"/>
      <c r="Y369" s="26" t="n"/>
      <c r="Z369" s="26" t="n"/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21" t="inlineStr">
        <is>
          <t>X</t>
        </is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 t="n"/>
      <c r="W370" s="20" t="inlineStr">
        <is>
          <t>중국</t>
        </is>
      </c>
      <c r="X370" s="20" t="n"/>
      <c r="Y370" s="26" t="n"/>
      <c r="Z370" s="26" t="n"/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21" t="n"/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 t="n"/>
      <c r="W371" s="20" t="inlineStr">
        <is>
          <t>베트남</t>
        </is>
      </c>
      <c r="X371" s="20" t="n"/>
      <c r="Y371" s="26" t="n"/>
      <c r="Z371" s="26" t="n"/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21" t="inlineStr">
        <is>
          <t>X</t>
        </is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 t="n"/>
      <c r="W372" s="20" t="inlineStr">
        <is>
          <t>국내</t>
        </is>
      </c>
      <c r="X372" s="20" t="n"/>
      <c r="Y372" s="26" t="n"/>
      <c r="Z372" s="26" t="n"/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21" t="inlineStr">
        <is>
          <t>X</t>
        </is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 t="n"/>
      <c r="W373" s="20" t="inlineStr">
        <is>
          <t>국내</t>
        </is>
      </c>
      <c r="X373" s="20" t="n"/>
      <c r="Y373" s="26" t="n"/>
      <c r="Z373" s="26" t="n"/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21" t="inlineStr">
        <is>
          <t>X</t>
        </is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 t="n"/>
      <c r="W374" s="20" t="inlineStr">
        <is>
          <t>국내</t>
        </is>
      </c>
      <c r="X374" s="20" t="n"/>
      <c r="Y374" s="26" t="n"/>
      <c r="Z374" s="26" t="n"/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21" t="inlineStr">
        <is>
          <t>X</t>
        </is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 t="n"/>
      <c r="W375" s="20" t="inlineStr">
        <is>
          <t>국내</t>
        </is>
      </c>
      <c r="X375" s="20" t="n"/>
      <c r="Y375" s="26" t="n"/>
      <c r="Z375" s="26" t="n"/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21" t="inlineStr">
        <is>
          <t>X</t>
        </is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 t="n"/>
      <c r="W376" s="20" t="inlineStr">
        <is>
          <t>국내</t>
        </is>
      </c>
      <c r="X376" s="20" t="n"/>
      <c r="Y376" s="26" t="n"/>
      <c r="Z376" s="26" t="n"/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21" t="inlineStr">
        <is>
          <t>O</t>
        </is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 t="n"/>
      <c r="W377" s="20" t="inlineStr">
        <is>
          <t>국내</t>
        </is>
      </c>
      <c r="X377" s="20" t="n"/>
      <c r="Y377" s="26" t="n"/>
      <c r="Z377" s="26" t="n"/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21" t="inlineStr">
        <is>
          <t>O</t>
        </is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 t="n"/>
      <c r="W378" s="20" t="inlineStr">
        <is>
          <t>국내</t>
        </is>
      </c>
      <c r="X378" s="20" t="n"/>
      <c r="Y378" s="26" t="n"/>
      <c r="Z378" s="26" t="n"/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21" t="inlineStr">
        <is>
          <t>O</t>
        </is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 t="n"/>
      <c r="W379" s="20" t="inlineStr">
        <is>
          <t>국내</t>
        </is>
      </c>
      <c r="X379" s="20" t="n"/>
      <c r="Y379" s="26" t="n"/>
      <c r="Z379" s="26" t="n"/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21" t="inlineStr">
        <is>
          <t>O</t>
        </is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 t="n"/>
      <c r="W380" s="20" t="inlineStr">
        <is>
          <t>국내</t>
        </is>
      </c>
      <c r="X380" s="20" t="n"/>
      <c r="Y380" s="26" t="n"/>
      <c r="Z380" s="26" t="n"/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21" t="inlineStr">
        <is>
          <t>O</t>
        </is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 t="n"/>
      <c r="W381" s="20" t="inlineStr">
        <is>
          <t>베트남</t>
        </is>
      </c>
      <c r="X381" s="20" t="n"/>
      <c r="Y381" s="26" t="n"/>
      <c r="Z381" s="26" t="n"/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21" t="inlineStr">
        <is>
          <t>O</t>
        </is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 t="n"/>
      <c r="W382" s="20" t="inlineStr">
        <is>
          <t>베트남</t>
        </is>
      </c>
      <c r="X382" s="20" t="n"/>
      <c r="Y382" s="26" t="n"/>
      <c r="Z382" s="26" t="n"/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21" t="inlineStr">
        <is>
          <t>X</t>
        </is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 t="n"/>
      <c r="W383" s="20" t="inlineStr">
        <is>
          <t>중국</t>
        </is>
      </c>
      <c r="X383" s="20" t="n"/>
      <c r="Y383" s="26" t="n"/>
      <c r="Z383" s="26" t="n"/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21" t="inlineStr">
        <is>
          <t>X</t>
        </is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 t="n"/>
      <c r="W384" s="20" t="inlineStr">
        <is>
          <t>중국</t>
        </is>
      </c>
      <c r="X384" s="20" t="n"/>
      <c r="Y384" s="26" t="n"/>
      <c r="Z384" s="26" t="n"/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21" t="inlineStr">
        <is>
          <t>X</t>
        </is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 t="n"/>
      <c r="W385" s="20" t="inlineStr">
        <is>
          <t>중국</t>
        </is>
      </c>
      <c r="X385" s="20" t="n"/>
      <c r="Y385" s="26" t="n"/>
      <c r="Z385" s="26" t="n"/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21" t="inlineStr">
        <is>
          <t>X</t>
        </is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 t="n"/>
      <c r="W386" s="20" t="inlineStr">
        <is>
          <t>중국</t>
        </is>
      </c>
      <c r="X386" s="20" t="n"/>
      <c r="Y386" s="26" t="n"/>
      <c r="Z386" s="26" t="n"/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21" t="inlineStr">
        <is>
          <t>X</t>
        </is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 t="n"/>
      <c r="W387" s="20" t="inlineStr">
        <is>
          <t>중국</t>
        </is>
      </c>
      <c r="X387" s="20" t="n"/>
      <c r="Y387" s="26" t="n"/>
      <c r="Z387" s="26" t="n"/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21" t="inlineStr">
        <is>
          <t>X</t>
        </is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 t="n"/>
      <c r="W388" s="20" t="inlineStr">
        <is>
          <t>중국</t>
        </is>
      </c>
      <c r="X388" s="20" t="n"/>
      <c r="Y388" s="26" t="n"/>
      <c r="Z388" s="26" t="n"/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21" t="inlineStr">
        <is>
          <t>X</t>
        </is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 t="n"/>
      <c r="W389" s="20" t="inlineStr">
        <is>
          <t>중국</t>
        </is>
      </c>
      <c r="X389" s="20" t="n"/>
      <c r="Y389" s="26" t="n"/>
      <c r="Z389" s="26" t="n"/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21" t="inlineStr">
        <is>
          <t>X</t>
        </is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 t="n"/>
      <c r="W390" s="20" t="inlineStr">
        <is>
          <t>중국</t>
        </is>
      </c>
      <c r="X390" s="20" t="n"/>
      <c r="Y390" s="26" t="n"/>
      <c r="Z390" s="26" t="n"/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21" t="inlineStr">
        <is>
          <t>X</t>
        </is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 t="n"/>
      <c r="W391" s="20" t="inlineStr">
        <is>
          <t>중국</t>
        </is>
      </c>
      <c r="X391" s="20" t="n"/>
      <c r="Y391" s="26" t="n"/>
      <c r="Z391" s="26" t="n"/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21" t="inlineStr">
        <is>
          <t>X</t>
        </is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 t="n"/>
      <c r="W392" s="20" t="inlineStr">
        <is>
          <t>중국</t>
        </is>
      </c>
      <c r="X392" s="20" t="n"/>
      <c r="Y392" s="26" t="n"/>
      <c r="Z392" s="26" t="n"/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21" t="inlineStr">
        <is>
          <t>X</t>
        </is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 t="n"/>
      <c r="W393" s="20" t="inlineStr">
        <is>
          <t>중국</t>
        </is>
      </c>
      <c r="X393" s="20" t="n"/>
      <c r="Y393" s="26" t="n"/>
      <c r="Z393" s="26" t="n"/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21" t="n"/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 t="n"/>
      <c r="W394" s="20" t="inlineStr">
        <is>
          <t>베트남</t>
        </is>
      </c>
      <c r="X394" s="20" t="n"/>
      <c r="Y394" s="26" t="n"/>
      <c r="Z394" s="26" t="n"/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21" t="inlineStr">
        <is>
          <t>X</t>
        </is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 t="n"/>
      <c r="W395" s="20" t="inlineStr">
        <is>
          <t>베트남</t>
        </is>
      </c>
      <c r="X395" s="20" t="n"/>
      <c r="Y395" s="26" t="n"/>
      <c r="Z395" s="26" t="n"/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21" t="n"/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 t="n"/>
      <c r="W396" s="20" t="inlineStr">
        <is>
          <t>베트남</t>
        </is>
      </c>
      <c r="X396" s="20" t="n"/>
      <c r="Y396" s="26" t="n"/>
      <c r="Z396" s="26" t="n"/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21" t="n"/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 t="n"/>
      <c r="W397" s="20" t="inlineStr"/>
      <c r="X397" s="20" t="n"/>
      <c r="Y397" s="26" t="n"/>
      <c r="Z397" s="26" t="n"/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21" t="n"/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 t="n"/>
      <c r="W398" s="20" t="inlineStr"/>
      <c r="X398" s="20" t="n"/>
      <c r="Y398" s="26" t="n"/>
      <c r="Z398" s="26" t="n"/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21" t="n"/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 t="n"/>
      <c r="W399" s="20" t="inlineStr"/>
      <c r="X399" s="20" t="n"/>
      <c r="Y399" s="26" t="n"/>
      <c r="Z399" s="26" t="n"/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21" t="n"/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 t="n"/>
      <c r="W400" s="20" t="inlineStr"/>
      <c r="X400" s="20" t="n"/>
      <c r="Y400" s="26" t="n"/>
      <c r="Z400" s="26" t="n"/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21" t="n"/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 t="n"/>
      <c r="W401" s="20" t="inlineStr"/>
      <c r="X401" s="20" t="n"/>
      <c r="Y401" s="26" t="n"/>
      <c r="Z401" s="26" t="n"/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21" t="n"/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 t="n"/>
      <c r="W402" s="20" t="inlineStr"/>
      <c r="X402" s="20" t="n"/>
      <c r="Y402" s="26" t="n"/>
      <c r="Z402" s="26" t="n"/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21" t="n"/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 t="n"/>
      <c r="W403" s="20" t="inlineStr"/>
      <c r="X403" s="20" t="n"/>
      <c r="Y403" s="26" t="n"/>
      <c r="Z403" s="26" t="n"/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21" t="n"/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 t="n"/>
      <c r="W404" s="20" t="inlineStr"/>
      <c r="X404" s="20" t="n"/>
      <c r="Y404" s="26" t="n"/>
      <c r="Z404" s="26" t="n"/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21" t="n"/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 t="n"/>
      <c r="W405" s="20" t="inlineStr"/>
      <c r="X405" s="20" t="n"/>
      <c r="Y405" s="26" t="n"/>
      <c r="Z405" s="26" t="n"/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21" t="n"/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 t="n"/>
      <c r="W406" s="20" t="inlineStr"/>
      <c r="X406" s="20" t="n"/>
      <c r="Y406" s="26" t="n"/>
      <c r="Z406" s="26" t="n"/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21" t="inlineStr">
        <is>
          <t>X</t>
        </is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 t="n"/>
      <c r="W407" s="20" t="inlineStr">
        <is>
          <t>한국</t>
        </is>
      </c>
      <c r="X407" s="20" t="n"/>
      <c r="Y407" s="26" t="n"/>
      <c r="Z407" s="26" t="n"/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21" t="inlineStr">
        <is>
          <t>X</t>
        </is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 t="n"/>
      <c r="W408" s="20" t="inlineStr">
        <is>
          <t>한국</t>
        </is>
      </c>
      <c r="X408" s="20" t="n"/>
      <c r="Y408" s="26" t="n"/>
      <c r="Z408" s="26" t="n"/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21" t="inlineStr">
        <is>
          <t>X</t>
        </is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 t="n"/>
      <c r="W409" s="20" t="inlineStr">
        <is>
          <t>국내</t>
        </is>
      </c>
      <c r="X409" s="20" t="n"/>
      <c r="Y409" s="26" t="n"/>
      <c r="Z409" s="26" t="n"/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21" t="inlineStr">
        <is>
          <t>X</t>
        </is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 t="n"/>
      <c r="W410" s="20" t="inlineStr">
        <is>
          <t>국내</t>
        </is>
      </c>
      <c r="X410" s="20" t="n"/>
      <c r="Y410" s="26" t="n"/>
      <c r="Z410" s="26" t="n"/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21" t="inlineStr">
        <is>
          <t>X</t>
        </is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 t="n"/>
      <c r="W411" s="20" t="inlineStr">
        <is>
          <t>국내</t>
        </is>
      </c>
      <c r="X411" s="20" t="n"/>
      <c r="Y411" s="26" t="n"/>
      <c r="Z411" s="26" t="n"/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21" t="inlineStr">
        <is>
          <t>X</t>
        </is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 t="n"/>
      <c r="W412" s="20" t="inlineStr">
        <is>
          <t>국내</t>
        </is>
      </c>
      <c r="X412" s="20" t="n"/>
      <c r="Y412" s="26" t="n"/>
      <c r="Z412" s="26" t="n"/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21" t="inlineStr">
        <is>
          <t>X</t>
        </is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 t="n"/>
      <c r="W413" s="20" t="inlineStr">
        <is>
          <t>국내</t>
        </is>
      </c>
      <c r="X413" s="20" t="n"/>
      <c r="Y413" s="26" t="n"/>
      <c r="Z413" s="26" t="n"/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21" t="inlineStr">
        <is>
          <t>X</t>
        </is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 t="n"/>
      <c r="W414" s="20" t="inlineStr">
        <is>
          <t>국내</t>
        </is>
      </c>
      <c r="X414" s="20" t="n"/>
      <c r="Y414" s="26" t="n"/>
      <c r="Z414" s="26" t="n"/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21" t="inlineStr">
        <is>
          <t>X</t>
        </is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 t="n"/>
      <c r="W415" s="20" t="inlineStr">
        <is>
          <t>국내</t>
        </is>
      </c>
      <c r="X415" s="20" t="n"/>
      <c r="Y415" s="26" t="n"/>
      <c r="Z415" s="26" t="n"/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21" t="inlineStr">
        <is>
          <t>X</t>
        </is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 t="n"/>
      <c r="W416" s="20" t="inlineStr">
        <is>
          <t>국내</t>
        </is>
      </c>
      <c r="X416" s="20" t="n"/>
      <c r="Y416" s="26" t="n"/>
      <c r="Z416" s="26" t="n"/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21" t="inlineStr">
        <is>
          <t>O</t>
        </is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 t="n"/>
      <c r="W417" s="20" t="inlineStr">
        <is>
          <t>베트남</t>
        </is>
      </c>
      <c r="X417" s="20" t="n"/>
      <c r="Y417" s="26" t="n"/>
      <c r="Z417" s="26" t="n"/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21" t="n"/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 t="n"/>
      <c r="W418" s="20" t="inlineStr">
        <is>
          <t>베트남</t>
        </is>
      </c>
      <c r="X418" s="20" t="n"/>
      <c r="Y418" s="26" t="n"/>
      <c r="Z418" s="26" t="n"/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21" t="inlineStr">
        <is>
          <t>O</t>
        </is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 t="n"/>
      <c r="W419" s="20" t="inlineStr">
        <is>
          <t>베트남</t>
        </is>
      </c>
      <c r="X419" s="20" t="n"/>
      <c r="Y419" s="26" t="n"/>
      <c r="Z419" s="26" t="n"/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21" t="inlineStr">
        <is>
          <t>O</t>
        </is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 t="n"/>
      <c r="W420" s="20" t="inlineStr">
        <is>
          <t>베트남</t>
        </is>
      </c>
      <c r="X420" s="20" t="n"/>
      <c r="Y420" s="26" t="n"/>
      <c r="Z420" s="26" t="n"/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21" t="inlineStr">
        <is>
          <t>X</t>
        </is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 t="n"/>
      <c r="W421" s="20" t="inlineStr">
        <is>
          <t>국내</t>
        </is>
      </c>
      <c r="X421" s="20" t="n"/>
      <c r="Y421" s="26" t="n"/>
      <c r="Z421" s="26" t="n"/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21" t="inlineStr">
        <is>
          <t>O</t>
        </is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 t="n"/>
      <c r="W422" s="20" t="inlineStr">
        <is>
          <t>베트남</t>
        </is>
      </c>
      <c r="X422" s="20" t="n"/>
      <c r="Y422" s="26" t="n"/>
      <c r="Z422" s="26" t="n"/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21" t="inlineStr">
        <is>
          <t>O</t>
        </is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 t="n"/>
      <c r="W423" s="20" t="inlineStr">
        <is>
          <t>베트남</t>
        </is>
      </c>
      <c r="X423" s="20" t="n"/>
      <c r="Y423" s="26" t="n"/>
      <c r="Z423" s="26" t="n"/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21" t="inlineStr">
        <is>
          <t>X</t>
        </is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 t="n"/>
      <c r="W424" s="20" t="inlineStr">
        <is>
          <t>한국</t>
        </is>
      </c>
      <c r="X424" s="20" t="n"/>
      <c r="Y424" s="26" t="n"/>
      <c r="Z424" s="26" t="n"/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21" t="inlineStr">
        <is>
          <t>O</t>
        </is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 t="n"/>
      <c r="W425" s="20" t="inlineStr">
        <is>
          <t>국내</t>
        </is>
      </c>
      <c r="X425" s="20" t="n"/>
      <c r="Y425" s="26" t="n"/>
      <c r="Z425" s="26" t="n"/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21" t="inlineStr">
        <is>
          <t>X</t>
        </is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 t="n"/>
      <c r="W426" s="20" t="inlineStr">
        <is>
          <t>중국</t>
        </is>
      </c>
      <c r="X426" s="20" t="n"/>
      <c r="Y426" s="26" t="n"/>
      <c r="Z426" s="26" t="n"/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21" t="inlineStr">
        <is>
          <t>X</t>
        </is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 t="n"/>
      <c r="W427" s="20" t="inlineStr">
        <is>
          <t>중국</t>
        </is>
      </c>
      <c r="X427" s="20" t="n"/>
      <c r="Y427" s="26" t="n"/>
      <c r="Z427" s="26" t="n"/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21" t="inlineStr">
        <is>
          <t>O</t>
        </is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 t="n"/>
      <c r="W428" s="20" t="inlineStr">
        <is>
          <t>베트남</t>
        </is>
      </c>
      <c r="X428" s="20" t="n"/>
      <c r="Y428" s="26" t="n"/>
      <c r="Z428" s="26" t="n"/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4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R5:R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29" t="inlineStr">
        <is>
          <t>구분</t>
        </is>
      </c>
      <c r="C5" s="29" t="inlineStr">
        <is>
          <t>스타일 수</t>
        </is>
      </c>
      <c r="D5" s="29" t="inlineStr">
        <is>
          <t>기획수량 (장)</t>
        </is>
      </c>
      <c r="E5" s="29" t="inlineStr">
        <is>
          <t>원가합 (원)</t>
        </is>
      </c>
      <c r="F5" s="29" t="inlineStr">
        <is>
          <t>소매가합 (원)</t>
        </is>
      </c>
      <c r="G5" s="29" t="inlineStr">
        <is>
          <t>소매가합 비중</t>
        </is>
      </c>
    </row>
    <row r="6">
      <c r="B6" s="30" t="inlineStr">
        <is>
          <t>의류</t>
        </is>
      </c>
      <c r="C6" s="31">
        <f>SUMPRODUCT((LEFT('소재역산 트래커'!$D$5:$D$428,1)&lt;&gt;"Q")*(LEFT('소재역산 트래커'!$D$5:$D$428,1)&lt;&gt;"8")*('소재역산 트래커'!$D$5:$D$428&lt;&gt;""))</f>
        <v/>
      </c>
      <c r="D6" s="31">
        <f>SUMPRODUCT((LEFT('소재역산 트래커'!$D$5:$D$428,1)&lt;&gt;"Q")*(LEFT('소재역산 트래커'!$D$5:$D$428,1)&lt;&gt;"8")*('소재역산 트래커'!$D$5:$D$428&lt;&gt;"")*'소재역산 트래커'!$AA$5:$AA$428)</f>
        <v/>
      </c>
      <c r="E6" s="31">
        <f>SUMPRODUCT((LEFT('소재역산 트래커'!$D$5:$D$428,1)&lt;&gt;"Q")*(LEFT('소재역산 트래커'!$D$5:$D$428,1)&lt;&gt;"8")*('소재역산 트래커'!$D$5:$D$428&lt;&gt;"")*'소재역산 트래커'!$AB$5:$AB$428)</f>
        <v/>
      </c>
      <c r="F6" s="31">
        <f>SUMPRODUCT((LEFT('소재역산 트래커'!$D$5:$D$428,1)&lt;&gt;"Q")*(LEFT('소재역산 트래커'!$D$5:$D$428,1)&lt;&gt;"8")*('소재역산 트래커'!$D$5:$D$428&lt;&gt;"")*'소재역산 트래커'!$AC$5:$AC$428)</f>
        <v/>
      </c>
      <c r="G6" s="32">
        <f>IF($F$9=0,"",F6/$F$9)</f>
        <v/>
      </c>
    </row>
    <row r="7">
      <c r="B7" s="30" t="inlineStr">
        <is>
          <t>용품 (Q)</t>
        </is>
      </c>
      <c r="C7" s="31">
        <f>SUMPRODUCT((LEFT('소재역산 트래커'!$D$5:$D$428,1)="Q")*1)</f>
        <v/>
      </c>
      <c r="D7" s="31">
        <f>SUMPRODUCT((LEFT('소재역산 트래커'!$D$5:$D$428,1)="Q")*1*'소재역산 트래커'!$AA$5:$AA$428)</f>
        <v/>
      </c>
      <c r="E7" s="31">
        <f>SUMPRODUCT((LEFT('소재역산 트래커'!$D$5:$D$428,1)="Q")*1*'소재역산 트래커'!$AB$5:$AB$428)</f>
        <v/>
      </c>
      <c r="F7" s="31">
        <f>SUMPRODUCT((LEFT('소재역산 트래커'!$D$5:$D$428,1)="Q")*1*'소재역산 트래커'!$AC$5:$AC$428)</f>
        <v/>
      </c>
      <c r="G7" s="32">
        <f>IF($F$9=0,"",F7/$F$9)</f>
        <v/>
      </c>
    </row>
    <row r="8">
      <c r="B8" s="30" t="inlineStr">
        <is>
          <t>WM/피싱 (8)</t>
        </is>
      </c>
      <c r="C8" s="31">
        <f>SUMPRODUCT((LEFT('소재역산 트래커'!$D$5:$D$428,1)="8")*1)</f>
        <v/>
      </c>
      <c r="D8" s="31">
        <f>SUMPRODUCT((LEFT('소재역산 트래커'!$D$5:$D$428,1)="8")*1*'소재역산 트래커'!$AA$5:$AA$428)</f>
        <v/>
      </c>
      <c r="E8" s="31">
        <f>SUMPRODUCT((LEFT('소재역산 트래커'!$D$5:$D$428,1)="8")*1*'소재역산 트래커'!$AB$5:$AB$428)</f>
        <v/>
      </c>
      <c r="F8" s="31">
        <f>SUMPRODUCT((LEFT('소재역산 트래커'!$D$5:$D$428,1)="8")*1*'소재역산 트래커'!$AC$5:$AC$428)</f>
        <v/>
      </c>
      <c r="G8" s="32">
        <f>IF($F$9=0,"",F8/$F$9)</f>
        <v/>
      </c>
    </row>
    <row r="9">
      <c r="B9" s="33" t="inlineStr">
        <is>
          <t>합계</t>
        </is>
      </c>
      <c r="C9" s="34">
        <f>SUM(C6:C8)</f>
        <v/>
      </c>
      <c r="D9" s="34">
        <f>SUM(D6:D8)</f>
        <v/>
      </c>
      <c r="E9" s="34">
        <f>SUM(E6:E8)</f>
        <v/>
      </c>
      <c r="F9" s="34">
        <f>SUM(F6:F8)</f>
        <v/>
      </c>
      <c r="G9" s="35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29" t="inlineStr">
        <is>
          <t>구분</t>
        </is>
      </c>
      <c r="C15" s="29" t="inlineStr">
        <is>
          <t>스타일 수</t>
        </is>
      </c>
      <c r="D15" s="29" t="inlineStr">
        <is>
          <t>기획수량 (장)</t>
        </is>
      </c>
      <c r="E15" s="29" t="inlineStr">
        <is>
          <t>원가합 (원)</t>
        </is>
      </c>
      <c r="F15" s="29" t="inlineStr">
        <is>
          <t>소매가합 (원)</t>
        </is>
      </c>
    </row>
    <row r="16">
      <c r="B16" s="30" t="inlineStr">
        <is>
          <t>의류 전체</t>
        </is>
      </c>
      <c r="C16" s="31">
        <f>C6</f>
        <v/>
      </c>
      <c r="D16" s="31">
        <f>D6</f>
        <v/>
      </c>
      <c r="E16" s="31">
        <f>E6</f>
        <v/>
      </c>
      <c r="F16" s="31">
        <f>F6</f>
        <v/>
      </c>
    </row>
    <row r="17">
      <c r="B17" s="30" t="inlineStr">
        <is>
          <t>비수기 선정 (의류)</t>
        </is>
      </c>
      <c r="C17" s="31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1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1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1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6" t="inlineStr">
        <is>
          <t>비수기 비중</t>
        </is>
      </c>
      <c r="C18" s="37">
        <f>IF(C16=0,"",C17/C16)</f>
        <v/>
      </c>
      <c r="D18" s="37">
        <f>IF(D16=0,"",D17/D16)</f>
        <v/>
      </c>
      <c r="E18" s="37">
        <f>IF(E16=0,"",E17/E16)</f>
        <v/>
      </c>
      <c r="F18" s="37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8">
        <f>COUNTA('소재역산 트래커'!$D$5:$D$428)</f>
        <v/>
      </c>
      <c r="D6" s="38">
        <f>COUNTIF('소재역산 트래커'!$G$5:$G$428,"S(봄)")</f>
        <v/>
      </c>
      <c r="F6" s="39">
        <f>COUNTIF('소재역산 트래커'!$AF$5:$AF$428,"★*")</f>
        <v/>
      </c>
      <c r="H6" s="40">
        <f>COUNTIF('소재역산 트래커'!$AF$5:$AF$428,"◆*")</f>
        <v/>
      </c>
      <c r="J6" s="41">
        <f>COUNTIF('소재역산 트래커'!$P$5:$P$428,"O")</f>
        <v/>
      </c>
    </row>
    <row r="9">
      <c r="B9" s="11" t="inlineStr">
        <is>
          <t>MD별 현황</t>
        </is>
      </c>
    </row>
    <row r="10">
      <c r="B10" s="29" t="inlineStr">
        <is>
          <t>MD</t>
        </is>
      </c>
      <c r="C10" s="29" t="inlineStr">
        <is>
          <t>스타일 수</t>
        </is>
      </c>
      <c r="D10" s="29" t="inlineStr">
        <is>
          <t>S코드</t>
        </is>
      </c>
      <c r="E10" s="29" t="inlineStr">
        <is>
          <t>작지 미발행(X/부분)</t>
        </is>
      </c>
      <c r="F10" s="29" t="inlineStr">
        <is>
          <t>사양확정 미완(X/부분)</t>
        </is>
      </c>
      <c r="G10" s="29" t="inlineStr">
        <is>
          <t>비수기 선정</t>
        </is>
      </c>
      <c r="H10" s="29" t="inlineStr">
        <is>
          <t>★ 납기위험</t>
        </is>
      </c>
      <c r="I10" s="29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2" t="inlineStr">
        <is>
          <t>합계</t>
        </is>
      </c>
      <c r="C21" s="43">
        <f>SUM(C11:C20)</f>
        <v/>
      </c>
      <c r="D21" s="43">
        <f>SUM(D11:D20)</f>
        <v/>
      </c>
      <c r="E21" s="43">
        <f>SUM(E11:E20)</f>
        <v/>
      </c>
      <c r="F21" s="43">
        <f>SUM(F11:F20)</f>
        <v/>
      </c>
      <c r="G21" s="43">
        <f>SUM(G11:G20)</f>
        <v/>
      </c>
      <c r="H21" s="43">
        <f>SUM(H11:H20)</f>
        <v/>
      </c>
      <c r="I21" s="43">
        <f>SUM(I11:I20)</f>
        <v/>
      </c>
    </row>
    <row r="24">
      <c r="B24" s="11" t="inlineStr">
        <is>
          <t>공유 메시지 (관계부서 발송용)</t>
        </is>
      </c>
    </row>
    <row r="25">
      <c r="B25" s="44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2026-08-10T02:29:27Z</dcterms:created>
  <dcterms:modified xsi:type="dcterms:W3CDTF">2026-08-10T02:29:28Z</dcterms:modified>
</cp:coreProperties>
</file>