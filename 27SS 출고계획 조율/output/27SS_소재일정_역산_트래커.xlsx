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기준정보" sheetId="2" state="visible" r:id="rId4"/>
    <sheet name="소재역산 트래커" sheetId="3" state="visible" r:id="rId5"/>
    <sheet name="리스크 요약" sheetId="4" state="visible" r:id="rId6"/>
  </sheets>
  <definedNames>
    <definedName function="false" hidden="true" localSheetId="2" name="_xlnm._FilterDatabase" vbProcedure="false">'소재역산 트래커'!$A$4:$T$95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<sst xmlns="http://schemas.openxmlformats.org/spreadsheetml/2006/main" count="525" uniqueCount="266">
  <si>
    <r>
      <rPr>
        <b val="true"/>
        <sz val="16"/>
        <color rgb="FFFFFFFF"/>
        <rFont val="맑은 고딕"/>
        <family val="0"/>
        <charset val="1"/>
      </rPr>
      <t xml:space="preserve">27SS </t>
    </r>
    <r>
      <rPr>
        <b val="true"/>
        <sz val="16"/>
        <color rgb="FFFFFFFF"/>
        <rFont val="WenQuanYi Zen Hei"/>
        <family val="2"/>
      </rPr>
      <t xml:space="preserve">출고계획 기준 소재일정 역산</t>
    </r>
    <r>
      <rPr>
        <b val="true"/>
        <sz val="16"/>
        <color rgb="FFFFFFFF"/>
        <rFont val="맑은 고딕"/>
        <family val="0"/>
        <charset val="1"/>
      </rPr>
      <t xml:space="preserve">(D-90) </t>
    </r>
    <r>
      <rPr>
        <b val="true"/>
        <sz val="16"/>
        <color rgb="FFFFFFFF"/>
        <rFont val="WenQuanYi Zen Hei"/>
        <family val="2"/>
      </rPr>
      <t xml:space="preserve">트래커</t>
    </r>
  </si>
  <si>
    <t xml:space="preserve">목적</t>
  </si>
  <si>
    <r>
      <rPr>
        <sz val="11"/>
        <rFont val="WenQuanYi Zen Hei"/>
        <family val="2"/>
      </rPr>
      <t xml:space="preserve">영업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출고계획일 기준으로 </t>
    </r>
    <r>
      <rPr>
        <sz val="11"/>
        <rFont val="맑은 고딕"/>
        <family val="0"/>
        <charset val="1"/>
      </rPr>
      <t xml:space="preserve">90</t>
    </r>
    <r>
      <rPr>
        <sz val="11"/>
        <rFont val="WenQuanYi Zen Hei"/>
        <family val="2"/>
      </rPr>
      <t xml:space="preserve">일을 역산해 소재 입고 마감일을 산출하고</t>
    </r>
    <r>
      <rPr>
        <sz val="11"/>
        <rFont val="맑은 고딕"/>
        <family val="0"/>
        <charset val="1"/>
      </rPr>
      <t xml:space="preserve">,</t>
    </r>
  </si>
  <si>
    <r>
      <rPr>
        <sz val="11"/>
        <rFont val="WenQuanYi Zen Hei"/>
        <family val="2"/>
      </rPr>
      <t xml:space="preserve">① 소재 입고가 마감일을 초과하거나 ② 현시점 작업지시서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작지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가 등록되지 않은 </t>
    </r>
    <r>
      <rPr>
        <sz val="11"/>
        <rFont val="맑은 고딕"/>
        <family val="0"/>
        <charset val="1"/>
      </rPr>
      <t xml:space="preserve">S</t>
    </r>
    <r>
      <rPr>
        <sz val="11"/>
        <rFont val="WenQuanYi Zen Hei"/>
        <family val="2"/>
      </rPr>
      <t xml:space="preserve">코드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봄상품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를</t>
    </r>
  </si>
  <si>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납기위험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으로 식별하여 생산처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본사 소재팀과 사전 조율하기 위한 트래커입니다</t>
    </r>
    <r>
      <rPr>
        <sz val="11"/>
        <rFont val="맑은 고딕"/>
        <family val="0"/>
        <charset val="1"/>
      </rPr>
      <t xml:space="preserve">.</t>
    </r>
  </si>
  <si>
    <t xml:space="preserve">판정 로직</t>
  </si>
  <si>
    <r>
      <rPr>
        <sz val="11"/>
        <rFont val="맑은 고딕"/>
        <family val="0"/>
        <charset val="1"/>
      </rPr>
      <t xml:space="preserve">· </t>
    </r>
    <r>
      <rPr>
        <sz val="11"/>
        <rFont val="WenQuanYi Zen Hei"/>
        <family val="2"/>
      </rPr>
      <t xml:space="preserve">출고예정일 </t>
    </r>
    <r>
      <rPr>
        <sz val="11"/>
        <rFont val="맑은 고딕"/>
        <family val="0"/>
        <charset val="1"/>
      </rPr>
      <t xml:space="preserve">= </t>
    </r>
    <r>
      <rPr>
        <sz val="11"/>
        <rFont val="WenQuanYi Zen Hei"/>
        <family val="2"/>
      </rPr>
      <t xml:space="preserve">예상출고일 주차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예</t>
    </r>
    <r>
      <rPr>
        <sz val="11"/>
        <rFont val="맑은 고딕"/>
        <family val="0"/>
        <charset val="1"/>
      </rPr>
      <t xml:space="preserve">: 1</t>
    </r>
    <r>
      <rPr>
        <sz val="11"/>
        <rFont val="WenQuanYi Zen Hei"/>
        <family val="2"/>
      </rPr>
      <t xml:space="preserve">월</t>
    </r>
    <r>
      <rPr>
        <sz val="11"/>
        <rFont val="맑은 고딕"/>
        <family val="0"/>
        <charset val="1"/>
      </rPr>
      <t xml:space="preserve">3</t>
    </r>
    <r>
      <rPr>
        <sz val="11"/>
        <rFont val="WenQuanYi Zen Hei"/>
        <family val="2"/>
      </rPr>
      <t xml:space="preserve">주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의 시작일로 환산 </t>
    </r>
    <r>
      <rPr>
        <sz val="11"/>
        <rFont val="맑은 고딕"/>
        <family val="0"/>
        <charset val="1"/>
      </rPr>
      <t xml:space="preserve">(1</t>
    </r>
    <r>
      <rPr>
        <sz val="11"/>
        <rFont val="WenQuanYi Zen Hei"/>
        <family val="2"/>
      </rPr>
      <t xml:space="preserve">주</t>
    </r>
    <r>
      <rPr>
        <sz val="11"/>
        <rFont val="맑은 고딕"/>
        <family val="0"/>
        <charset val="1"/>
      </rPr>
      <t xml:space="preserve">=1</t>
    </r>
    <r>
      <rPr>
        <sz val="11"/>
        <rFont val="WenQuanYi Zen Hei"/>
        <family val="2"/>
      </rPr>
      <t xml:space="preserve">일</t>
    </r>
    <r>
      <rPr>
        <sz val="11"/>
        <rFont val="맑은 고딕"/>
        <family val="0"/>
        <charset val="1"/>
      </rPr>
      <t xml:space="preserve">, 2</t>
    </r>
    <r>
      <rPr>
        <sz val="11"/>
        <rFont val="WenQuanYi Zen Hei"/>
        <family val="2"/>
      </rPr>
      <t xml:space="preserve">주</t>
    </r>
    <r>
      <rPr>
        <sz val="11"/>
        <rFont val="맑은 고딕"/>
        <family val="0"/>
        <charset val="1"/>
      </rPr>
      <t xml:space="preserve">=8</t>
    </r>
    <r>
      <rPr>
        <sz val="11"/>
        <rFont val="WenQuanYi Zen Hei"/>
        <family val="2"/>
      </rPr>
      <t xml:space="preserve">일</t>
    </r>
    <r>
      <rPr>
        <sz val="11"/>
        <rFont val="맑은 고딕"/>
        <family val="0"/>
        <charset val="1"/>
      </rPr>
      <t xml:space="preserve">, 3</t>
    </r>
    <r>
      <rPr>
        <sz val="11"/>
        <rFont val="WenQuanYi Zen Hei"/>
        <family val="2"/>
      </rPr>
      <t xml:space="preserve">주</t>
    </r>
    <r>
      <rPr>
        <sz val="11"/>
        <rFont val="맑은 고딕"/>
        <family val="0"/>
        <charset val="1"/>
      </rPr>
      <t xml:space="preserve">=15</t>
    </r>
    <r>
      <rPr>
        <sz val="11"/>
        <rFont val="WenQuanYi Zen Hei"/>
        <family val="2"/>
      </rPr>
      <t xml:space="preserve">일</t>
    </r>
    <r>
      <rPr>
        <sz val="11"/>
        <rFont val="맑은 고딕"/>
        <family val="0"/>
        <charset val="1"/>
      </rPr>
      <t xml:space="preserve">, 4</t>
    </r>
    <r>
      <rPr>
        <sz val="11"/>
        <rFont val="WenQuanYi Zen Hei"/>
        <family val="2"/>
      </rPr>
      <t xml:space="preserve">주</t>
    </r>
    <r>
      <rPr>
        <sz val="11"/>
        <rFont val="맑은 고딕"/>
        <family val="0"/>
        <charset val="1"/>
      </rPr>
      <t xml:space="preserve">=22</t>
    </r>
    <r>
      <rPr>
        <sz val="11"/>
        <rFont val="WenQuanYi Zen Hei"/>
        <family val="2"/>
      </rPr>
      <t xml:space="preserve">일 </t>
    </r>
    <r>
      <rPr>
        <sz val="11"/>
        <rFont val="맑은 고딕"/>
        <family val="0"/>
        <charset val="1"/>
      </rPr>
      <t xml:space="preserve">/ 9~12</t>
    </r>
    <r>
      <rPr>
        <sz val="11"/>
        <rFont val="WenQuanYi Zen Hei"/>
        <family val="2"/>
      </rPr>
      <t xml:space="preserve">월은 전년도</t>
    </r>
    <r>
      <rPr>
        <sz val="11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</si>
  <si>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· </t>
    </r>
    <r>
      <rPr>
        <sz val="11"/>
        <rFont val="WenQuanYi Zen Hei"/>
        <family val="2"/>
      </rPr>
      <t xml:space="preserve">소재입고 마감일 </t>
    </r>
    <r>
      <rPr>
        <sz val="11"/>
        <rFont val="맑은 고딕"/>
        <family val="0"/>
        <charset val="1"/>
      </rPr>
      <t xml:space="preserve">= </t>
    </r>
    <r>
      <rPr>
        <sz val="11"/>
        <rFont val="WenQuanYi Zen Hei"/>
        <family val="2"/>
      </rPr>
      <t xml:space="preserve">출고예정일 − </t>
    </r>
    <r>
      <rPr>
        <sz val="11"/>
        <rFont val="맑은 고딕"/>
        <family val="0"/>
        <charset val="1"/>
      </rPr>
      <t xml:space="preserve">90</t>
    </r>
    <r>
      <rPr>
        <sz val="11"/>
        <rFont val="WenQuanYi Zen Hei"/>
        <family val="2"/>
      </rPr>
      <t xml:space="preserve">일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리드타임은 </t>
    </r>
    <r>
      <rPr>
        <sz val="11"/>
        <rFont val="맑은 고딕"/>
        <family val="0"/>
        <charset val="1"/>
      </rPr>
      <t xml:space="preserve">[</t>
    </r>
    <r>
      <rPr>
        <sz val="11"/>
        <rFont val="WenQuanYi Zen Hei"/>
        <family val="2"/>
      </rPr>
      <t xml:space="preserve">기준정보</t>
    </r>
    <r>
      <rPr>
        <sz val="11"/>
        <rFont val="맑은 고딕"/>
        <family val="0"/>
        <charset val="1"/>
      </rPr>
      <t xml:space="preserve">] </t>
    </r>
    <r>
      <rPr>
        <sz val="11"/>
        <rFont val="WenQuanYi Zen Hei"/>
        <family val="2"/>
      </rPr>
      <t xml:space="preserve">시트에서 조정 가능</t>
    </r>
    <r>
      <rPr>
        <sz val="11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</si>
  <si>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· </t>
    </r>
    <r>
      <rPr>
        <sz val="11"/>
        <rFont val="WenQuanYi Zen Hei"/>
        <family val="2"/>
      </rPr>
      <t xml:space="preserve">작지 미등록</t>
    </r>
    <r>
      <rPr>
        <sz val="11"/>
        <rFont val="맑은 고딕"/>
        <family val="0"/>
        <charset val="1"/>
      </rPr>
      <t xml:space="preserve">(X) </t>
    </r>
    <r>
      <rPr>
        <sz val="11"/>
        <rFont val="WenQuanYi Zen Hei"/>
        <family val="2"/>
      </rPr>
      <t xml:space="preserve">또는 소재입고일 </t>
    </r>
    <r>
      <rPr>
        <sz val="11"/>
        <rFont val="맑은 고딕"/>
        <family val="0"/>
        <charset val="1"/>
      </rPr>
      <t xml:space="preserve">&gt; </t>
    </r>
    <r>
      <rPr>
        <sz val="11"/>
        <rFont val="WenQuanYi Zen Hei"/>
        <family val="2"/>
      </rPr>
      <t xml:space="preserve">마감일 → </t>
    </r>
    <r>
      <rPr>
        <sz val="11"/>
        <rFont val="맑은 고딕"/>
        <family val="0"/>
        <charset val="1"/>
      </rPr>
      <t xml:space="preserve">S</t>
    </r>
    <r>
      <rPr>
        <sz val="11"/>
        <rFont val="WenQuanYi Zen Hei"/>
        <family val="2"/>
      </rPr>
      <t xml:space="preserve">코드는 </t>
    </r>
    <r>
      <rPr>
        <sz val="11"/>
        <rFont val="맑은 고딕"/>
        <family val="0"/>
        <charset val="1"/>
      </rPr>
      <t xml:space="preserve">'★ </t>
    </r>
    <r>
      <rPr>
        <sz val="11"/>
        <rFont val="WenQuanYi Zen Hei"/>
        <family val="2"/>
      </rPr>
      <t xml:space="preserve">납기위험</t>
    </r>
    <r>
      <rPr>
        <sz val="11"/>
        <rFont val="맑은 고딕"/>
        <family val="0"/>
        <charset val="1"/>
      </rPr>
      <t xml:space="preserve">', </t>
    </r>
    <r>
      <rPr>
        <sz val="11"/>
        <rFont val="WenQuanYi Zen Hei"/>
        <family val="2"/>
      </rPr>
      <t xml:space="preserve">그 외 시즌은 </t>
    </r>
    <r>
      <rPr>
        <sz val="11"/>
        <rFont val="맑은 고딕"/>
        <family val="0"/>
        <charset val="1"/>
      </rPr>
      <t xml:space="preserve">'◆ </t>
    </r>
    <r>
      <rPr>
        <sz val="11"/>
        <rFont val="WenQuanYi Zen Hei"/>
        <family val="2"/>
      </rPr>
      <t xml:space="preserve">지연주의</t>
    </r>
    <r>
      <rPr>
        <sz val="11"/>
        <rFont val="맑은 고딕"/>
        <family val="0"/>
        <charset val="1"/>
      </rPr>
      <t xml:space="preserve">'</t>
    </r>
  </si>
  <si>
    <r>
      <rPr>
        <sz val="11"/>
        <rFont val="맑은 고딕"/>
        <family val="0"/>
        <charset val="1"/>
      </rPr>
      <t xml:space="preserve">· </t>
    </r>
    <r>
      <rPr>
        <sz val="11"/>
        <rFont val="WenQuanYi Zen Hei"/>
        <family val="2"/>
      </rPr>
      <t xml:space="preserve">작지</t>
    </r>
    <r>
      <rPr>
        <sz val="11"/>
        <rFont val="맑은 고딕"/>
        <family val="0"/>
        <charset val="1"/>
      </rPr>
      <t xml:space="preserve">/</t>
    </r>
    <r>
      <rPr>
        <sz val="11"/>
        <rFont val="WenQuanYi Zen Hei"/>
        <family val="2"/>
      </rPr>
      <t xml:space="preserve">소재일정 미입력 → </t>
    </r>
    <r>
      <rPr>
        <sz val="11"/>
        <rFont val="맑은 고딕"/>
        <family val="0"/>
        <charset val="1"/>
      </rPr>
      <t xml:space="preserve">'? </t>
    </r>
    <r>
      <rPr>
        <sz val="11"/>
        <rFont val="WenQuanYi Zen Hei"/>
        <family val="2"/>
      </rPr>
      <t xml:space="preserve">확인필요</t>
    </r>
    <r>
      <rPr>
        <sz val="11"/>
        <rFont val="맑은 고딕"/>
        <family val="0"/>
        <charset val="1"/>
      </rPr>
      <t xml:space="preserve">' (</t>
    </r>
    <r>
      <rPr>
        <sz val="11"/>
        <rFont val="WenQuanYi Zen Hei"/>
        <family val="2"/>
      </rPr>
      <t xml:space="preserve">담당 회신 필요</t>
    </r>
    <r>
      <rPr>
        <sz val="11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</si>
  <si>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· </t>
    </r>
    <r>
      <rPr>
        <sz val="11"/>
        <rFont val="WenQuanYi Zen Hei"/>
        <family val="2"/>
      </rPr>
      <t xml:space="preserve">소재입고 책임</t>
    </r>
    <r>
      <rPr>
        <sz val="11"/>
        <rFont val="맑은 고딕"/>
        <family val="0"/>
        <charset val="1"/>
      </rPr>
      <t xml:space="preserve">: CMT = </t>
    </r>
    <r>
      <rPr>
        <sz val="11"/>
        <rFont val="WenQuanYi Zen Hei"/>
        <family val="2"/>
      </rPr>
      <t xml:space="preserve">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 / </t>
    </r>
    <r>
      <rPr>
        <sz val="11"/>
        <rFont val="WenQuanYi Zen Hei"/>
        <family val="2"/>
      </rPr>
      <t xml:space="preserve">사입생산 </t>
    </r>
    <r>
      <rPr>
        <sz val="11"/>
        <rFont val="맑은 고딕"/>
        <family val="0"/>
        <charset val="1"/>
      </rPr>
      <t xml:space="preserve">= </t>
    </r>
    <r>
      <rPr>
        <sz val="11"/>
        <rFont val="WenQuanYi Zen Hei"/>
        <family val="2"/>
      </rPr>
      <t xml:space="preserve">생산처 — 생산구분 입력 시 자동 표기</t>
    </r>
  </si>
  <si>
    <r>
      <rPr>
        <b val="true"/>
        <sz val="12"/>
        <color rgb="FF2C5F2D"/>
        <rFont val="WenQuanYi Zen Hei"/>
        <family val="2"/>
      </rPr>
      <t xml:space="preserve">입력 안내 </t>
    </r>
    <r>
      <rPr>
        <b val="true"/>
        <sz val="12"/>
        <color rgb="FF2C5F2D"/>
        <rFont val="맑은 고딕"/>
        <family val="0"/>
        <charset val="1"/>
      </rPr>
      <t xml:space="preserve">(</t>
    </r>
    <r>
      <rPr>
        <b val="true"/>
        <sz val="12"/>
        <color rgb="FF2C5F2D"/>
        <rFont val="WenQuanYi Zen Hei"/>
        <family val="2"/>
      </rPr>
      <t xml:space="preserve">노란색 셀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입력</t>
    </r>
    <r>
      <rPr>
        <b val="true"/>
        <sz val="12"/>
        <color rgb="FF2C5F2D"/>
        <rFont val="맑은 고딕"/>
        <family val="0"/>
        <charset val="1"/>
      </rPr>
      <t xml:space="preserve">, </t>
    </r>
    <r>
      <rPr>
        <b val="true"/>
        <sz val="12"/>
        <color rgb="FF2C5F2D"/>
        <rFont val="WenQuanYi Zen Hei"/>
        <family val="2"/>
      </rPr>
      <t xml:space="preserve">검정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자동계산</t>
    </r>
    <r>
      <rPr>
        <b val="true"/>
        <sz val="12"/>
        <color rgb="FF2C5F2D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</si>
  <si>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· [</t>
    </r>
    <r>
      <rPr>
        <sz val="11"/>
        <rFont val="WenQuanYi Zen Hei"/>
        <family val="2"/>
      </rPr>
      <t xml:space="preserve">소재역산 트래커</t>
    </r>
    <r>
      <rPr>
        <sz val="11"/>
        <rFont val="맑은 고딕"/>
        <family val="0"/>
        <charset val="1"/>
      </rPr>
      <t xml:space="preserve">] </t>
    </r>
    <r>
      <rPr>
        <sz val="11"/>
        <rFont val="WenQuanYi Zen Hei"/>
        <family val="2"/>
      </rPr>
      <t xml:space="preserve">시트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작지등록</t>
    </r>
    <r>
      <rPr>
        <sz val="11"/>
        <rFont val="맑은 고딕"/>
        <family val="0"/>
        <charset val="1"/>
      </rPr>
      <t xml:space="preserve">(O/X), </t>
    </r>
    <r>
      <rPr>
        <sz val="11"/>
        <rFont val="WenQuanYi Zen Hei"/>
        <family val="2"/>
      </rPr>
      <t xml:space="preserve">소재입고 예정</t>
    </r>
    <r>
      <rPr>
        <sz val="11"/>
        <rFont val="맑은 고딕"/>
        <family val="0"/>
        <charset val="1"/>
      </rPr>
      <t xml:space="preserve">/</t>
    </r>
    <r>
      <rPr>
        <sz val="11"/>
        <rFont val="WenQuanYi Zen Hei"/>
        <family val="2"/>
      </rPr>
      <t xml:space="preserve">실제일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생산구분</t>
    </r>
    <r>
      <rPr>
        <sz val="11"/>
        <rFont val="맑은 고딕"/>
        <family val="0"/>
        <charset val="1"/>
      </rPr>
      <t xml:space="preserve">(CMT/</t>
    </r>
    <r>
      <rPr>
        <sz val="11"/>
        <rFont val="WenQuanYi Zen Hei"/>
        <family val="2"/>
      </rPr>
      <t xml:space="preserve">사입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조율상태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메모를 입력하세요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</si>
  <si>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· </t>
    </r>
    <r>
      <rPr>
        <sz val="11"/>
        <rFont val="WenQuanYi Zen Hei"/>
        <family val="2"/>
      </rPr>
      <t xml:space="preserve">예상출고일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주차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을 수정하면 마감일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판정이 자동 갱신됩니다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</si>
  <si>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· </t>
    </r>
    <r>
      <rPr>
        <sz val="11"/>
        <rFont val="WenQuanYi Zen Hei"/>
        <family val="2"/>
      </rPr>
      <t xml:space="preserve">스타일 추가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구글시트</t>
    </r>
    <r>
      <rPr>
        <sz val="11"/>
        <rFont val="맑은 고딕"/>
        <family val="0"/>
        <charset val="1"/>
      </rPr>
      <t xml:space="preserve">(27SS </t>
    </r>
    <r>
      <rPr>
        <sz val="11"/>
        <rFont val="WenQuanYi Zen Hei"/>
        <family val="2"/>
      </rPr>
      <t xml:space="preserve">상품운영안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에서 행을 복사해 맨 아래에 붙여넣고</t>
    </r>
    <r>
      <rPr>
        <sz val="11"/>
        <rFont val="맑은 고딕"/>
        <family val="0"/>
        <charset val="1"/>
      </rPr>
      <t xml:space="preserve">, E·H·I·J·N·Q·R</t>
    </r>
    <r>
      <rPr>
        <sz val="11"/>
        <rFont val="WenQuanYi Zen Hei"/>
        <family val="2"/>
      </rPr>
      <t xml:space="preserve">열 수식을 아래로 채우세요</t>
    </r>
    <r>
      <rPr>
        <sz val="11"/>
        <rFont val="맑은 고딕"/>
        <family val="0"/>
        <charset val="1"/>
      </rPr>
      <t xml:space="preserve">.</t>
    </r>
  </si>
  <si>
    <t xml:space="preserve">데이터 출처 및 한계</t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</si>
  <si>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구글시트 </t>
    </r>
    <r>
      <rPr>
        <sz val="10"/>
        <color rgb="FF666666"/>
        <rFont val="맑은 고딕"/>
        <family val="0"/>
        <charset val="1"/>
      </rPr>
      <t xml:space="preserve">'27SS </t>
    </r>
    <r>
      <rPr>
        <sz val="10"/>
        <color rgb="FF666666"/>
        <rFont val="WenQuanYi Zen Hei"/>
        <family val="2"/>
      </rPr>
      <t xml:space="preserve">상품운영안</t>
    </r>
    <r>
      <rPr>
        <sz val="10"/>
        <color rgb="FF666666"/>
        <rFont val="맑은 고딕"/>
        <family val="0"/>
        <charset val="1"/>
      </rPr>
      <t xml:space="preserve">' (2026-08-06 </t>
    </r>
    <r>
      <rPr>
        <sz val="10"/>
        <color rgb="FF666666"/>
        <rFont val="WenQuanYi Zen Hei"/>
        <family val="2"/>
      </rPr>
      <t xml:space="preserve">추출</t>
    </r>
    <r>
      <rPr>
        <sz val="10"/>
        <color rgb="FF666666"/>
        <rFont val="맑은 고딕"/>
        <family val="0"/>
        <charset val="1"/>
      </rPr>
      <t xml:space="preserve">). Drive </t>
    </r>
    <r>
      <rPr>
        <sz val="10"/>
        <color rgb="FF666666"/>
        <rFont val="WenQuanYi Zen Hei"/>
        <family val="2"/>
      </rPr>
      <t xml:space="preserve">내보내기 제한으로 이재헌</t>
    </r>
    <r>
      <rPr>
        <sz val="10"/>
        <color rgb="FF666666"/>
        <rFont val="맑은 고딕"/>
        <family val="0"/>
        <charset val="1"/>
      </rPr>
      <t xml:space="preserve">·</t>
    </r>
    <r>
      <rPr>
        <sz val="10"/>
        <color rgb="FF666666"/>
        <rFont val="WenQuanYi Zen Hei"/>
        <family val="2"/>
      </rPr>
      <t xml:space="preserve">정영준 </t>
    </r>
    <r>
      <rPr>
        <sz val="10"/>
        <color rgb="FF666666"/>
        <rFont val="맑은 고딕"/>
        <family val="0"/>
        <charset val="1"/>
      </rPr>
      <t xml:space="preserve">MD </t>
    </r>
    <r>
      <rPr>
        <sz val="10"/>
        <color rgb="FF666666"/>
        <rFont val="WenQuanYi Zen Hei"/>
        <family val="2"/>
      </rPr>
      <t xml:space="preserve">스타일</t>
    </r>
    <r>
      <rPr>
        <sz val="10"/>
        <color rgb="FF666666"/>
        <rFont val="맑은 고딕"/>
        <family val="0"/>
        <charset val="1"/>
      </rPr>
      <t xml:space="preserve">(84</t>
    </r>
    <r>
      <rPr>
        <sz val="10"/>
        <color rgb="FF666666"/>
        <rFont val="WenQuanYi Zen Hei"/>
        <family val="2"/>
      </rPr>
      <t xml:space="preserve">건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중심으로 반영됨</t>
    </r>
    <r>
      <rPr>
        <sz val="10"/>
        <color rgb="FF666666"/>
        <rFont val="맑은 고딕"/>
        <family val="0"/>
        <charset val="1"/>
      </rPr>
      <t xml:space="preserve">.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</si>
  <si>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다른 </t>
    </r>
    <r>
      <rPr>
        <sz val="10"/>
        <color rgb="FF666666"/>
        <rFont val="맑은 고딕"/>
        <family val="0"/>
        <charset val="1"/>
      </rPr>
      <t xml:space="preserve">MD(</t>
    </r>
    <r>
      <rPr>
        <sz val="10"/>
        <color rgb="FF666666"/>
        <rFont val="WenQuanYi Zen Hei"/>
        <family val="2"/>
      </rPr>
      <t xml:space="preserve">박지인</t>
    </r>
    <r>
      <rPr>
        <sz val="10"/>
        <color rgb="FF666666"/>
        <rFont val="맑은 고딕"/>
        <family val="0"/>
        <charset val="1"/>
      </rPr>
      <t xml:space="preserve">·</t>
    </r>
    <r>
      <rPr>
        <sz val="10"/>
        <color rgb="FF666666"/>
        <rFont val="WenQuanYi Zen Hei"/>
        <family val="2"/>
      </rPr>
      <t xml:space="preserve">문도혁</t>
    </r>
    <r>
      <rPr>
        <sz val="10"/>
        <color rgb="FF666666"/>
        <rFont val="맑은 고딕"/>
        <family val="0"/>
        <charset val="1"/>
      </rPr>
      <t xml:space="preserve">·</t>
    </r>
    <r>
      <rPr>
        <sz val="10"/>
        <color rgb="FF666666"/>
        <rFont val="WenQuanYi Zen Hei"/>
        <family val="2"/>
      </rPr>
      <t xml:space="preserve">김준래</t>
    </r>
    <r>
      <rPr>
        <sz val="10"/>
        <color rgb="FF666666"/>
        <rFont val="맑은 고딕"/>
        <family val="0"/>
        <charset val="1"/>
      </rPr>
      <t xml:space="preserve">·</t>
    </r>
    <r>
      <rPr>
        <sz val="10"/>
        <color rgb="FF666666"/>
        <rFont val="WenQuanYi Zen Hei"/>
        <family val="2"/>
      </rPr>
      <t xml:space="preserve">박술홍</t>
    </r>
    <r>
      <rPr>
        <sz val="10"/>
        <color rgb="FF666666"/>
        <rFont val="맑은 고딕"/>
        <family val="0"/>
        <charset val="1"/>
      </rPr>
      <t xml:space="preserve">·</t>
    </r>
    <r>
      <rPr>
        <sz val="10"/>
        <color rgb="FF666666"/>
        <rFont val="WenQuanYi Zen Hei"/>
        <family val="2"/>
      </rPr>
      <t xml:space="preserve">최진민</t>
    </r>
    <r>
      <rPr>
        <sz val="10"/>
        <color rgb="FF666666"/>
        <rFont val="맑은 고딕"/>
        <family val="0"/>
        <charset val="1"/>
      </rPr>
      <t xml:space="preserve">·</t>
    </r>
    <r>
      <rPr>
        <sz val="10"/>
        <color rgb="FF666666"/>
        <rFont val="WenQuanYi Zen Hei"/>
        <family val="2"/>
      </rPr>
      <t xml:space="preserve">박진아 등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스타일은 구글시트에서 복사해 추가 필요</t>
    </r>
    <r>
      <rPr>
        <sz val="10"/>
        <color rgb="FF666666"/>
        <rFont val="맑은 고딕"/>
        <family val="0"/>
        <charset val="1"/>
      </rPr>
      <t xml:space="preserve">.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</si>
  <si>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작지등록 여부는 소재차트 탭에서 확인된 스타일만 선반영</t>
    </r>
    <r>
      <rPr>
        <sz val="10"/>
        <color rgb="FF666666"/>
        <rFont val="맑은 고딕"/>
        <family val="0"/>
        <charset val="1"/>
      </rPr>
      <t xml:space="preserve">(O/X), </t>
    </r>
    <r>
      <rPr>
        <sz val="10"/>
        <color rgb="FF666666"/>
        <rFont val="WenQuanYi Zen Hei"/>
        <family val="2"/>
      </rPr>
      <t xml:space="preserve">나머지는 공란 →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확인필요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로 표시됨</t>
    </r>
    <r>
      <rPr>
        <sz val="10"/>
        <color rgb="FF666666"/>
        <rFont val="맑은 고딕"/>
        <family val="0"/>
        <charset val="1"/>
      </rPr>
      <t xml:space="preserve">.</t>
    </r>
  </si>
  <si>
    <r>
      <rPr>
        <b val="true"/>
        <sz val="13"/>
        <color rgb="FFFFFFFF"/>
        <rFont val="WenQuanYi Zen Hei"/>
        <family val="2"/>
      </rPr>
      <t xml:space="preserve">기준정보 </t>
    </r>
    <r>
      <rPr>
        <b val="true"/>
        <sz val="13"/>
        <color rgb="FFFFFFFF"/>
        <rFont val="맑은 고딕"/>
        <family val="0"/>
        <charset val="1"/>
      </rPr>
      <t xml:space="preserve">(</t>
    </r>
    <r>
      <rPr>
        <b val="true"/>
        <sz val="13"/>
        <color rgb="FFFFFFFF"/>
        <rFont val="WenQuanYi Zen Hei"/>
        <family val="2"/>
      </rPr>
      <t xml:space="preserve">노란색 </t>
    </r>
    <r>
      <rPr>
        <b val="true"/>
        <sz val="13"/>
        <color rgb="FFFFFFFF"/>
        <rFont val="맑은 고딕"/>
        <family val="0"/>
        <charset val="1"/>
      </rPr>
      <t xml:space="preserve">= </t>
    </r>
    <r>
      <rPr>
        <b val="true"/>
        <sz val="13"/>
        <color rgb="FFFFFFFF"/>
        <rFont val="WenQuanYi Zen Hei"/>
        <family val="2"/>
      </rPr>
      <t xml:space="preserve">조정 가능한 입력값</t>
    </r>
    <r>
      <rPr>
        <b val="true"/>
        <sz val="13"/>
        <color rgb="FFFFFFFF"/>
        <rFont val="맑은 고딕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</si>
  <si>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기준일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오늘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</si>
  <si>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판정 기준일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파일 열 때 자동 갱신</t>
    </r>
  </si>
  <si>
    <r>
      <rPr>
        <b val="true"/>
        <sz val="11"/>
        <rFont val="WenQuanYi Zen Hei"/>
        <family val="2"/>
      </rPr>
      <t xml:space="preserve">소재입고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</si>
  <si>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출고일 기준 역산 일수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봉제</t>
    </r>
    <r>
      <rPr>
        <sz val="9"/>
        <color rgb="FF666666"/>
        <rFont val="맑은 고딕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검품</t>
    </r>
    <r>
      <rPr>
        <sz val="9"/>
        <color rgb="FF666666"/>
        <rFont val="맑은 고딕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물류 리드타임</t>
    </r>
    <r>
      <rPr>
        <sz val="9"/>
        <color rgb="FF666666"/>
        <rFont val="맑은 고딕"/>
        <family val="0"/>
        <charset val="1"/>
      </rPr>
      <t xml:space="preserve">)</t>
    </r>
  </si>
  <si>
    <t xml:space="preserve">시즌 연도</t>
  </si>
  <si>
    <r>
      <rPr>
        <sz val="9"/>
        <color rgb="FF666666"/>
        <rFont val="맑은 고딕"/>
        <family val="0"/>
        <charset val="1"/>
      </rPr>
      <t xml:space="preserve">27SS </t>
    </r>
    <r>
      <rPr>
        <sz val="9"/>
        <color rgb="FF666666"/>
        <rFont val="WenQuanYi Zen Hei"/>
        <family val="2"/>
      </rPr>
      <t xml:space="preserve">출고 연도</t>
    </r>
    <r>
      <rPr>
        <sz val="9"/>
        <color rgb="FF666666"/>
        <rFont val="맑은 고딕"/>
        <family val="0"/>
        <charset val="1"/>
      </rPr>
      <t xml:space="preserve">. 9~12</t>
    </r>
    <r>
      <rPr>
        <sz val="9"/>
        <color rgb="FF666666"/>
        <rFont val="WenQuanYi Zen Hei"/>
        <family val="2"/>
      </rPr>
      <t xml:space="preserve">월 주차는 전년</t>
    </r>
    <r>
      <rPr>
        <sz val="9"/>
        <color rgb="FF666666"/>
        <rFont val="맑은 고딕"/>
        <family val="0"/>
        <charset val="1"/>
      </rPr>
      <t xml:space="preserve">(2026)</t>
    </r>
    <r>
      <rPr>
        <sz val="9"/>
        <color rgb="FF666666"/>
        <rFont val="WenQuanYi Zen Hei"/>
        <family val="2"/>
      </rPr>
      <t xml:space="preserve">으로 환산</t>
    </r>
  </si>
  <si>
    <t xml:space="preserve">소재입고 책임 구분</t>
  </si>
  <si>
    <t xml:space="preserve">CMT</t>
  </si>
  <si>
    <r>
      <rPr>
        <sz val="11"/>
        <rFont val="WenQuanYi Zen Hei"/>
        <family val="2"/>
      </rPr>
      <t xml:space="preserve">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 </t>
    </r>
    <r>
      <rPr>
        <sz val="11"/>
        <rFont val="WenQuanYi Zen Hei"/>
        <family val="2"/>
      </rPr>
      <t xml:space="preserve">책임 — 소재 발주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본사 컨트롤</t>
    </r>
  </si>
  <si>
    <t xml:space="preserve">사입</t>
  </si>
  <si>
    <r>
      <rPr>
        <sz val="11"/>
        <rFont val="WenQuanYi Zen Hei"/>
        <family val="2"/>
      </rPr>
      <t xml:space="preserve">생산처 책임 — 생산처가 소재 수배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컨트롤</t>
    </r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</si>
  <si>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역산 트래커 — 출고계획일 기준 </t>
    </r>
    <r>
      <rPr>
        <b val="true"/>
        <sz val="14"/>
        <color rgb="FFFFFFFF"/>
        <rFont val="맑은 고딕"/>
        <family val="0"/>
        <charset val="1"/>
      </rPr>
      <t xml:space="preserve">D-90 </t>
    </r>
    <r>
      <rPr>
        <b val="true"/>
        <sz val="14"/>
        <color rgb="FFFFFFFF"/>
        <rFont val="WenQuanYi Zen Hei"/>
        <family val="2"/>
      </rPr>
      <t xml:space="preserve">소재입고 마감 관리</t>
    </r>
  </si>
  <si>
    <r>
      <rPr>
        <sz val="10"/>
        <color rgb="FF666666"/>
        <rFont val="WenQuanYi Zen Hei"/>
        <family val="2"/>
      </rPr>
      <t xml:space="preserve">기준일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</si>
  <si>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666666"/>
        <rFont val="WenQuanYi Zen Hei"/>
        <family val="2"/>
      </rPr>
      <t xml:space="preserve">리드타임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</si>
  <si>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E8474C"/>
        <rFont val="WenQuanYi Zen Hei"/>
        <family val="2"/>
      </rPr>
      <t xml:space="preserve">노란색 셀 </t>
    </r>
    <r>
      <rPr>
        <sz val="10"/>
        <color rgb="FFE8474C"/>
        <rFont val="맑은 고딕"/>
        <family val="0"/>
        <charset val="1"/>
      </rPr>
      <t xml:space="preserve">= </t>
    </r>
    <r>
      <rPr>
        <sz val="10"/>
        <color rgb="FFE8474C"/>
        <rFont val="WenQuanYi Zen Hei"/>
        <family val="2"/>
      </rPr>
      <t xml:space="preserve">입력 </t>
    </r>
    <r>
      <rPr>
        <sz val="10"/>
        <color rgb="FFE8474C"/>
        <rFont val="맑은 고딕"/>
        <family val="0"/>
        <charset val="1"/>
      </rPr>
      <t xml:space="preserve">/ </t>
    </r>
    <r>
      <rPr>
        <sz val="10"/>
        <color rgb="FFE8474C"/>
        <rFont val="WenQuanYi Zen Hei"/>
        <family val="2"/>
      </rPr>
      <t xml:space="preserve">나머지 </t>
    </r>
    <r>
      <rPr>
        <sz val="10"/>
        <color rgb="FFE8474C"/>
        <rFont val="맑은 고딕"/>
        <family val="0"/>
        <charset val="1"/>
      </rPr>
      <t xml:space="preserve">= </t>
    </r>
    <r>
      <rPr>
        <sz val="10"/>
        <color rgb="FFE8474C"/>
        <rFont val="WenQuanYi Zen Hei"/>
        <family val="2"/>
      </rPr>
      <t xml:space="preserve">자동계산  </t>
    </r>
    <r>
      <rPr>
        <sz val="10"/>
        <color rgb="FFE8474C"/>
        <rFont val="맑은 고딕"/>
        <family val="0"/>
        <charset val="1"/>
      </rPr>
      <t xml:space="preserve">·  ★ </t>
    </r>
    <r>
      <rPr>
        <sz val="10"/>
        <color rgb="FFE8474C"/>
        <rFont val="WenQuanYi Zen Hei"/>
        <family val="2"/>
      </rPr>
      <t xml:space="preserve">납기위험 </t>
    </r>
    <r>
      <rPr>
        <sz val="10"/>
        <color rgb="FFE8474C"/>
        <rFont val="맑은 고딕"/>
        <family val="0"/>
        <charset val="1"/>
      </rPr>
      <t xml:space="preserve">= S</t>
    </r>
    <r>
      <rPr>
        <sz val="10"/>
        <color rgb="FFE8474C"/>
        <rFont val="WenQuanYi Zen Hei"/>
        <family val="2"/>
      </rPr>
      <t xml:space="preserve">코드</t>
    </r>
    <r>
      <rPr>
        <sz val="10"/>
        <color rgb="FFE8474C"/>
        <rFont val="맑은 고딕"/>
        <family val="0"/>
        <charset val="1"/>
      </rPr>
      <t xml:space="preserve">(</t>
    </r>
    <r>
      <rPr>
        <sz val="10"/>
        <color rgb="FFE8474C"/>
        <rFont val="WenQuanYi Zen Hei"/>
        <family val="2"/>
      </rPr>
      <t xml:space="preserve">봄</t>
    </r>
    <r>
      <rPr>
        <sz val="10"/>
        <color rgb="FFE8474C"/>
        <rFont val="맑은 고딕"/>
        <family val="0"/>
        <charset val="1"/>
      </rPr>
      <t xml:space="preserve">) </t>
    </r>
    <r>
      <rPr>
        <sz val="10"/>
        <color rgb="FFE8474C"/>
        <rFont val="WenQuanYi Zen Hei"/>
        <family val="2"/>
      </rPr>
      <t xml:space="preserve">중 작지미등록 또는 소재마감 초과</t>
    </r>
  </si>
  <si>
    <t xml:space="preserve">NO</t>
  </si>
  <si>
    <t xml:space="preserve">MD</t>
  </si>
  <si>
    <t xml:space="preserve">Style Code</t>
  </si>
  <si>
    <t xml:space="preserve">품명</t>
  </si>
  <si>
    <t xml:space="preserve">시즌</t>
  </si>
  <si>
    <t xml:space="preserve">테마</t>
  </si>
  <si>
    <r>
      <rPr>
        <b val="true"/>
        <sz val="10"/>
        <color rgb="FFFFFFFF"/>
        <rFont val="WenQuanYi Zen Hei"/>
        <family val="2"/>
      </rPr>
      <t xml:space="preserve">예상출고일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주차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</si>
  <si>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출고예정일</t>
  </si>
  <si>
    <r>
      <rPr>
        <b val="true"/>
        <sz val="10"/>
        <color rgb="FFFFFFFF"/>
        <rFont val="WenQuanYi Zen Hei"/>
        <family val="2"/>
      </rPr>
      <t xml:space="preserve">소재입고 마감일</t>
    </r>
    <r>
      <rPr>
        <b val="true"/>
        <sz val="10"/>
        <color rgb="FFFFFFFF"/>
        <rFont val="맑은 고딕"/>
        <family val="0"/>
        <charset val="1"/>
      </rPr>
      <t xml:space="preserve">(D-90)</t>
    </r>
  </si>
  <si>
    <r>
      <rPr>
        <b val="true"/>
        <sz val="10"/>
        <color rgb="FFFFFFFF"/>
        <rFont val="WenQuanYi Zen Hei"/>
        <family val="2"/>
      </rPr>
      <t xml:space="preserve">마감까지 </t>
    </r>
    <r>
      <rPr>
        <b val="true"/>
        <sz val="10"/>
        <color rgb="FFFFFFFF"/>
        <rFont val="맑은 고딕"/>
        <family val="0"/>
        <charset val="1"/>
      </rPr>
      <t xml:space="preserve">D-day</t>
    </r>
  </si>
  <si>
    <r>
      <rPr>
        <b val="true"/>
        <sz val="10"/>
        <color rgb="FFFFFFFF"/>
        <rFont val="WenQuanYi Zen Hei"/>
        <family val="2"/>
      </rPr>
      <t xml:space="preserve">작지등록</t>
    </r>
    <r>
      <rPr>
        <b val="true"/>
        <sz val="10"/>
        <color rgb="FFFFFFFF"/>
        <rFont val="맑은 고딕"/>
        <family val="0"/>
        <charset val="1"/>
      </rPr>
      <t xml:space="preserve">(O/X)</t>
    </r>
  </si>
  <si>
    <r>
      <rPr>
        <b val="true"/>
        <sz val="10"/>
        <color rgb="FFFFFFFF"/>
        <rFont val="WenQuanYi Zen Hei"/>
        <family val="2"/>
      </rPr>
      <t xml:space="preserve">소재입고 예정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실제일</t>
    </r>
  </si>
  <si>
    <r>
      <rPr>
        <b val="true"/>
        <sz val="10"/>
        <color rgb="FFFFFFFF"/>
        <rFont val="WenQuanYi Zen Hei"/>
        <family val="2"/>
      </rPr>
      <t xml:space="preserve">생산구분</t>
    </r>
    <r>
      <rPr>
        <b val="true"/>
        <sz val="10"/>
        <color rgb="FFFFFFFF"/>
        <rFont val="맑은 고딕"/>
        <family val="0"/>
        <charset val="1"/>
      </rPr>
      <t xml:space="preserve">(CMT/</t>
    </r>
    <r>
      <rPr>
        <b val="true"/>
        <sz val="10"/>
        <color rgb="FFFFFFFF"/>
        <rFont val="WenQuanYi Zen Hei"/>
        <family val="2"/>
      </rPr>
      <t xml:space="preserve">사입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</si>
  <si>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소재입고 책임</t>
  </si>
  <si>
    <t xml:space="preserve">생산처</t>
  </si>
  <si>
    <t xml:space="preserve">원단처</t>
  </si>
  <si>
    <t xml:space="preserve">리스크 사유</t>
  </si>
  <si>
    <t xml:space="preserve">판정</t>
  </si>
  <si>
    <t xml:space="preserve">조율상태</t>
  </si>
  <si>
    <r>
      <rPr>
        <b val="true"/>
        <sz val="10"/>
        <color rgb="FFFFFFFF"/>
        <rFont val="WenQuanYi Zen Hei"/>
        <family val="2"/>
      </rPr>
      <t xml:space="preserve">메모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조치사항</t>
    </r>
  </si>
  <si>
    <t xml:space="preserve">최진민</t>
  </si>
  <si>
    <t xml:space="preserve">JWJGS27001</t>
  </si>
  <si>
    <t xml:space="preserve">Mountaineering &amp; Climbing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</si>
  <si>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</si>
  <si>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O</t>
  </si>
  <si>
    <t xml:space="preserve">포마트</t>
  </si>
  <si>
    <t xml:space="preserve">김난이</t>
  </si>
  <si>
    <t xml:space="preserve">박진아</t>
  </si>
  <si>
    <t xml:space="preserve">JKTBS27102</t>
  </si>
  <si>
    <t xml:space="preserve">Hiking S2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</si>
  <si>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</si>
  <si>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이재헌</t>
  </si>
  <si>
    <t xml:space="preserve">JWJJS27131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</si>
  <si>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</si>
  <si>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JWTBS27111</t>
  </si>
  <si>
    <t xml:space="preserve">남성 하이브리드 긴팔 집업 티셔츠</t>
  </si>
  <si>
    <t xml:space="preserve">JWTBS27113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</si>
  <si>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라운드 티셔츠</t>
    </r>
  </si>
  <si>
    <t xml:space="preserve">JWTBS27115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</si>
  <si>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집업 티셔츠</t>
    </r>
  </si>
  <si>
    <t xml:space="preserve">JWVAS27131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</si>
  <si>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</si>
  <si>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정영준</t>
  </si>
  <si>
    <t xml:space="preserve">TLJJS27501</t>
  </si>
  <si>
    <t xml:space="preserve">춘절 남성 패딩 헤링턴 재킷</t>
  </si>
  <si>
    <t xml:space="preserve">Structural Hybrid</t>
  </si>
  <si>
    <t xml:space="preserve">TLJJS27521</t>
  </si>
  <si>
    <r>
      <rPr>
        <sz val="10"/>
        <rFont val="WenQuanYi Zen Hei"/>
        <family val="2"/>
      </rPr>
      <t xml:space="preserve">춘절 남성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후드 방수 재킷</t>
    </r>
  </si>
  <si>
    <t xml:space="preserve">TLJJS27551</t>
  </si>
  <si>
    <t xml:space="preserve">춘절 남성 키퍼 스탠드넥 재킷</t>
  </si>
  <si>
    <t xml:space="preserve">유통특화</t>
  </si>
  <si>
    <t xml:space="preserve">TVPNS27512</t>
  </si>
  <si>
    <t xml:space="preserve">춘절 여성 베이직 커브드 팬츠</t>
  </si>
  <si>
    <t xml:space="preserve">TVPNS27522</t>
  </si>
  <si>
    <t xml:space="preserve">춘절 여성 루즈 커브드 팬츠</t>
  </si>
  <si>
    <t xml:space="preserve">TVPNS27532</t>
  </si>
  <si>
    <t xml:space="preserve">춘절 여성 부츠컷 팬츠</t>
  </si>
  <si>
    <t xml:space="preserve">TVPNS27542</t>
  </si>
  <si>
    <t xml:space="preserve">춘절 여성 레귤러핏 팬츠</t>
  </si>
  <si>
    <t xml:space="preserve">JWTBS27117</t>
  </si>
  <si>
    <t xml:space="preserve">남성 퀵드라이 바라클라바 긴팔 후드 티셔츠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</si>
  <si>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</si>
  <si>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JWTBS27119</t>
  </si>
  <si>
    <t xml:space="preserve">남성 자가드 긴팔 집업 티셔츠</t>
  </si>
  <si>
    <t xml:space="preserve">JKJGS27102</t>
  </si>
  <si>
    <t xml:space="preserve">여성 윈드체이서 고어텍스 후드 방수 재킷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</si>
  <si>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</si>
  <si>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JKJGS27104</t>
  </si>
  <si>
    <t xml:space="preserve">여성 고어텍스 후드 디테쳐블 방수 재킷</t>
  </si>
  <si>
    <t xml:space="preserve">JKJWS27106</t>
  </si>
  <si>
    <t xml:space="preserve">여성 고어윈드스토퍼 후드 디테쳐블 재킷</t>
  </si>
  <si>
    <t xml:space="preserve">JWJGS27101</t>
  </si>
  <si>
    <t xml:space="preserve">남성 윈드체이서 고어텍스 후드 방수 재킷</t>
  </si>
  <si>
    <t xml:space="preserve">JWJGS27103</t>
  </si>
  <si>
    <t xml:space="preserve">남성 고어텍스 후드 디테쳐블 방수 재킷</t>
  </si>
  <si>
    <t xml:space="preserve">JWJJS27135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</si>
  <si>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</si>
  <si>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t xml:space="preserve">JWJWS27105</t>
  </si>
  <si>
    <t xml:space="preserve">남성 고어윈드스토퍼 인후드 재킷</t>
  </si>
  <si>
    <t xml:space="preserve">TLJJS27503</t>
  </si>
  <si>
    <t xml:space="preserve">춘절 남성 소프트쉘 헤링턴 재킷</t>
  </si>
  <si>
    <t xml:space="preserve">TLJJS27511</t>
  </si>
  <si>
    <t xml:space="preserve">춘절 남성 소프트안감 드리즐러 재킷</t>
  </si>
  <si>
    <t xml:space="preserve">TLJJS27531</t>
  </si>
  <si>
    <r>
      <rPr>
        <sz val="10"/>
        <rFont val="WenQuanYi Zen Hei"/>
        <family val="2"/>
      </rPr>
      <t xml:space="preserve">춘절 남성 소프트필 재킷 </t>
    </r>
    <r>
      <rPr>
        <sz val="10"/>
        <rFont val="맑은 고딕"/>
        <family val="0"/>
        <charset val="1"/>
      </rPr>
      <t xml:space="preserve">(SET-UP)</t>
    </r>
  </si>
  <si>
    <t xml:space="preserve">TLJJS27541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</si>
  <si>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이지 재킷 </t>
    </r>
    <r>
      <rPr>
        <sz val="10"/>
        <rFont val="맑은 고딕"/>
        <family val="0"/>
        <charset val="1"/>
      </rPr>
      <t xml:space="preserve">(SET-UP)</t>
    </r>
  </si>
  <si>
    <t xml:space="preserve">TLJJS27561</t>
  </si>
  <si>
    <t xml:space="preserve">춘절 남성 인후드 재킷</t>
  </si>
  <si>
    <t xml:space="preserve">문도혁</t>
  </si>
  <si>
    <t xml:space="preserve">TVJJS27542</t>
  </si>
  <si>
    <t xml:space="preserve">TVPNS27552</t>
  </si>
  <si>
    <r>
      <rPr>
        <sz val="10"/>
        <rFont val="WenQuanYi Zen Hei"/>
        <family val="2"/>
      </rPr>
      <t xml:space="preserve">춘절 여성 소프트필 조거 팬츠 </t>
    </r>
    <r>
      <rPr>
        <sz val="10"/>
        <rFont val="맑은 고딕"/>
        <family val="0"/>
        <charset val="1"/>
      </rPr>
      <t xml:space="preserve">(SET-UP)</t>
    </r>
  </si>
  <si>
    <t xml:space="preserve">TVPNS27902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</si>
  <si>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여성 세미 부츠컷 데님 팬츠</t>
    </r>
  </si>
  <si>
    <t xml:space="preserve">TVPOS27502</t>
  </si>
  <si>
    <r>
      <rPr>
        <sz val="10"/>
        <rFont val="WenQuanYi Zen Hei"/>
        <family val="2"/>
      </rPr>
      <t xml:space="preserve">춘절 여성 롱 스커트 </t>
    </r>
    <r>
      <rPr>
        <sz val="10"/>
        <rFont val="맑은 고딕"/>
        <family val="0"/>
        <charset val="1"/>
      </rPr>
      <t xml:space="preserve">(SET-UP)</t>
    </r>
  </si>
  <si>
    <t xml:space="preserve">JWJJS27107</t>
  </si>
  <si>
    <t xml:space="preserve">남녀공용 우의</t>
  </si>
  <si>
    <t xml:space="preserve">Hiking M1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</si>
  <si>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</si>
  <si>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JWJJS27109</t>
  </si>
  <si>
    <t xml:space="preserve">JWTBS27101</t>
  </si>
  <si>
    <t xml:space="preserve">남성 베이직 긴팔 집업 티셔츠</t>
  </si>
  <si>
    <t xml:space="preserve">JWTBS27103</t>
  </si>
  <si>
    <t xml:space="preserve">남성 베이직 긴팔 라운드 티셔츠</t>
  </si>
  <si>
    <t xml:space="preserve">JWTBS27107</t>
  </si>
  <si>
    <t xml:space="preserve">JWTBS27109</t>
  </si>
  <si>
    <t xml:space="preserve">JWVAS27109</t>
  </si>
  <si>
    <t xml:space="preserve">남성 유틸리티 스탠드넥 베스트</t>
  </si>
  <si>
    <t xml:space="preserve">JWVAS27907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</si>
  <si>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유틸리티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넥 베스트</t>
    </r>
  </si>
  <si>
    <t xml:space="preserve">JWTBM27121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</si>
  <si>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</si>
  <si>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</si>
  <si>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JWTBM27125</t>
  </si>
  <si>
    <r>
      <rPr>
        <sz val="10"/>
        <rFont val="WenQuanYi Zen Hei"/>
        <family val="2"/>
      </rPr>
      <t xml:space="preserve">남성 우븐 하프집업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타공 디테일</t>
    </r>
    <r>
      <rPr>
        <sz val="10"/>
        <rFont val="맑은 고딕"/>
        <family val="0"/>
        <charset val="1"/>
      </rPr>
      <t xml:space="preserve">)</t>
    </r>
  </si>
  <si>
    <t xml:space="preserve">JWTBM27127</t>
  </si>
  <si>
    <t xml:space="preserve">김준래</t>
  </si>
  <si>
    <t xml:space="preserve">TLSXM27521</t>
  </si>
  <si>
    <t xml:space="preserve">JWJJM27141</t>
  </si>
  <si>
    <r>
      <rPr>
        <sz val="10"/>
        <rFont val="WenQuanYi Zen Hei"/>
        <family val="2"/>
      </rPr>
      <t xml:space="preserve">남성 소프트쉘 재킷 </t>
    </r>
    <r>
      <rPr>
        <sz val="10"/>
        <rFont val="맑은 고딕"/>
        <family val="0"/>
        <charset val="1"/>
      </rPr>
      <t xml:space="preserve">(SET UP)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</si>
  <si>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</si>
  <si>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JWJJM27171</t>
  </si>
  <si>
    <t xml:space="preserve">남성 제노아 경량 인후드 방풍 재킷</t>
  </si>
  <si>
    <t xml:space="preserve">Hiking m1</t>
  </si>
  <si>
    <t xml:space="preserve">TLJJM27501</t>
  </si>
  <si>
    <t xml:space="preserve">하절 남성 경량 재킷</t>
  </si>
  <si>
    <t xml:space="preserve">EV Summer 1</t>
  </si>
  <si>
    <t xml:space="preserve">TLJJM27511</t>
  </si>
  <si>
    <t xml:space="preserve">하절 남성 윈드포레스트 패커블 방풍 재킷</t>
  </si>
  <si>
    <t xml:space="preserve">박술홍</t>
  </si>
  <si>
    <t xml:space="preserve">TLJJM27701</t>
  </si>
  <si>
    <t xml:space="preserve">Trail Running</t>
  </si>
  <si>
    <t xml:space="preserve">TLJJM27703</t>
  </si>
  <si>
    <t xml:space="preserve">TVPNM27502</t>
  </si>
  <si>
    <t xml:space="preserve">하절 여성 베이직 크롭 세미 와이드 팬츠</t>
  </si>
  <si>
    <t xml:space="preserve">TVPNM27522</t>
  </si>
  <si>
    <t xml:space="preserve">하절 여성 카고조거 팬츠</t>
  </si>
  <si>
    <t xml:space="preserve">TVPNM27532</t>
  </si>
  <si>
    <t xml:space="preserve">하절 여성 와이드 팬츠</t>
  </si>
  <si>
    <t xml:space="preserve">EV Summer 2</t>
  </si>
  <si>
    <t xml:space="preserve">TVPNM27904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</si>
  <si>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쿨맥스 레귤러핏 데님 팬츠</t>
    </r>
  </si>
  <si>
    <t xml:space="preserve">JWJJM27151</t>
  </si>
  <si>
    <t xml:space="preserve">남성 윈드케이 경량 방풍 재킷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</si>
  <si>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</si>
  <si>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JWJJM27155</t>
  </si>
  <si>
    <t xml:space="preserve">남성 고강력사 방풍 재킷</t>
  </si>
  <si>
    <t xml:space="preserve">JWTBM27165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</si>
  <si>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집업 티셔츠</t>
    </r>
  </si>
  <si>
    <t xml:space="preserve">JWTBM27167</t>
  </si>
  <si>
    <t xml:space="preserve">JWTBM27181</t>
  </si>
  <si>
    <t xml:space="preserve">남녀공용 솔솔 에어도트 하이브리드 긴팔 티셔츠</t>
  </si>
  <si>
    <t xml:space="preserve">JWTCM27157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</si>
  <si>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</si>
  <si>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JWTCM27159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</si>
  <si>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</si>
  <si>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JWTCM27161</t>
  </si>
  <si>
    <t xml:space="preserve">JWTCM27163</t>
  </si>
  <si>
    <t xml:space="preserve">JWVAM27101</t>
  </si>
  <si>
    <t xml:space="preserve">남성 에센셜 경량 베스트</t>
  </si>
  <si>
    <t xml:space="preserve">TVPNM27542</t>
  </si>
  <si>
    <r>
      <rPr>
        <sz val="10"/>
        <rFont val="WenQuanYi Zen Hei"/>
        <family val="2"/>
      </rPr>
      <t xml:space="preserve">하절 여성 시어서커 파라슈츠 팬츠 </t>
    </r>
    <r>
      <rPr>
        <sz val="10"/>
        <rFont val="맑은 고딕"/>
        <family val="0"/>
        <charset val="1"/>
      </rPr>
      <t xml:space="preserve">(SET-UP)</t>
    </r>
  </si>
  <si>
    <t xml:space="preserve">TVPOM27502</t>
  </si>
  <si>
    <r>
      <rPr>
        <sz val="10"/>
        <rFont val="WenQuanYi Zen Hei"/>
        <family val="2"/>
      </rPr>
      <t xml:space="preserve">하절 여성 시어서커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</t>
    </r>
    <r>
      <rPr>
        <sz val="10"/>
        <rFont val="맑은 고딕"/>
        <family val="0"/>
        <charset val="1"/>
      </rPr>
      <t xml:space="preserve">(SET-UP)</t>
    </r>
  </si>
  <si>
    <t xml:space="preserve">JWTCM27151</t>
  </si>
  <si>
    <t xml:space="preserve">남성 소로나 메쉬 반팔 집업 티셔츠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</si>
  <si>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</si>
  <si>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JWJJM27165</t>
  </si>
  <si>
    <r>
      <rPr>
        <sz val="10"/>
        <rFont val="WenQuanYi Zen Hei"/>
        <family val="2"/>
      </rPr>
      <t xml:space="preserve">남성 트레이닝 재킷 </t>
    </r>
    <r>
      <rPr>
        <sz val="10"/>
        <rFont val="맑은 고딕"/>
        <family val="0"/>
        <charset val="1"/>
      </rPr>
      <t xml:space="preserve">(SET UP)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</si>
  <si>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</si>
  <si>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JWJJM27181</t>
  </si>
  <si>
    <t xml:space="preserve">박지인</t>
  </si>
  <si>
    <t xml:space="preserve">JWJJM27301</t>
  </si>
  <si>
    <t xml:space="preserve">Backpacking</t>
  </si>
  <si>
    <t xml:space="preserve">JWTCM27131</t>
  </si>
  <si>
    <t xml:space="preserve">남녀공용 소로나 릴렉스핏 그래픽 티셔츠</t>
  </si>
  <si>
    <t xml:space="preserve">JWTCM27133</t>
  </si>
  <si>
    <t xml:space="preserve">남녀공용 에어론 릴렉스핏 그래픽 티셔츠</t>
  </si>
  <si>
    <t xml:space="preserve">JWTCM27135</t>
  </si>
  <si>
    <t xml:space="preserve">남녀공용 소로나 오버핏 그래픽 티셔츠</t>
  </si>
  <si>
    <t xml:space="preserve">JWTCM27137</t>
  </si>
  <si>
    <t xml:space="preserve">JWTCM27153</t>
  </si>
  <si>
    <t xml:space="preserve">남성 메쉬 하이브리드 반팔 라운드 티셔츠</t>
  </si>
  <si>
    <t xml:space="preserve">JWTCM27183</t>
  </si>
  <si>
    <t xml:space="preserve">남성 솔솔 에어도트 반팔 폴로 티셔츠</t>
  </si>
  <si>
    <t xml:space="preserve">JWTCM27185</t>
  </si>
  <si>
    <t xml:space="preserve">남성 솔솔 에어도트 반팔 라운드 티셔츠</t>
  </si>
  <si>
    <t xml:space="preserve">JWTCM27187</t>
  </si>
  <si>
    <t xml:space="preserve">남성 솔솔 에어도트 반집업 반팔 티셔츠</t>
  </si>
  <si>
    <t xml:space="preserve">TVPNM27694</t>
  </si>
  <si>
    <t xml:space="preserve">하절 여성 데이팩 루즈 팬츠</t>
  </si>
  <si>
    <t xml:space="preserve">Daypack</t>
  </si>
  <si>
    <t xml:space="preserve">TVPOM27512</t>
  </si>
  <si>
    <t xml:space="preserve">하절 여성 버뮤다 팬츠</t>
  </si>
  <si>
    <t xml:space="preserve">TVPOM27692</t>
  </si>
  <si>
    <t xml:space="preserve">하절 여성 데이팩 롱 베이직 스커트</t>
  </si>
  <si>
    <t xml:space="preserve">TVPOM27694</t>
  </si>
  <si>
    <r>
      <rPr>
        <sz val="10"/>
        <rFont val="WenQuanYi Zen Hei"/>
        <family val="2"/>
      </rPr>
      <t xml:space="preserve">하절 여성 데이팩 롱 더블플랩 스커트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</si>
  <si>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TVPOM27696</t>
  </si>
  <si>
    <t xml:space="preserve">하절 여성 데이팩 쇼츠</t>
  </si>
  <si>
    <t xml:space="preserve">TVPOM27698</t>
  </si>
  <si>
    <t xml:space="preserve">하절 여성 데이팩 카고 쇼츠</t>
  </si>
  <si>
    <t xml:space="preserve">TVSCM27692</t>
  </si>
  <si>
    <t xml:space="preserve">하절 여성 데이팩 반팔 셔츠</t>
  </si>
  <si>
    <t xml:space="preserve">TVTCM27692</t>
  </si>
  <si>
    <r>
      <rPr>
        <sz val="10"/>
        <rFont val="WenQuanYi Zen Hei"/>
        <family val="2"/>
      </rPr>
      <t xml:space="preserve">하절 여성 데이팩 반팔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</si>
  <si>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TVTCM27694</t>
  </si>
  <si>
    <t xml:space="preserve">하절 여성 데이팩 후드 티셔츠</t>
  </si>
  <si>
    <t xml:space="preserve">TVTCM27696</t>
  </si>
  <si>
    <t xml:space="preserve">하절 여성 데이팩 베이직 원피스</t>
  </si>
  <si>
    <t xml:space="preserve">TVTCM27698</t>
  </si>
  <si>
    <t xml:space="preserve">하절 여성 데이팩 원피스</t>
  </si>
  <si>
    <t xml:space="preserve">JWTCM27191</t>
  </si>
  <si>
    <t xml:space="preserve">남성 슬리브리스</t>
  </si>
  <si>
    <t xml:space="preserve">TLVAM27501</t>
  </si>
  <si>
    <t xml:space="preserve">하절 남성 방풍 베스트</t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</si>
  <si>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리스크 요약</t>
    </r>
  </si>
  <si>
    <t xml:space="preserve">전체 스타일</t>
  </si>
  <si>
    <r>
      <rPr>
        <sz val="10"/>
        <color rgb="FF666666"/>
        <rFont val="맑은 고딕"/>
        <family val="0"/>
        <charset val="1"/>
      </rPr>
      <t xml:space="preserve">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봄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스타일</t>
    </r>
  </si>
  <si>
    <t xml:space="preserve">★ 납기위험</t>
  </si>
  <si>
    <r>
      <rPr>
        <sz val="10"/>
        <color rgb="FF666666"/>
        <rFont val="맑은 고딕"/>
        <family val="0"/>
        <charset val="1"/>
      </rPr>
      <t xml:space="preserve">? </t>
    </r>
    <r>
      <rPr>
        <sz val="10"/>
        <color rgb="FF666666"/>
        <rFont val="WenQuanYi Zen Hei"/>
        <family val="2"/>
      </rPr>
      <t xml:space="preserve">확인필요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회신 대기</t>
    </r>
    <r>
      <rPr>
        <sz val="10"/>
        <color rgb="FF666666"/>
        <rFont val="맑은 고딕"/>
        <family val="0"/>
        <charset val="1"/>
      </rPr>
      <t xml:space="preserve">)</t>
    </r>
  </si>
  <si>
    <t xml:space="preserve">✓ 정상</t>
  </si>
  <si>
    <r>
      <rPr>
        <b val="true"/>
        <sz val="12"/>
        <color rgb="FFFFFFFF"/>
        <rFont val="맑은 고딕"/>
        <family val="0"/>
        <charset val="1"/>
      </rPr>
      <t xml:space="preserve">MD</t>
    </r>
    <r>
      <rPr>
        <b val="true"/>
        <sz val="12"/>
        <color rgb="FFFFFFFF"/>
        <rFont val="WenQuanYi Zen Hei"/>
        <family val="2"/>
      </rPr>
      <t xml:space="preserve">별 현황</t>
    </r>
  </si>
  <si>
    <t xml:space="preserve">스타일 수</t>
  </si>
  <si>
    <r>
      <rPr>
        <b val="true"/>
        <sz val="10"/>
        <color rgb="FFFFFFFF"/>
        <rFont val="맑은 고딕"/>
        <family val="0"/>
        <charset val="1"/>
      </rPr>
      <t xml:space="preserve">S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</si>
  <si>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맑은 고딕"/>
        <family val="0"/>
        <charset val="1"/>
      </rPr>
      <t xml:space="preserve">? </t>
    </r>
    <r>
      <rPr>
        <b val="true"/>
        <sz val="10"/>
        <color rgb="FFFFFFFF"/>
        <rFont val="WenQuanYi Zen Hei"/>
        <family val="2"/>
      </rPr>
      <t xml:space="preserve">확인필요</t>
    </r>
  </si>
  <si>
    <t xml:space="preserve">조율완료</t>
  </si>
  <si>
    <r>
      <rPr>
        <b val="true"/>
        <sz val="12"/>
        <color rgb="FFFFFFFF"/>
        <rFont val="WenQuanYi Zen Hei"/>
        <family val="2"/>
      </rPr>
      <t xml:space="preserve">공유 메시지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관계부서 발송용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</si>
  <si>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27SS </t>
    </r>
    <r>
      <rPr>
        <sz val="11"/>
        <rFont val="WenQuanYi Zen Hei"/>
        <family val="2"/>
      </rPr>
      <t xml:space="preserve">영업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출고계획은 기획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출고계획과 거의 일치하게 운영되며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생산도 동 일정에 맞춰야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관건은 소재일정의 정확성입니다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출고기준 </t>
    </r>
    <r>
      <rPr>
        <sz val="11"/>
        <rFont val="맑은 고딕"/>
        <family val="0"/>
        <charset val="1"/>
      </rPr>
      <t xml:space="preserve">90</t>
    </r>
    <r>
      <rPr>
        <sz val="11"/>
        <rFont val="WenQuanYi Zen Hei"/>
        <family val="2"/>
      </rPr>
      <t xml:space="preserve">일 전까지 소재 입고가 확인되지 않았거나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현시점 작업지시서가 등록되지 않은 </t>
    </r>
    <r>
      <rPr>
        <sz val="11"/>
        <rFont val="맑은 고딕"/>
        <family val="0"/>
        <charset val="1"/>
      </rPr>
      <t xml:space="preserve">S</t>
    </r>
    <r>
      <rPr>
        <sz val="11"/>
        <rFont val="WenQuanYi Zen Hei"/>
        <family val="2"/>
      </rPr>
      <t xml:space="preserve">코드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봄상품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는 납기 준수가 어렵습니다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첨부 트래커의 소재입고 마감일 기준으로</t>
    </r>
    <r>
      <rPr>
        <sz val="11"/>
        <rFont val="맑은 고딕"/>
        <family val="0"/>
        <charset val="1"/>
      </rPr>
      <t xml:space="preserve">, CMT</t>
    </r>
    <r>
      <rPr>
        <sz val="11"/>
        <rFont val="WenQuanYi Zen Hei"/>
        <family val="2"/>
      </rPr>
      <t xml:space="preserve">는 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사입생산은 생산처에서 소재 입고 가능일을 회신해 주시기 바라며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마감 초과가 예상되는 스타일은 출고차순 조정 등 사전조율을 요청드립니다</t>
    </r>
    <r>
      <rPr>
        <sz val="11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</si>
</sst>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;[RED]\-0"/>
    <numFmt numFmtId="167" formatCode="General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맑은 고딕"/>
      <family val="0"/>
      <charset val="1"/>
    </font>
    <font>
      <b val="true"/>
      <sz val="16"/>
      <color rgb="FFFFFFFF"/>
      <name val="WenQuanYi Zen Hei"/>
      <family val="2"/>
    </font>
    <font>
      <b val="true"/>
      <sz val="12"/>
      <color rgb="FF2C5F2D"/>
      <name val="WenQuanYi Zen Hei"/>
      <family val="2"/>
    </font>
    <font>
      <sz val="11"/>
      <name val="WenQuanYi Zen Hei"/>
      <family val="2"/>
    </font>
    <font>
      <sz val="11"/>
      <name val="맑은 고딕"/>
      <family val="0"/>
      <charset val="1"/>
    </font>
    <font>
      <b val="true"/>
      <sz val="12"/>
      <color rgb="FF2C5F2D"/>
      <name val="맑은 고딕"/>
      <family val="0"/>
      <charset val="1"/>
    </font>
    <font>
      <b val="true"/>
      <sz val="12"/>
      <color rgb="FFE8474C"/>
      <name val="WenQuanYi Zen Hei"/>
      <family val="2"/>
    </font>
    <font>
      <sz val="10"/>
      <color rgb="FF666666"/>
      <name val="맑은 고딕"/>
      <family val="0"/>
      <charset val="1"/>
    </font>
    <font>
      <sz val="10"/>
      <color rgb="FF666666"/>
      <name val="WenQuanYi Zen Hei"/>
      <family val="2"/>
    </font>
    <font>
      <b val="true"/>
      <sz val="13"/>
      <color rgb="FFFFFFFF"/>
      <name val="WenQuanYi Zen Hei"/>
      <family val="2"/>
    </font>
    <font>
      <b val="true"/>
      <sz val="13"/>
      <color rgb="FFFFFFFF"/>
      <name val="맑은 고딕"/>
      <family val="0"/>
      <charset val="1"/>
    </font>
    <font>
      <b val="true"/>
      <sz val="11"/>
      <name val="WenQuanYi Zen Hei"/>
      <family val="2"/>
    </font>
    <font>
      <b val="true"/>
      <sz val="11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9"/>
      <color rgb="FF666666"/>
      <name val="WenQuanYi Zen Hei"/>
      <family val="2"/>
    </font>
    <font>
      <sz val="9"/>
      <color rgb="FF666666"/>
      <name val="맑은 고딕"/>
      <family val="0"/>
      <charset val="1"/>
    </font>
    <font>
      <b val="true"/>
      <sz val="12"/>
      <color rgb="FFFFFFFF"/>
      <name val="WenQuanYi Zen Hei"/>
      <family val="2"/>
    </font>
    <font>
      <b val="true"/>
      <sz val="11"/>
      <color rgb="FF2C5F2D"/>
      <name val="맑은 고딕"/>
      <family val="0"/>
      <charset val="1"/>
    </font>
    <font>
      <b val="true"/>
      <sz val="11"/>
      <color rgb="FF2C5F2D"/>
      <name val="WenQuanYi Zen Hei"/>
      <family val="2"/>
    </font>
    <font>
      <b val="true"/>
      <sz val="14"/>
      <color rgb="FFFFFFFF"/>
      <name val="맑은 고딕"/>
      <family val="0"/>
      <charset val="1"/>
    </font>
    <font>
      <b val="true"/>
      <sz val="14"/>
      <color rgb="FFFFFFFF"/>
      <name val="WenQuanYi Zen Hei"/>
      <family val="2"/>
    </font>
    <font>
      <b val="true"/>
      <sz val="10"/>
      <name val="맑은 고딕"/>
      <family val="0"/>
      <charset val="1"/>
    </font>
    <font>
      <sz val="10"/>
      <color rgb="FFE8474C"/>
      <name val="WenQuanYi Zen Hei"/>
      <family val="2"/>
    </font>
    <font>
      <sz val="10"/>
      <color rgb="FFE8474C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b val="true"/>
      <sz val="22"/>
      <color rgb="FF2C5F2D"/>
      <name val="맑은 고딕"/>
      <family val="0"/>
      <charset val="1"/>
    </font>
    <font>
      <b val="true"/>
      <sz val="22"/>
      <color rgb="FFE8474C"/>
      <name val="맑은 고딕"/>
      <family val="0"/>
      <charset val="1"/>
    </font>
    <font>
      <b val="true"/>
      <sz val="22"/>
      <color rgb="FFF18F01"/>
      <name val="맑은 고딕"/>
      <family val="0"/>
      <charset val="1"/>
    </font>
    <font>
      <b val="true"/>
      <sz val="12"/>
      <color rgb="FFFFFFFF"/>
      <name val="맑은 고딕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C5F2D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FF9C4"/>
        <bgColor rgb="FFFDE9CC"/>
      </patternFill>
    </fill>
    <fill>
      <patternFill patternType="solid">
        <fgColor rgb="FFF5F5F5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ont>
        <name val="맑은 고딕"/>
        <charset val="1"/>
        <family val="0"/>
        <b val="1"/>
        <color rgb="FFE8474C"/>
      </font>
      <fill>
        <patternFill>
          <bgColor rgb="FFF8CBCC"/>
        </patternFill>
      </fill>
    </dxf>
    <dxf>
      <font>
        <name val="맑은 고딕"/>
        <charset val="1"/>
        <family val="0"/>
        <b val="1"/>
        <color rgb="FF9C5700"/>
      </font>
      <fill>
        <patternFill>
          <bgColor rgb="FFFDE9CC"/>
        </patternFill>
      </fill>
    </dxf>
    <dxf>
      <font>
        <name val="맑은 고딕"/>
        <charset val="1"/>
        <family val="0"/>
        <b val="1"/>
        <color rgb="FF2C5F2D"/>
      </font>
      <fill>
        <patternFill>
          <bgColor rgb="FFE8F5E9"/>
        </patternFill>
      </fill>
    </dxf>
    <dxf>
      <font>
        <name val="맑은 고딕"/>
        <charset val="1"/>
        <family val="0"/>
        <b val="1"/>
        <color rgb="FF666666"/>
      </font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8F5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F5F5F5"/>
      <rgbColor rgb="FFFDE9CC"/>
      <rgbColor rgb="FF99CCFF"/>
      <rgbColor rgb="FFFF99CC"/>
      <rgbColor rgb="FFCC99FF"/>
      <rgbColor rgb="FFF8CBCC"/>
      <rgbColor rgb="FF3366FF"/>
      <rgbColor rgb="FF33CCCC"/>
      <rgbColor rgb="FF99CC00"/>
      <rgbColor rgb="FFFFCC00"/>
      <rgbColor rgb="FFF18F01"/>
      <rgbColor rgb="FFE8474C"/>
      <rgbColor rgb="FF666666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10"/>
  </cols>
  <sheetData>
    <row r="2" customFormat="false" ht="20.8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4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4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6" customFormat="false" ht="16.4" hidden="false" customHeight="false" outlineLevel="0" collapsed="false">
      <c r="B16" s="2" t="s">
        <v>11</v>
      </c>
    </row>
    <row r="17" customFormat="false" ht="15" hidden="false" customHeight="false" outlineLevel="0" collapsed="false">
      <c r="B17" s="4" t="s">
        <v>12</v>
      </c>
    </row>
    <row r="18" customFormat="false" ht="15" hidden="false" customHeight="false" outlineLevel="0" collapsed="false">
      <c r="B18" s="4" t="s">
        <v>13</v>
      </c>
    </row>
    <row r="19" customFormat="false" ht="15" hidden="false" customHeight="false" outlineLevel="0" collapsed="false">
      <c r="B19" s="4" t="s">
        <v>14</v>
      </c>
    </row>
    <row r="21" customFormat="false" ht="15" hidden="false" customHeight="false" outlineLevel="0" collapsed="false">
      <c r="B21" s="5" t="s">
        <v>15</v>
      </c>
    </row>
    <row r="22" customFormat="false" ht="15" hidden="false" customHeight="false" outlineLevel="0" collapsed="false">
      <c r="B22" s="6" t="s">
        <v>16</v>
      </c>
    </row>
    <row r="23" customFormat="false" ht="15" hidden="false" customHeight="false" outlineLevel="0" collapsed="false">
      <c r="B23" s="6" t="s">
        <v>17</v>
      </c>
    </row>
    <row r="24" customFormat="false" ht="15" hidden="false" customHeight="false" outlineLevel="0" collapsed="false">
      <c r="B24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52"/>
    <col collapsed="false" customWidth="true" hidden="false" outlineLevel="0" max="4" min="4" style="0" width="50"/>
  </cols>
  <sheetData>
    <row r="2" customFormat="false" ht="17.15" hidden="false" customHeight="false" outlineLevel="0" collapsed="false">
      <c r="B2" s="7" t="s">
        <v>19</v>
      </c>
    </row>
    <row r="4" customFormat="false" ht="15" hidden="false" customHeight="false" outlineLevel="0" collapsed="false">
      <c r="B4" s="8" t="s">
        <v>20</v>
      </c>
      <c r="C4" s="9" t="n">
        <f aca="true">TODAY()</f>
        <v>46240</v>
      </c>
      <c r="D4" s="10" t="s">
        <v>21</v>
      </c>
    </row>
    <row r="5" customFormat="false" ht="15" hidden="false" customHeight="false" outlineLevel="0" collapsed="false">
      <c r="B5" s="8" t="s">
        <v>22</v>
      </c>
      <c r="C5" s="11" t="n">
        <v>90</v>
      </c>
      <c r="D5" s="10" t="s">
        <v>23</v>
      </c>
    </row>
    <row r="6" customFormat="false" ht="15" hidden="false" customHeight="false" outlineLevel="0" collapsed="false">
      <c r="B6" s="8" t="s">
        <v>24</v>
      </c>
      <c r="C6" s="11" t="n">
        <v>2027</v>
      </c>
      <c r="D6" s="12" t="s">
        <v>25</v>
      </c>
    </row>
    <row r="8" customFormat="false" ht="15" hidden="false" customHeight="false" outlineLevel="0" collapsed="false">
      <c r="B8" s="13" t="s">
        <v>26</v>
      </c>
    </row>
    <row r="9" customFormat="false" ht="15" hidden="false" customHeight="false" outlineLevel="0" collapsed="false">
      <c r="B9" s="14" t="s">
        <v>27</v>
      </c>
      <c r="C9" s="3" t="s">
        <v>28</v>
      </c>
    </row>
    <row r="10" customFormat="false" ht="15" hidden="false" customHeight="false" outlineLevel="0" collapsed="false">
      <c r="B10" s="15" t="s">
        <v>29</v>
      </c>
      <c r="C10" s="3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38"/>
    <col collapsed="false" customWidth="true" hidden="false" outlineLevel="0" max="5" min="5" style="0" width="9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3" min="12" style="0" width="13"/>
    <col collapsed="false" customWidth="true" hidden="false" outlineLevel="0" max="14" min="14" style="0" width="12"/>
    <col collapsed="false" customWidth="true" hidden="false" outlineLevel="0" max="15" min="15" style="0" width="10"/>
    <col collapsed="false" customWidth="true" hidden="false" outlineLevel="0" max="16" min="16" style="0" width="12"/>
    <col collapsed="false" customWidth="true" hidden="false" outlineLevel="0" max="17" min="17" style="0" width="24"/>
    <col collapsed="false" customWidth="true" hidden="false" outlineLevel="0" max="18" min="18" style="0" width="14"/>
    <col collapsed="false" customWidth="true" hidden="false" outlineLevel="0" max="19" min="19" style="0" width="9"/>
    <col collapsed="false" customWidth="true" hidden="false" outlineLevel="0" max="20" min="20" style="0" width="28"/>
  </cols>
  <sheetData>
    <row r="1" customFormat="false" ht="19.4" hidden="false" customHeight="false" outlineLevel="0" collapsed="false">
      <c r="A1" s="16" t="s">
        <v>31</v>
      </c>
    </row>
    <row r="2" customFormat="false" ht="15" hidden="false" customHeight="false" outlineLevel="0" collapsed="false">
      <c r="A2" s="17" t="s">
        <v>32</v>
      </c>
      <c r="B2" s="18" t="n">
        <f aca="false">기준정보!$C$4</f>
        <v>46240</v>
      </c>
      <c r="C2" s="17" t="s">
        <v>33</v>
      </c>
      <c r="D2" s="19" t="str">
        <f aca="false">기준정보!$C$5&amp;"일"</f>
        <v>90일</v>
      </c>
      <c r="F2" s="20" t="s">
        <v>34</v>
      </c>
    </row>
    <row r="4" customFormat="false" ht="26.85" hidden="false" customHeight="false" outlineLevel="0" collapsed="false">
      <c r="A4" s="21" t="s">
        <v>35</v>
      </c>
      <c r="B4" s="21" t="s">
        <v>36</v>
      </c>
      <c r="C4" s="21" t="s">
        <v>37</v>
      </c>
      <c r="D4" s="22" t="s">
        <v>38</v>
      </c>
      <c r="E4" s="22" t="s">
        <v>39</v>
      </c>
      <c r="F4" s="22" t="s">
        <v>40</v>
      </c>
      <c r="G4" s="22" t="s">
        <v>41</v>
      </c>
      <c r="H4" s="22" t="s">
        <v>42</v>
      </c>
      <c r="I4" s="22" t="s">
        <v>43</v>
      </c>
      <c r="J4" s="22" t="s">
        <v>44</v>
      </c>
      <c r="K4" s="22" t="s">
        <v>45</v>
      </c>
      <c r="L4" s="22" t="s">
        <v>46</v>
      </c>
      <c r="M4" s="22" t="s">
        <v>47</v>
      </c>
      <c r="N4" s="22" t="s">
        <v>48</v>
      </c>
      <c r="O4" s="22" t="s">
        <v>49</v>
      </c>
      <c r="P4" s="22" t="s">
        <v>50</v>
      </c>
      <c r="Q4" s="22" t="s">
        <v>51</v>
      </c>
      <c r="R4" s="22" t="s">
        <v>52</v>
      </c>
      <c r="S4" s="22" t="s">
        <v>53</v>
      </c>
      <c r="T4" s="22" t="s">
        <v>54</v>
      </c>
    </row>
    <row r="5" customFormat="false" ht="15" hidden="false" customHeight="false" outlineLevel="0" collapsed="false">
      <c r="A5" s="23" t="n">
        <v>1</v>
      </c>
      <c r="B5" s="24" t="s">
        <v>55</v>
      </c>
      <c r="C5" s="25" t="s">
        <v>56</v>
      </c>
      <c r="D5" s="25"/>
      <c r="E5" s="23" t="str">
        <f aca="false">IF($C5="","",IF(MID($C5,5,1)="S","S(봄)",IF(MID($C5,5,1)="M","M(여름)",IF(MID($C5,5,1)="X","X(사계절)",MID($C5,5,1)))))</f>
        <v>S(봄)</v>
      </c>
      <c r="F5" s="25" t="s">
        <v>57</v>
      </c>
      <c r="G5" s="26" t="s">
        <v>58</v>
      </c>
      <c r="H5" s="27" t="n">
        <f aca="false">IF($G5="","",IFERROR(DATE(IF(VALUE(LEFT($G5,FIND("월",$G5)-1))&gt;=9,기준정보!$C$6-1,기준정보!$C$6),VALUE(LEFT($G5,FIND("월",$G5)-1)),1+7*(VALUE(SUBSTITUTE(MID($G5,FIND("월",$G5)+1,5),"주",""))-1)),""))</f>
        <v>46395</v>
      </c>
      <c r="I5" s="27" t="n">
        <f aca="false">IF($H5="","",$H5-기준정보!$C$5)</f>
        <v>46305</v>
      </c>
      <c r="J5" s="28" t="n">
        <f aca="false">IF($I5="","",$I5-기준정보!$C$4)</f>
        <v>65</v>
      </c>
      <c r="K5" s="26" t="s">
        <v>59</v>
      </c>
      <c r="L5" s="29"/>
      <c r="M5" s="26"/>
      <c r="N5" s="25" t="str">
        <f aca="false">IF($M5="CMT","본사(소재팀)",IF($M5="사입","생산처",""))</f>
        <v/>
      </c>
      <c r="O5" s="30" t="s">
        <v>60</v>
      </c>
      <c r="P5" s="30" t="s">
        <v>61</v>
      </c>
      <c r="Q5" s="25" t="str">
        <f aca="false">IF($H5="","출고일 미정",IF($K5="X","작지 미등록",IF(AND($L5&lt;&gt;"",$L5&gt;$I5),"소재입고 마감("&amp;TEXT($I5,"MM/DD")&amp;") 초과",IF($K5="","작지 등록여부 확인 필요",IF($L5="","소재 입고일정 확인 필요","정상")))))</f>
        <v>소재 입고일정 확인 필요</v>
      </c>
      <c r="R5" s="23" t="str">
        <f aca="false">IF($H5="","",IF(OR($Q5="작지 미등록",LEFT($Q5,4)="소재입고"),IF(LEFT($E5,1)="S","★ 납기위험(S코드)","◆ 지연주의"),IF($Q5="정상","✓ 정상","? 확인필요")))</f>
        <v>? 확인필요</v>
      </c>
      <c r="S5" s="26"/>
      <c r="T5" s="30"/>
    </row>
    <row r="6" customFormat="false" ht="15" hidden="false" customHeight="false" outlineLevel="0" collapsed="false">
      <c r="A6" s="23" t="n">
        <v>2</v>
      </c>
      <c r="B6" s="24" t="s">
        <v>62</v>
      </c>
      <c r="C6" s="25" t="s">
        <v>63</v>
      </c>
      <c r="D6" s="25"/>
      <c r="E6" s="23" t="str">
        <f aca="false">IF($C6="","",IF(MID($C6,5,1)="S","S(봄)",IF(MID($C6,5,1)="M","M(여름)",IF(MID($C6,5,1)="X","X(사계절)",MID($C6,5,1)))))</f>
        <v>S(봄)</v>
      </c>
      <c r="F6" s="25" t="s">
        <v>64</v>
      </c>
      <c r="G6" s="26" t="s">
        <v>65</v>
      </c>
      <c r="H6" s="27" t="n">
        <f aca="false">IF($G6="","",IFERROR(DATE(IF(VALUE(LEFT($G6,FIND("월",$G6)-1))&gt;=9,기준정보!$C$6-1,기준정보!$C$6),VALUE(LEFT($G6,FIND("월",$G6)-1)),1+7*(VALUE(SUBSTITUTE(MID($G6,FIND("월",$G6)+1,5),"주",""))-1)),""))</f>
        <v>46402</v>
      </c>
      <c r="I6" s="27" t="n">
        <f aca="false">IF($H6="","",$H6-기준정보!$C$5)</f>
        <v>46312</v>
      </c>
      <c r="J6" s="28" t="n">
        <f aca="false">IF($I6="","",$I6-기준정보!$C$4)</f>
        <v>72</v>
      </c>
      <c r="K6" s="26"/>
      <c r="L6" s="29"/>
      <c r="M6" s="26"/>
      <c r="N6" s="25" t="str">
        <f aca="false">IF($M6="CMT","본사(소재팀)",IF($M6="사입","생산처",""))</f>
        <v/>
      </c>
      <c r="O6" s="30"/>
      <c r="P6" s="30"/>
      <c r="Q6" s="25" t="str">
        <f aca="false">IF($H6="","출고일 미정",IF($K6="X","작지 미등록",IF(AND($L6&lt;&gt;"",$L6&gt;$I6),"소재입고 마감("&amp;TEXT($I6,"MM/DD")&amp;") 초과",IF($K6="","작지 등록여부 확인 필요",IF($L6="","소재 입고일정 확인 필요","정상")))))</f>
        <v>작지 등록여부 확인 필요</v>
      </c>
      <c r="R6" s="23" t="str">
        <f aca="false">IF($H6="","",IF(OR($Q6="작지 미등록",LEFT($Q6,4)="소재입고"),IF(LEFT($E6,1)="S","★ 납기위험(S코드)","◆ 지연주의"),IF($Q6="정상","✓ 정상","? 확인필요")))</f>
        <v>? 확인필요</v>
      </c>
      <c r="S6" s="26"/>
      <c r="T6" s="30"/>
    </row>
    <row r="7" customFormat="false" ht="15" hidden="false" customHeight="false" outlineLevel="0" collapsed="false">
      <c r="A7" s="23" t="n">
        <v>3</v>
      </c>
      <c r="B7" s="24" t="s">
        <v>66</v>
      </c>
      <c r="C7" s="25" t="s">
        <v>67</v>
      </c>
      <c r="D7" s="24" t="s">
        <v>68</v>
      </c>
      <c r="E7" s="23" t="str">
        <f aca="false">IF($C7="","",IF(MID($C7,5,1)="S","S(봄)",IF(MID($C7,5,1)="M","M(여름)",IF(MID($C7,5,1)="X","X(사계절)",MID($C7,5,1)))))</f>
        <v>S(봄)</v>
      </c>
      <c r="F7" s="25" t="s">
        <v>64</v>
      </c>
      <c r="G7" s="26" t="s">
        <v>65</v>
      </c>
      <c r="H7" s="27" t="n">
        <f aca="false">IF($G7="","",IFERROR(DATE(IF(VALUE(LEFT($G7,FIND("월",$G7)-1))&gt;=9,기준정보!$C$6-1,기준정보!$C$6),VALUE(LEFT($G7,FIND("월",$G7)-1)),1+7*(VALUE(SUBSTITUTE(MID($G7,FIND("월",$G7)+1,5),"주",""))-1)),""))</f>
        <v>46402</v>
      </c>
      <c r="I7" s="27" t="n">
        <f aca="false">IF($H7="","",$H7-기준정보!$C$5)</f>
        <v>46312</v>
      </c>
      <c r="J7" s="28" t="n">
        <f aca="false">IF($I7="","",$I7-기준정보!$C$4)</f>
        <v>72</v>
      </c>
      <c r="K7" s="26"/>
      <c r="L7" s="29"/>
      <c r="M7" s="26"/>
      <c r="N7" s="25" t="str">
        <f aca="false">IF($M7="CMT","본사(소재팀)",IF($M7="사입","생산처",""))</f>
        <v/>
      </c>
      <c r="O7" s="30"/>
      <c r="P7" s="30"/>
      <c r="Q7" s="25" t="str">
        <f aca="false">IF($H7="","출고일 미정",IF($K7="X","작지 미등록",IF(AND($L7&lt;&gt;"",$L7&gt;$I7),"소재입고 마감("&amp;TEXT($I7,"MM/DD")&amp;") 초과",IF($K7="","작지 등록여부 확인 필요",IF($L7="","소재 입고일정 확인 필요","정상")))))</f>
        <v>작지 등록여부 확인 필요</v>
      </c>
      <c r="R7" s="23" t="str">
        <f aca="false">IF($H7="","",IF(OR($Q7="작지 미등록",LEFT($Q7,4)="소재입고"),IF(LEFT($E7,1)="S","★ 납기위험(S코드)","◆ 지연주의"),IF($Q7="정상","✓ 정상","? 확인필요")))</f>
        <v>? 확인필요</v>
      </c>
      <c r="S7" s="26"/>
      <c r="T7" s="30"/>
    </row>
    <row r="8" customFormat="false" ht="15" hidden="false" customHeight="false" outlineLevel="0" collapsed="false">
      <c r="A8" s="23" t="n">
        <v>4</v>
      </c>
      <c r="B8" s="24" t="s">
        <v>66</v>
      </c>
      <c r="C8" s="25" t="s">
        <v>69</v>
      </c>
      <c r="D8" s="24" t="s">
        <v>70</v>
      </c>
      <c r="E8" s="23" t="str">
        <f aca="false">IF($C8="","",IF(MID($C8,5,1)="S","S(봄)",IF(MID($C8,5,1)="M","M(여름)",IF(MID($C8,5,1)="X","X(사계절)",MID($C8,5,1)))))</f>
        <v>S(봄)</v>
      </c>
      <c r="F8" s="25" t="s">
        <v>64</v>
      </c>
      <c r="G8" s="26" t="s">
        <v>65</v>
      </c>
      <c r="H8" s="27" t="n">
        <f aca="false">IF($G8="","",IFERROR(DATE(IF(VALUE(LEFT($G8,FIND("월",$G8)-1))&gt;=9,기준정보!$C$6-1,기준정보!$C$6),VALUE(LEFT($G8,FIND("월",$G8)-1)),1+7*(VALUE(SUBSTITUTE(MID($G8,FIND("월",$G8)+1,5),"주",""))-1)),""))</f>
        <v>46402</v>
      </c>
      <c r="I8" s="27" t="n">
        <f aca="false">IF($H8="","",$H8-기준정보!$C$5)</f>
        <v>46312</v>
      </c>
      <c r="J8" s="28" t="n">
        <f aca="false">IF($I8="","",$I8-기준정보!$C$4)</f>
        <v>72</v>
      </c>
      <c r="K8" s="26"/>
      <c r="L8" s="29"/>
      <c r="M8" s="26"/>
      <c r="N8" s="25" t="str">
        <f aca="false">IF($M8="CMT","본사(소재팀)",IF($M8="사입","생산처",""))</f>
        <v/>
      </c>
      <c r="O8" s="30"/>
      <c r="P8" s="30"/>
      <c r="Q8" s="25" t="str">
        <f aca="false">IF($H8="","출고일 미정",IF($K8="X","작지 미등록",IF(AND($L8&lt;&gt;"",$L8&gt;$I8),"소재입고 마감("&amp;TEXT($I8,"MM/DD")&amp;") 초과",IF($K8="","작지 등록여부 확인 필요",IF($L8="","소재 입고일정 확인 필요","정상")))))</f>
        <v>작지 등록여부 확인 필요</v>
      </c>
      <c r="R8" s="23" t="str">
        <f aca="false">IF($H8="","",IF(OR($Q8="작지 미등록",LEFT($Q8,4)="소재입고"),IF(LEFT($E8,1)="S","★ 납기위험(S코드)","◆ 지연주의"),IF($Q8="정상","✓ 정상","? 확인필요")))</f>
        <v>? 확인필요</v>
      </c>
      <c r="S8" s="26"/>
      <c r="T8" s="30"/>
    </row>
    <row r="9" customFormat="false" ht="15" hidden="false" customHeight="false" outlineLevel="0" collapsed="false">
      <c r="A9" s="23" t="n">
        <v>5</v>
      </c>
      <c r="B9" s="24" t="s">
        <v>66</v>
      </c>
      <c r="C9" s="25" t="s">
        <v>71</v>
      </c>
      <c r="D9" s="24" t="s">
        <v>72</v>
      </c>
      <c r="E9" s="23" t="str">
        <f aca="false">IF($C9="","",IF(MID($C9,5,1)="S","S(봄)",IF(MID($C9,5,1)="M","M(여름)",IF(MID($C9,5,1)="X","X(사계절)",MID($C9,5,1)))))</f>
        <v>S(봄)</v>
      </c>
      <c r="F9" s="25" t="s">
        <v>64</v>
      </c>
      <c r="G9" s="26" t="s">
        <v>65</v>
      </c>
      <c r="H9" s="27" t="n">
        <f aca="false">IF($G9="","",IFERROR(DATE(IF(VALUE(LEFT($G9,FIND("월",$G9)-1))&gt;=9,기준정보!$C$6-1,기준정보!$C$6),VALUE(LEFT($G9,FIND("월",$G9)-1)),1+7*(VALUE(SUBSTITUTE(MID($G9,FIND("월",$G9)+1,5),"주",""))-1)),""))</f>
        <v>46402</v>
      </c>
      <c r="I9" s="27" t="n">
        <f aca="false">IF($H9="","",$H9-기준정보!$C$5)</f>
        <v>46312</v>
      </c>
      <c r="J9" s="28" t="n">
        <f aca="false">IF($I9="","",$I9-기준정보!$C$4)</f>
        <v>72</v>
      </c>
      <c r="K9" s="26"/>
      <c r="L9" s="29"/>
      <c r="M9" s="26"/>
      <c r="N9" s="25" t="str">
        <f aca="false">IF($M9="CMT","본사(소재팀)",IF($M9="사입","생산처",""))</f>
        <v/>
      </c>
      <c r="O9" s="30"/>
      <c r="P9" s="30"/>
      <c r="Q9" s="25" t="str">
        <f aca="false">IF($H9="","출고일 미정",IF($K9="X","작지 미등록",IF(AND($L9&lt;&gt;"",$L9&gt;$I9),"소재입고 마감("&amp;TEXT($I9,"MM/DD")&amp;") 초과",IF($K9="","작지 등록여부 확인 필요",IF($L9="","소재 입고일정 확인 필요","정상")))))</f>
        <v>작지 등록여부 확인 필요</v>
      </c>
      <c r="R9" s="23" t="str">
        <f aca="false">IF($H9="","",IF(OR($Q9="작지 미등록",LEFT($Q9,4)="소재입고"),IF(LEFT($E9,1)="S","★ 납기위험(S코드)","◆ 지연주의"),IF($Q9="정상","✓ 정상","? 확인필요")))</f>
        <v>? 확인필요</v>
      </c>
      <c r="S9" s="26"/>
      <c r="T9" s="30"/>
    </row>
    <row r="10" customFormat="false" ht="15" hidden="false" customHeight="false" outlineLevel="0" collapsed="false">
      <c r="A10" s="23" t="n">
        <v>6</v>
      </c>
      <c r="B10" s="24" t="s">
        <v>66</v>
      </c>
      <c r="C10" s="25" t="s">
        <v>73</v>
      </c>
      <c r="D10" s="24" t="s">
        <v>74</v>
      </c>
      <c r="E10" s="23" t="str">
        <f aca="false">IF($C10="","",IF(MID($C10,5,1)="S","S(봄)",IF(MID($C10,5,1)="M","M(여름)",IF(MID($C10,5,1)="X","X(사계절)",MID($C10,5,1)))))</f>
        <v>S(봄)</v>
      </c>
      <c r="F10" s="25" t="s">
        <v>64</v>
      </c>
      <c r="G10" s="26" t="s">
        <v>65</v>
      </c>
      <c r="H10" s="27" t="n">
        <f aca="false">IF($G10="","",IFERROR(DATE(IF(VALUE(LEFT($G10,FIND("월",$G10)-1))&gt;=9,기준정보!$C$6-1,기준정보!$C$6),VALUE(LEFT($G10,FIND("월",$G10)-1)),1+7*(VALUE(SUBSTITUTE(MID($G10,FIND("월",$G10)+1,5),"주",""))-1)),""))</f>
        <v>46402</v>
      </c>
      <c r="I10" s="27" t="n">
        <f aca="false">IF($H10="","",$H10-기준정보!$C$5)</f>
        <v>46312</v>
      </c>
      <c r="J10" s="28" t="n">
        <f aca="false">IF($I10="","",$I10-기준정보!$C$4)</f>
        <v>72</v>
      </c>
      <c r="K10" s="26"/>
      <c r="L10" s="29"/>
      <c r="M10" s="26"/>
      <c r="N10" s="25" t="str">
        <f aca="false">IF($M10="CMT","본사(소재팀)",IF($M10="사입","생산처",""))</f>
        <v/>
      </c>
      <c r="O10" s="30"/>
      <c r="P10" s="30"/>
      <c r="Q10" s="25" t="str">
        <f aca="false">IF($H10="","출고일 미정",IF($K10="X","작지 미등록",IF(AND($L10&lt;&gt;"",$L10&gt;$I10),"소재입고 마감("&amp;TEXT($I10,"MM/DD")&amp;") 초과",IF($K10="","작지 등록여부 확인 필요",IF($L10="","소재 입고일정 확인 필요","정상")))))</f>
        <v>작지 등록여부 확인 필요</v>
      </c>
      <c r="R10" s="23" t="str">
        <f aca="false">IF($H10="","",IF(OR($Q10="작지 미등록",LEFT($Q10,4)="소재입고"),IF(LEFT($E10,1)="S","★ 납기위험(S코드)","◆ 지연주의"),IF($Q10="정상","✓ 정상","? 확인필요")))</f>
        <v>? 확인필요</v>
      </c>
      <c r="S10" s="26"/>
      <c r="T10" s="30"/>
    </row>
    <row r="11" customFormat="false" ht="15" hidden="false" customHeight="false" outlineLevel="0" collapsed="false">
      <c r="A11" s="23" t="n">
        <v>7</v>
      </c>
      <c r="B11" s="24" t="s">
        <v>66</v>
      </c>
      <c r="C11" s="25" t="s">
        <v>75</v>
      </c>
      <c r="D11" s="24" t="s">
        <v>76</v>
      </c>
      <c r="E11" s="23" t="str">
        <f aca="false">IF($C11="","",IF(MID($C11,5,1)="S","S(봄)",IF(MID($C11,5,1)="M","M(여름)",IF(MID($C11,5,1)="X","X(사계절)",MID($C11,5,1)))))</f>
        <v>S(봄)</v>
      </c>
      <c r="F11" s="25" t="s">
        <v>64</v>
      </c>
      <c r="G11" s="26" t="s">
        <v>65</v>
      </c>
      <c r="H11" s="27" t="n">
        <f aca="false">IF($G11="","",IFERROR(DATE(IF(VALUE(LEFT($G11,FIND("월",$G11)-1))&gt;=9,기준정보!$C$6-1,기준정보!$C$6),VALUE(LEFT($G11,FIND("월",$G11)-1)),1+7*(VALUE(SUBSTITUTE(MID($G11,FIND("월",$G11)+1,5),"주",""))-1)),""))</f>
        <v>46402</v>
      </c>
      <c r="I11" s="27" t="n">
        <f aca="false">IF($H11="","",$H11-기준정보!$C$5)</f>
        <v>46312</v>
      </c>
      <c r="J11" s="28" t="n">
        <f aca="false">IF($I11="","",$I11-기준정보!$C$4)</f>
        <v>72</v>
      </c>
      <c r="K11" s="26"/>
      <c r="L11" s="29"/>
      <c r="M11" s="26"/>
      <c r="N11" s="25" t="str">
        <f aca="false">IF($M11="CMT","본사(소재팀)",IF($M11="사입","생산처",""))</f>
        <v/>
      </c>
      <c r="O11" s="30"/>
      <c r="P11" s="30"/>
      <c r="Q11" s="25" t="str">
        <f aca="false">IF($H11="","출고일 미정",IF($K11="X","작지 미등록",IF(AND($L11&lt;&gt;"",$L11&gt;$I11),"소재입고 마감("&amp;TEXT($I11,"MM/DD")&amp;") 초과",IF($K11="","작지 등록여부 확인 필요",IF($L11="","소재 입고일정 확인 필요","정상")))))</f>
        <v>작지 등록여부 확인 필요</v>
      </c>
      <c r="R11" s="23" t="str">
        <f aca="false">IF($H11="","",IF(OR($Q11="작지 미등록",LEFT($Q11,4)="소재입고"),IF(LEFT($E11,1)="S","★ 납기위험(S코드)","◆ 지연주의"),IF($Q11="정상","✓ 정상","? 확인필요")))</f>
        <v>? 확인필요</v>
      </c>
      <c r="S11" s="26"/>
      <c r="T11" s="30"/>
    </row>
    <row r="12" customFormat="false" ht="15" hidden="false" customHeight="false" outlineLevel="0" collapsed="false">
      <c r="A12" s="23" t="n">
        <v>8</v>
      </c>
      <c r="B12" s="24" t="s">
        <v>77</v>
      </c>
      <c r="C12" s="25" t="s">
        <v>78</v>
      </c>
      <c r="D12" s="24" t="s">
        <v>79</v>
      </c>
      <c r="E12" s="23" t="str">
        <f aca="false">IF($C12="","",IF(MID($C12,5,1)="S","S(봄)",IF(MID($C12,5,1)="M","M(여름)",IF(MID($C12,5,1)="X","X(사계절)",MID($C12,5,1)))))</f>
        <v>S(봄)</v>
      </c>
      <c r="F12" s="25" t="s">
        <v>80</v>
      </c>
      <c r="G12" s="26" t="s">
        <v>65</v>
      </c>
      <c r="H12" s="27" t="n">
        <f aca="false">IF($G12="","",IFERROR(DATE(IF(VALUE(LEFT($G12,FIND("월",$G12)-1))&gt;=9,기준정보!$C$6-1,기준정보!$C$6),VALUE(LEFT($G12,FIND("월",$G12)-1)),1+7*(VALUE(SUBSTITUTE(MID($G12,FIND("월",$G12)+1,5),"주",""))-1)),""))</f>
        <v>46402</v>
      </c>
      <c r="I12" s="27" t="n">
        <f aca="false">IF($H12="","",$H12-기준정보!$C$5)</f>
        <v>46312</v>
      </c>
      <c r="J12" s="28" t="n">
        <f aca="false">IF($I12="","",$I12-기준정보!$C$4)</f>
        <v>72</v>
      </c>
      <c r="K12" s="26"/>
      <c r="L12" s="29"/>
      <c r="M12" s="26"/>
      <c r="N12" s="25" t="str">
        <f aca="false">IF($M12="CMT","본사(소재팀)",IF($M12="사입","생산처",""))</f>
        <v/>
      </c>
      <c r="O12" s="30"/>
      <c r="P12" s="30"/>
      <c r="Q12" s="25" t="str">
        <f aca="false">IF($H12="","출고일 미정",IF($K12="X","작지 미등록",IF(AND($L12&lt;&gt;"",$L12&gt;$I12),"소재입고 마감("&amp;TEXT($I12,"MM/DD")&amp;") 초과",IF($K12="","작지 등록여부 확인 필요",IF($L12="","소재 입고일정 확인 필요","정상")))))</f>
        <v>작지 등록여부 확인 필요</v>
      </c>
      <c r="R12" s="23" t="str">
        <f aca="false">IF($H12="","",IF(OR($Q12="작지 미등록",LEFT($Q12,4)="소재입고"),IF(LEFT($E12,1)="S","★ 납기위험(S코드)","◆ 지연주의"),IF($Q12="정상","✓ 정상","? 확인필요")))</f>
        <v>? 확인필요</v>
      </c>
      <c r="S12" s="26"/>
      <c r="T12" s="30"/>
    </row>
    <row r="13" customFormat="false" ht="15" hidden="false" customHeight="false" outlineLevel="0" collapsed="false">
      <c r="A13" s="23" t="n">
        <v>9</v>
      </c>
      <c r="B13" s="24" t="s">
        <v>77</v>
      </c>
      <c r="C13" s="25" t="s">
        <v>81</v>
      </c>
      <c r="D13" s="24" t="s">
        <v>82</v>
      </c>
      <c r="E13" s="23" t="str">
        <f aca="false">IF($C13="","",IF(MID($C13,5,1)="S","S(봄)",IF(MID($C13,5,1)="M","M(여름)",IF(MID($C13,5,1)="X","X(사계절)",MID($C13,5,1)))))</f>
        <v>S(봄)</v>
      </c>
      <c r="F13" s="25" t="s">
        <v>80</v>
      </c>
      <c r="G13" s="26" t="s">
        <v>65</v>
      </c>
      <c r="H13" s="27" t="n">
        <f aca="false">IF($G13="","",IFERROR(DATE(IF(VALUE(LEFT($G13,FIND("월",$G13)-1))&gt;=9,기준정보!$C$6-1,기준정보!$C$6),VALUE(LEFT($G13,FIND("월",$G13)-1)),1+7*(VALUE(SUBSTITUTE(MID($G13,FIND("월",$G13)+1,5),"주",""))-1)),""))</f>
        <v>46402</v>
      </c>
      <c r="I13" s="27" t="n">
        <f aca="false">IF($H13="","",$H13-기준정보!$C$5)</f>
        <v>46312</v>
      </c>
      <c r="J13" s="28" t="n">
        <f aca="false">IF($I13="","",$I13-기준정보!$C$4)</f>
        <v>72</v>
      </c>
      <c r="K13" s="26"/>
      <c r="L13" s="29"/>
      <c r="M13" s="26"/>
      <c r="N13" s="25" t="str">
        <f aca="false">IF($M13="CMT","본사(소재팀)",IF($M13="사입","생산처",""))</f>
        <v/>
      </c>
      <c r="O13" s="30"/>
      <c r="P13" s="30"/>
      <c r="Q13" s="25" t="str">
        <f aca="false">IF($H13="","출고일 미정",IF($K13="X","작지 미등록",IF(AND($L13&lt;&gt;"",$L13&gt;$I13),"소재입고 마감("&amp;TEXT($I13,"MM/DD")&amp;") 초과",IF($K13="","작지 등록여부 확인 필요",IF($L13="","소재 입고일정 확인 필요","정상")))))</f>
        <v>작지 등록여부 확인 필요</v>
      </c>
      <c r="R13" s="23" t="str">
        <f aca="false">IF($H13="","",IF(OR($Q13="작지 미등록",LEFT($Q13,4)="소재입고"),IF(LEFT($E13,1)="S","★ 납기위험(S코드)","◆ 지연주의"),IF($Q13="정상","✓ 정상","? 확인필요")))</f>
        <v>? 확인필요</v>
      </c>
      <c r="S13" s="26"/>
      <c r="T13" s="30"/>
    </row>
    <row r="14" customFormat="false" ht="15" hidden="false" customHeight="false" outlineLevel="0" collapsed="false">
      <c r="A14" s="23" t="n">
        <v>10</v>
      </c>
      <c r="B14" s="24" t="s">
        <v>77</v>
      </c>
      <c r="C14" s="25" t="s">
        <v>83</v>
      </c>
      <c r="D14" s="24" t="s">
        <v>84</v>
      </c>
      <c r="E14" s="23" t="str">
        <f aca="false">IF($C14="","",IF(MID($C14,5,1)="S","S(봄)",IF(MID($C14,5,1)="M","M(여름)",IF(MID($C14,5,1)="X","X(사계절)",MID($C14,5,1)))))</f>
        <v>S(봄)</v>
      </c>
      <c r="F14" s="24" t="s">
        <v>85</v>
      </c>
      <c r="G14" s="26" t="s">
        <v>65</v>
      </c>
      <c r="H14" s="27" t="n">
        <f aca="false">IF($G14="","",IFERROR(DATE(IF(VALUE(LEFT($G14,FIND("월",$G14)-1))&gt;=9,기준정보!$C$6-1,기준정보!$C$6),VALUE(LEFT($G14,FIND("월",$G14)-1)),1+7*(VALUE(SUBSTITUTE(MID($G14,FIND("월",$G14)+1,5),"주",""))-1)),""))</f>
        <v>46402</v>
      </c>
      <c r="I14" s="27" t="n">
        <f aca="false">IF($H14="","",$H14-기준정보!$C$5)</f>
        <v>46312</v>
      </c>
      <c r="J14" s="28" t="n">
        <f aca="false">IF($I14="","",$I14-기준정보!$C$4)</f>
        <v>72</v>
      </c>
      <c r="K14" s="26"/>
      <c r="L14" s="29"/>
      <c r="M14" s="26"/>
      <c r="N14" s="25" t="str">
        <f aca="false">IF($M14="CMT","본사(소재팀)",IF($M14="사입","생산처",""))</f>
        <v/>
      </c>
      <c r="O14" s="30"/>
      <c r="P14" s="30"/>
      <c r="Q14" s="25" t="str">
        <f aca="false">IF($H14="","출고일 미정",IF($K14="X","작지 미등록",IF(AND($L14&lt;&gt;"",$L14&gt;$I14),"소재입고 마감("&amp;TEXT($I14,"MM/DD")&amp;") 초과",IF($K14="","작지 등록여부 확인 필요",IF($L14="","소재 입고일정 확인 필요","정상")))))</f>
        <v>작지 등록여부 확인 필요</v>
      </c>
      <c r="R14" s="23" t="str">
        <f aca="false">IF($H14="","",IF(OR($Q14="작지 미등록",LEFT($Q14,4)="소재입고"),IF(LEFT($E14,1)="S","★ 납기위험(S코드)","◆ 지연주의"),IF($Q14="정상","✓ 정상","? 확인필요")))</f>
        <v>? 확인필요</v>
      </c>
      <c r="S14" s="26"/>
      <c r="T14" s="30"/>
    </row>
    <row r="15" customFormat="false" ht="15" hidden="false" customHeight="false" outlineLevel="0" collapsed="false">
      <c r="A15" s="23" t="n">
        <v>11</v>
      </c>
      <c r="B15" s="24" t="s">
        <v>77</v>
      </c>
      <c r="C15" s="25" t="s">
        <v>86</v>
      </c>
      <c r="D15" s="24" t="s">
        <v>87</v>
      </c>
      <c r="E15" s="23" t="str">
        <f aca="false">IF($C15="","",IF(MID($C15,5,1)="S","S(봄)",IF(MID($C15,5,1)="M","M(여름)",IF(MID($C15,5,1)="X","X(사계절)",MID($C15,5,1)))))</f>
        <v>S(봄)</v>
      </c>
      <c r="F15" s="25" t="s">
        <v>80</v>
      </c>
      <c r="G15" s="26" t="s">
        <v>65</v>
      </c>
      <c r="H15" s="27" t="n">
        <f aca="false">IF($G15="","",IFERROR(DATE(IF(VALUE(LEFT($G15,FIND("월",$G15)-1))&gt;=9,기준정보!$C$6-1,기준정보!$C$6),VALUE(LEFT($G15,FIND("월",$G15)-1)),1+7*(VALUE(SUBSTITUTE(MID($G15,FIND("월",$G15)+1,5),"주",""))-1)),""))</f>
        <v>46402</v>
      </c>
      <c r="I15" s="27" t="n">
        <f aca="false">IF($H15="","",$H15-기준정보!$C$5)</f>
        <v>46312</v>
      </c>
      <c r="J15" s="28" t="n">
        <f aca="false">IF($I15="","",$I15-기준정보!$C$4)</f>
        <v>72</v>
      </c>
      <c r="K15" s="26"/>
      <c r="L15" s="29"/>
      <c r="M15" s="26"/>
      <c r="N15" s="25" t="str">
        <f aca="false">IF($M15="CMT","본사(소재팀)",IF($M15="사입","생산처",""))</f>
        <v/>
      </c>
      <c r="O15" s="30"/>
      <c r="P15" s="30"/>
      <c r="Q15" s="25" t="str">
        <f aca="false">IF($H15="","출고일 미정",IF($K15="X","작지 미등록",IF(AND($L15&lt;&gt;"",$L15&gt;$I15),"소재입고 마감("&amp;TEXT($I15,"MM/DD")&amp;") 초과",IF($K15="","작지 등록여부 확인 필요",IF($L15="","소재 입고일정 확인 필요","정상")))))</f>
        <v>작지 등록여부 확인 필요</v>
      </c>
      <c r="R15" s="23" t="str">
        <f aca="false">IF($H15="","",IF(OR($Q15="작지 미등록",LEFT($Q15,4)="소재입고"),IF(LEFT($E15,1)="S","★ 납기위험(S코드)","◆ 지연주의"),IF($Q15="정상","✓ 정상","? 확인필요")))</f>
        <v>? 확인필요</v>
      </c>
      <c r="S15" s="26"/>
      <c r="T15" s="30"/>
    </row>
    <row r="16" customFormat="false" ht="15" hidden="false" customHeight="false" outlineLevel="0" collapsed="false">
      <c r="A16" s="23" t="n">
        <v>12</v>
      </c>
      <c r="B16" s="24" t="s">
        <v>77</v>
      </c>
      <c r="C16" s="25" t="s">
        <v>88</v>
      </c>
      <c r="D16" s="24" t="s">
        <v>89</v>
      </c>
      <c r="E16" s="23" t="str">
        <f aca="false">IF($C16="","",IF(MID($C16,5,1)="S","S(봄)",IF(MID($C16,5,1)="M","M(여름)",IF(MID($C16,5,1)="X","X(사계절)",MID($C16,5,1)))))</f>
        <v>S(봄)</v>
      </c>
      <c r="F16" s="25" t="s">
        <v>80</v>
      </c>
      <c r="G16" s="26" t="s">
        <v>65</v>
      </c>
      <c r="H16" s="27" t="n">
        <f aca="false">IF($G16="","",IFERROR(DATE(IF(VALUE(LEFT($G16,FIND("월",$G16)-1))&gt;=9,기준정보!$C$6-1,기준정보!$C$6),VALUE(LEFT($G16,FIND("월",$G16)-1)),1+7*(VALUE(SUBSTITUTE(MID($G16,FIND("월",$G16)+1,5),"주",""))-1)),""))</f>
        <v>46402</v>
      </c>
      <c r="I16" s="27" t="n">
        <f aca="false">IF($H16="","",$H16-기준정보!$C$5)</f>
        <v>46312</v>
      </c>
      <c r="J16" s="28" t="n">
        <f aca="false">IF($I16="","",$I16-기준정보!$C$4)</f>
        <v>72</v>
      </c>
      <c r="K16" s="26"/>
      <c r="L16" s="29"/>
      <c r="M16" s="26"/>
      <c r="N16" s="25" t="str">
        <f aca="false">IF($M16="CMT","본사(소재팀)",IF($M16="사입","생산처",""))</f>
        <v/>
      </c>
      <c r="O16" s="30"/>
      <c r="P16" s="30"/>
      <c r="Q16" s="25" t="str">
        <f aca="false">IF($H16="","출고일 미정",IF($K16="X","작지 미등록",IF(AND($L16&lt;&gt;"",$L16&gt;$I16),"소재입고 마감("&amp;TEXT($I16,"MM/DD")&amp;") 초과",IF($K16="","작지 등록여부 확인 필요",IF($L16="","소재 입고일정 확인 필요","정상")))))</f>
        <v>작지 등록여부 확인 필요</v>
      </c>
      <c r="R16" s="23" t="str">
        <f aca="false">IF($H16="","",IF(OR($Q16="작지 미등록",LEFT($Q16,4)="소재입고"),IF(LEFT($E16,1)="S","★ 납기위험(S코드)","◆ 지연주의"),IF($Q16="정상","✓ 정상","? 확인필요")))</f>
        <v>? 확인필요</v>
      </c>
      <c r="S16" s="26"/>
      <c r="T16" s="30"/>
    </row>
    <row r="17" customFormat="false" ht="15" hidden="false" customHeight="false" outlineLevel="0" collapsed="false">
      <c r="A17" s="23" t="n">
        <v>13</v>
      </c>
      <c r="B17" s="24" t="s">
        <v>77</v>
      </c>
      <c r="C17" s="25" t="s">
        <v>90</v>
      </c>
      <c r="D17" s="24" t="s">
        <v>91</v>
      </c>
      <c r="E17" s="23" t="str">
        <f aca="false">IF($C17="","",IF(MID($C17,5,1)="S","S(봄)",IF(MID($C17,5,1)="M","M(여름)",IF(MID($C17,5,1)="X","X(사계절)",MID($C17,5,1)))))</f>
        <v>S(봄)</v>
      </c>
      <c r="F17" s="25" t="s">
        <v>80</v>
      </c>
      <c r="G17" s="26" t="s">
        <v>65</v>
      </c>
      <c r="H17" s="27" t="n">
        <f aca="false">IF($G17="","",IFERROR(DATE(IF(VALUE(LEFT($G17,FIND("월",$G17)-1))&gt;=9,기준정보!$C$6-1,기준정보!$C$6),VALUE(LEFT($G17,FIND("월",$G17)-1)),1+7*(VALUE(SUBSTITUTE(MID($G17,FIND("월",$G17)+1,5),"주",""))-1)),""))</f>
        <v>46402</v>
      </c>
      <c r="I17" s="27" t="n">
        <f aca="false">IF($H17="","",$H17-기준정보!$C$5)</f>
        <v>46312</v>
      </c>
      <c r="J17" s="28" t="n">
        <f aca="false">IF($I17="","",$I17-기준정보!$C$4)</f>
        <v>72</v>
      </c>
      <c r="K17" s="26"/>
      <c r="L17" s="29"/>
      <c r="M17" s="26"/>
      <c r="N17" s="25" t="str">
        <f aca="false">IF($M17="CMT","본사(소재팀)",IF($M17="사입","생산처",""))</f>
        <v/>
      </c>
      <c r="O17" s="30"/>
      <c r="P17" s="30"/>
      <c r="Q17" s="25" t="str">
        <f aca="false">IF($H17="","출고일 미정",IF($K17="X","작지 미등록",IF(AND($L17&lt;&gt;"",$L17&gt;$I17),"소재입고 마감("&amp;TEXT($I17,"MM/DD")&amp;") 초과",IF($K17="","작지 등록여부 확인 필요",IF($L17="","소재 입고일정 확인 필요","정상")))))</f>
        <v>작지 등록여부 확인 필요</v>
      </c>
      <c r="R17" s="23" t="str">
        <f aca="false">IF($H17="","",IF(OR($Q17="작지 미등록",LEFT($Q17,4)="소재입고"),IF(LEFT($E17,1)="S","★ 납기위험(S코드)","◆ 지연주의"),IF($Q17="정상","✓ 정상","? 확인필요")))</f>
        <v>? 확인필요</v>
      </c>
      <c r="S17" s="26"/>
      <c r="T17" s="30"/>
    </row>
    <row r="18" customFormat="false" ht="15" hidden="false" customHeight="false" outlineLevel="0" collapsed="false">
      <c r="A18" s="23" t="n">
        <v>14</v>
      </c>
      <c r="B18" s="24" t="s">
        <v>77</v>
      </c>
      <c r="C18" s="25" t="s">
        <v>92</v>
      </c>
      <c r="D18" s="24" t="s">
        <v>93</v>
      </c>
      <c r="E18" s="23" t="str">
        <f aca="false">IF($C18="","",IF(MID($C18,5,1)="S","S(봄)",IF(MID($C18,5,1)="M","M(여름)",IF(MID($C18,5,1)="X","X(사계절)",MID($C18,5,1)))))</f>
        <v>S(봄)</v>
      </c>
      <c r="F18" s="25" t="s">
        <v>80</v>
      </c>
      <c r="G18" s="26" t="s">
        <v>65</v>
      </c>
      <c r="H18" s="27" t="n">
        <f aca="false">IF($G18="","",IFERROR(DATE(IF(VALUE(LEFT($G18,FIND("월",$G18)-1))&gt;=9,기준정보!$C$6-1,기준정보!$C$6),VALUE(LEFT($G18,FIND("월",$G18)-1)),1+7*(VALUE(SUBSTITUTE(MID($G18,FIND("월",$G18)+1,5),"주",""))-1)),""))</f>
        <v>46402</v>
      </c>
      <c r="I18" s="27" t="n">
        <f aca="false">IF($H18="","",$H18-기준정보!$C$5)</f>
        <v>46312</v>
      </c>
      <c r="J18" s="28" t="n">
        <f aca="false">IF($I18="","",$I18-기준정보!$C$4)</f>
        <v>72</v>
      </c>
      <c r="K18" s="26"/>
      <c r="L18" s="29"/>
      <c r="M18" s="26"/>
      <c r="N18" s="25" t="str">
        <f aca="false">IF($M18="CMT","본사(소재팀)",IF($M18="사입","생산처",""))</f>
        <v/>
      </c>
      <c r="O18" s="30"/>
      <c r="P18" s="30"/>
      <c r="Q18" s="25" t="str">
        <f aca="false">IF($H18="","출고일 미정",IF($K18="X","작지 미등록",IF(AND($L18&lt;&gt;"",$L18&gt;$I18),"소재입고 마감("&amp;TEXT($I18,"MM/DD")&amp;") 초과",IF($K18="","작지 등록여부 확인 필요",IF($L18="","소재 입고일정 확인 필요","정상")))))</f>
        <v>작지 등록여부 확인 필요</v>
      </c>
      <c r="R18" s="23" t="str">
        <f aca="false">IF($H18="","",IF(OR($Q18="작지 미등록",LEFT($Q18,4)="소재입고"),IF(LEFT($E18,1)="S","★ 납기위험(S코드)","◆ 지연주의"),IF($Q18="정상","✓ 정상","? 확인필요")))</f>
        <v>? 확인필요</v>
      </c>
      <c r="S18" s="26"/>
      <c r="T18" s="30"/>
    </row>
    <row r="19" customFormat="false" ht="15" hidden="false" customHeight="false" outlineLevel="0" collapsed="false">
      <c r="A19" s="23" t="n">
        <v>15</v>
      </c>
      <c r="B19" s="24" t="s">
        <v>66</v>
      </c>
      <c r="C19" s="25" t="s">
        <v>94</v>
      </c>
      <c r="D19" s="24" t="s">
        <v>95</v>
      </c>
      <c r="E19" s="23" t="str">
        <f aca="false">IF($C19="","",IF(MID($C19,5,1)="S","S(봄)",IF(MID($C19,5,1)="M","M(여름)",IF(MID($C19,5,1)="X","X(사계절)",MID($C19,5,1)))))</f>
        <v>S(봄)</v>
      </c>
      <c r="F19" s="25" t="s">
        <v>64</v>
      </c>
      <c r="G19" s="26" t="s">
        <v>96</v>
      </c>
      <c r="H19" s="27" t="n">
        <f aca="false">IF($G19="","",IFERROR(DATE(IF(VALUE(LEFT($G19,FIND("월",$G19)-1))&gt;=9,기준정보!$C$6-1,기준정보!$C$6),VALUE(LEFT($G19,FIND("월",$G19)-1)),1+7*(VALUE(SUBSTITUTE(MID($G19,FIND("월",$G19)+1,5),"주",""))-1)),""))</f>
        <v>46409</v>
      </c>
      <c r="I19" s="27" t="n">
        <f aca="false">IF($H19="","",$H19-기준정보!$C$5)</f>
        <v>46319</v>
      </c>
      <c r="J19" s="28" t="n">
        <f aca="false">IF($I19="","",$I19-기준정보!$C$4)</f>
        <v>79</v>
      </c>
      <c r="K19" s="26"/>
      <c r="L19" s="29"/>
      <c r="M19" s="26"/>
      <c r="N19" s="25" t="str">
        <f aca="false">IF($M19="CMT","본사(소재팀)",IF($M19="사입","생산처",""))</f>
        <v/>
      </c>
      <c r="O19" s="30"/>
      <c r="P19" s="30"/>
      <c r="Q19" s="25" t="str">
        <f aca="false">IF($H19="","출고일 미정",IF($K19="X","작지 미등록",IF(AND($L19&lt;&gt;"",$L19&gt;$I19),"소재입고 마감("&amp;TEXT($I19,"MM/DD")&amp;") 초과",IF($K19="","작지 등록여부 확인 필요",IF($L19="","소재 입고일정 확인 필요","정상")))))</f>
        <v>작지 등록여부 확인 필요</v>
      </c>
      <c r="R19" s="23" t="str">
        <f aca="false">IF($H19="","",IF(OR($Q19="작지 미등록",LEFT($Q19,4)="소재입고"),IF(LEFT($E19,1)="S","★ 납기위험(S코드)","◆ 지연주의"),IF($Q19="정상","✓ 정상","? 확인필요")))</f>
        <v>? 확인필요</v>
      </c>
      <c r="S19" s="26"/>
      <c r="T19" s="30"/>
    </row>
    <row r="20" customFormat="false" ht="15" hidden="false" customHeight="false" outlineLevel="0" collapsed="false">
      <c r="A20" s="23" t="n">
        <v>16</v>
      </c>
      <c r="B20" s="24" t="s">
        <v>66</v>
      </c>
      <c r="C20" s="25" t="s">
        <v>97</v>
      </c>
      <c r="D20" s="24" t="s">
        <v>98</v>
      </c>
      <c r="E20" s="23" t="str">
        <f aca="false">IF($C20="","",IF(MID($C20,5,1)="S","S(봄)",IF(MID($C20,5,1)="M","M(여름)",IF(MID($C20,5,1)="X","X(사계절)",MID($C20,5,1)))))</f>
        <v>S(봄)</v>
      </c>
      <c r="F20" s="25" t="s">
        <v>64</v>
      </c>
      <c r="G20" s="26" t="s">
        <v>96</v>
      </c>
      <c r="H20" s="27" t="n">
        <f aca="false">IF($G20="","",IFERROR(DATE(IF(VALUE(LEFT($G20,FIND("월",$G20)-1))&gt;=9,기준정보!$C$6-1,기준정보!$C$6),VALUE(LEFT($G20,FIND("월",$G20)-1)),1+7*(VALUE(SUBSTITUTE(MID($G20,FIND("월",$G20)+1,5),"주",""))-1)),""))</f>
        <v>46409</v>
      </c>
      <c r="I20" s="27" t="n">
        <f aca="false">IF($H20="","",$H20-기준정보!$C$5)</f>
        <v>46319</v>
      </c>
      <c r="J20" s="28" t="n">
        <f aca="false">IF($I20="","",$I20-기준정보!$C$4)</f>
        <v>79</v>
      </c>
      <c r="K20" s="26"/>
      <c r="L20" s="29"/>
      <c r="M20" s="26"/>
      <c r="N20" s="25" t="str">
        <f aca="false">IF($M20="CMT","본사(소재팀)",IF($M20="사입","생산처",""))</f>
        <v/>
      </c>
      <c r="O20" s="30"/>
      <c r="P20" s="30"/>
      <c r="Q20" s="25" t="str">
        <f aca="false">IF($H20="","출고일 미정",IF($K20="X","작지 미등록",IF(AND($L20&lt;&gt;"",$L20&gt;$I20),"소재입고 마감("&amp;TEXT($I20,"MM/DD")&amp;") 초과",IF($K20="","작지 등록여부 확인 필요",IF($L20="","소재 입고일정 확인 필요","정상")))))</f>
        <v>작지 등록여부 확인 필요</v>
      </c>
      <c r="R20" s="23" t="str">
        <f aca="false">IF($H20="","",IF(OR($Q20="작지 미등록",LEFT($Q20,4)="소재입고"),IF(LEFT($E20,1)="S","★ 납기위험(S코드)","◆ 지연주의"),IF($Q20="정상","✓ 정상","? 확인필요")))</f>
        <v>? 확인필요</v>
      </c>
      <c r="S20" s="26"/>
      <c r="T20" s="30"/>
    </row>
    <row r="21" customFormat="false" ht="15" hidden="false" customHeight="false" outlineLevel="0" collapsed="false">
      <c r="A21" s="23" t="n">
        <v>17</v>
      </c>
      <c r="B21" s="24" t="s">
        <v>66</v>
      </c>
      <c r="C21" s="25" t="s">
        <v>99</v>
      </c>
      <c r="D21" s="24" t="s">
        <v>100</v>
      </c>
      <c r="E21" s="23" t="str">
        <f aca="false">IF($C21="","",IF(MID($C21,5,1)="S","S(봄)",IF(MID($C21,5,1)="M","M(여름)",IF(MID($C21,5,1)="X","X(사계절)",MID($C21,5,1)))))</f>
        <v>S(봄)</v>
      </c>
      <c r="F21" s="25" t="s">
        <v>64</v>
      </c>
      <c r="G21" s="26" t="s">
        <v>101</v>
      </c>
      <c r="H21" s="27" t="n">
        <f aca="false">IF($G21="","",IFERROR(DATE(IF(VALUE(LEFT($G21,FIND("월",$G21)-1))&gt;=9,기준정보!$C$6-1,기준정보!$C$6),VALUE(LEFT($G21,FIND("월",$G21)-1)),1+7*(VALUE(SUBSTITUTE(MID($G21,FIND("월",$G21)+1,5),"주",""))-1)),""))</f>
        <v>46419</v>
      </c>
      <c r="I21" s="27" t="n">
        <f aca="false">IF($H21="","",$H21-기준정보!$C$5)</f>
        <v>46329</v>
      </c>
      <c r="J21" s="28" t="n">
        <f aca="false">IF($I21="","",$I21-기준정보!$C$4)</f>
        <v>89</v>
      </c>
      <c r="K21" s="26"/>
      <c r="L21" s="29"/>
      <c r="M21" s="26"/>
      <c r="N21" s="25" t="str">
        <f aca="false">IF($M21="CMT","본사(소재팀)",IF($M21="사입","생산처",""))</f>
        <v/>
      </c>
      <c r="O21" s="30"/>
      <c r="P21" s="30"/>
      <c r="Q21" s="25" t="str">
        <f aca="false">IF($H21="","출고일 미정",IF($K21="X","작지 미등록",IF(AND($L21&lt;&gt;"",$L21&gt;$I21),"소재입고 마감("&amp;TEXT($I21,"MM/DD")&amp;") 초과",IF($K21="","작지 등록여부 확인 필요",IF($L21="","소재 입고일정 확인 필요","정상")))))</f>
        <v>작지 등록여부 확인 필요</v>
      </c>
      <c r="R21" s="23" t="str">
        <f aca="false">IF($H21="","",IF(OR($Q21="작지 미등록",LEFT($Q21,4)="소재입고"),IF(LEFT($E21,1)="S","★ 납기위험(S코드)","◆ 지연주의"),IF($Q21="정상","✓ 정상","? 확인필요")))</f>
        <v>? 확인필요</v>
      </c>
      <c r="S21" s="26"/>
      <c r="T21" s="30"/>
    </row>
    <row r="22" customFormat="false" ht="15" hidden="false" customHeight="false" outlineLevel="0" collapsed="false">
      <c r="A22" s="23" t="n">
        <v>18</v>
      </c>
      <c r="B22" s="24" t="s">
        <v>66</v>
      </c>
      <c r="C22" s="25" t="s">
        <v>102</v>
      </c>
      <c r="D22" s="24" t="s">
        <v>103</v>
      </c>
      <c r="E22" s="23" t="str">
        <f aca="false">IF($C22="","",IF(MID($C22,5,1)="S","S(봄)",IF(MID($C22,5,1)="M","M(여름)",IF(MID($C22,5,1)="X","X(사계절)",MID($C22,5,1)))))</f>
        <v>S(봄)</v>
      </c>
      <c r="F22" s="25" t="s">
        <v>64</v>
      </c>
      <c r="G22" s="26" t="s">
        <v>101</v>
      </c>
      <c r="H22" s="27" t="n">
        <f aca="false">IF($G22="","",IFERROR(DATE(IF(VALUE(LEFT($G22,FIND("월",$G22)-1))&gt;=9,기준정보!$C$6-1,기준정보!$C$6),VALUE(LEFT($G22,FIND("월",$G22)-1)),1+7*(VALUE(SUBSTITUTE(MID($G22,FIND("월",$G22)+1,5),"주",""))-1)),""))</f>
        <v>46419</v>
      </c>
      <c r="I22" s="27" t="n">
        <f aca="false">IF($H22="","",$H22-기준정보!$C$5)</f>
        <v>46329</v>
      </c>
      <c r="J22" s="28" t="n">
        <f aca="false">IF($I22="","",$I22-기준정보!$C$4)</f>
        <v>89</v>
      </c>
      <c r="K22" s="26"/>
      <c r="L22" s="29"/>
      <c r="M22" s="26"/>
      <c r="N22" s="25" t="str">
        <f aca="false">IF($M22="CMT","본사(소재팀)",IF($M22="사입","생산처",""))</f>
        <v/>
      </c>
      <c r="O22" s="30"/>
      <c r="P22" s="30"/>
      <c r="Q22" s="25" t="str">
        <f aca="false">IF($H22="","출고일 미정",IF($K22="X","작지 미등록",IF(AND($L22&lt;&gt;"",$L22&gt;$I22),"소재입고 마감("&amp;TEXT($I22,"MM/DD")&amp;") 초과",IF($K22="","작지 등록여부 확인 필요",IF($L22="","소재 입고일정 확인 필요","정상")))))</f>
        <v>작지 등록여부 확인 필요</v>
      </c>
      <c r="R22" s="23" t="str">
        <f aca="false">IF($H22="","",IF(OR($Q22="작지 미등록",LEFT($Q22,4)="소재입고"),IF(LEFT($E22,1)="S","★ 납기위험(S코드)","◆ 지연주의"),IF($Q22="정상","✓ 정상","? 확인필요")))</f>
        <v>? 확인필요</v>
      </c>
      <c r="S22" s="26"/>
      <c r="T22" s="30"/>
    </row>
    <row r="23" customFormat="false" ht="15" hidden="false" customHeight="false" outlineLevel="0" collapsed="false">
      <c r="A23" s="23" t="n">
        <v>19</v>
      </c>
      <c r="B23" s="24" t="s">
        <v>66</v>
      </c>
      <c r="C23" s="25" t="s">
        <v>104</v>
      </c>
      <c r="D23" s="24" t="s">
        <v>105</v>
      </c>
      <c r="E23" s="23" t="str">
        <f aca="false">IF($C23="","",IF(MID($C23,5,1)="S","S(봄)",IF(MID($C23,5,1)="M","M(여름)",IF(MID($C23,5,1)="X","X(사계절)",MID($C23,5,1)))))</f>
        <v>S(봄)</v>
      </c>
      <c r="F23" s="25" t="s">
        <v>64</v>
      </c>
      <c r="G23" s="26" t="s">
        <v>101</v>
      </c>
      <c r="H23" s="27" t="n">
        <f aca="false">IF($G23="","",IFERROR(DATE(IF(VALUE(LEFT($G23,FIND("월",$G23)-1))&gt;=9,기준정보!$C$6-1,기준정보!$C$6),VALUE(LEFT($G23,FIND("월",$G23)-1)),1+7*(VALUE(SUBSTITUTE(MID($G23,FIND("월",$G23)+1,5),"주",""))-1)),""))</f>
        <v>46419</v>
      </c>
      <c r="I23" s="27" t="n">
        <f aca="false">IF($H23="","",$H23-기준정보!$C$5)</f>
        <v>46329</v>
      </c>
      <c r="J23" s="28" t="n">
        <f aca="false">IF($I23="","",$I23-기준정보!$C$4)</f>
        <v>89</v>
      </c>
      <c r="K23" s="26"/>
      <c r="L23" s="29"/>
      <c r="M23" s="26"/>
      <c r="N23" s="25" t="str">
        <f aca="false">IF($M23="CMT","본사(소재팀)",IF($M23="사입","생산처",""))</f>
        <v/>
      </c>
      <c r="O23" s="30"/>
      <c r="P23" s="30"/>
      <c r="Q23" s="25" t="str">
        <f aca="false">IF($H23="","출고일 미정",IF($K23="X","작지 미등록",IF(AND($L23&lt;&gt;"",$L23&gt;$I23),"소재입고 마감("&amp;TEXT($I23,"MM/DD")&amp;") 초과",IF($K23="","작지 등록여부 확인 필요",IF($L23="","소재 입고일정 확인 필요","정상")))))</f>
        <v>작지 등록여부 확인 필요</v>
      </c>
      <c r="R23" s="23" t="str">
        <f aca="false">IF($H23="","",IF(OR($Q23="작지 미등록",LEFT($Q23,4)="소재입고"),IF(LEFT($E23,1)="S","★ 납기위험(S코드)","◆ 지연주의"),IF($Q23="정상","✓ 정상","? 확인필요")))</f>
        <v>? 확인필요</v>
      </c>
      <c r="S23" s="26"/>
      <c r="T23" s="30"/>
    </row>
    <row r="24" customFormat="false" ht="15" hidden="false" customHeight="false" outlineLevel="0" collapsed="false">
      <c r="A24" s="23" t="n">
        <v>20</v>
      </c>
      <c r="B24" s="24" t="s">
        <v>66</v>
      </c>
      <c r="C24" s="25" t="s">
        <v>106</v>
      </c>
      <c r="D24" s="24" t="s">
        <v>107</v>
      </c>
      <c r="E24" s="23" t="str">
        <f aca="false">IF($C24="","",IF(MID($C24,5,1)="S","S(봄)",IF(MID($C24,5,1)="M","M(여름)",IF(MID($C24,5,1)="X","X(사계절)",MID($C24,5,1)))))</f>
        <v>S(봄)</v>
      </c>
      <c r="F24" s="25" t="s">
        <v>64</v>
      </c>
      <c r="G24" s="26" t="s">
        <v>101</v>
      </c>
      <c r="H24" s="27" t="n">
        <f aca="false">IF($G24="","",IFERROR(DATE(IF(VALUE(LEFT($G24,FIND("월",$G24)-1))&gt;=9,기준정보!$C$6-1,기준정보!$C$6),VALUE(LEFT($G24,FIND("월",$G24)-1)),1+7*(VALUE(SUBSTITUTE(MID($G24,FIND("월",$G24)+1,5),"주",""))-1)),""))</f>
        <v>46419</v>
      </c>
      <c r="I24" s="27" t="n">
        <f aca="false">IF($H24="","",$H24-기준정보!$C$5)</f>
        <v>46329</v>
      </c>
      <c r="J24" s="28" t="n">
        <f aca="false">IF($I24="","",$I24-기준정보!$C$4)</f>
        <v>89</v>
      </c>
      <c r="K24" s="26"/>
      <c r="L24" s="29"/>
      <c r="M24" s="26"/>
      <c r="N24" s="25" t="str">
        <f aca="false">IF($M24="CMT","본사(소재팀)",IF($M24="사입","생산처",""))</f>
        <v/>
      </c>
      <c r="O24" s="30"/>
      <c r="P24" s="30"/>
      <c r="Q24" s="25" t="str">
        <f aca="false">IF($H24="","출고일 미정",IF($K24="X","작지 미등록",IF(AND($L24&lt;&gt;"",$L24&gt;$I24),"소재입고 마감("&amp;TEXT($I24,"MM/DD")&amp;") 초과",IF($K24="","작지 등록여부 확인 필요",IF($L24="","소재 입고일정 확인 필요","정상")))))</f>
        <v>작지 등록여부 확인 필요</v>
      </c>
      <c r="R24" s="23" t="str">
        <f aca="false">IF($H24="","",IF(OR($Q24="작지 미등록",LEFT($Q24,4)="소재입고"),IF(LEFT($E24,1)="S","★ 납기위험(S코드)","◆ 지연주의"),IF($Q24="정상","✓ 정상","? 확인필요")))</f>
        <v>? 확인필요</v>
      </c>
      <c r="S24" s="26"/>
      <c r="T24" s="30"/>
    </row>
    <row r="25" customFormat="false" ht="15" hidden="false" customHeight="false" outlineLevel="0" collapsed="false">
      <c r="A25" s="23" t="n">
        <v>21</v>
      </c>
      <c r="B25" s="24" t="s">
        <v>66</v>
      </c>
      <c r="C25" s="25" t="s">
        <v>108</v>
      </c>
      <c r="D25" s="24" t="s">
        <v>109</v>
      </c>
      <c r="E25" s="23" t="str">
        <f aca="false">IF($C25="","",IF(MID($C25,5,1)="S","S(봄)",IF(MID($C25,5,1)="M","M(여름)",IF(MID($C25,5,1)="X","X(사계절)",MID($C25,5,1)))))</f>
        <v>S(봄)</v>
      </c>
      <c r="F25" s="25" t="s">
        <v>64</v>
      </c>
      <c r="G25" s="26" t="s">
        <v>101</v>
      </c>
      <c r="H25" s="27" t="n">
        <f aca="false">IF($G25="","",IFERROR(DATE(IF(VALUE(LEFT($G25,FIND("월",$G25)-1))&gt;=9,기준정보!$C$6-1,기준정보!$C$6),VALUE(LEFT($G25,FIND("월",$G25)-1)),1+7*(VALUE(SUBSTITUTE(MID($G25,FIND("월",$G25)+1,5),"주",""))-1)),""))</f>
        <v>46419</v>
      </c>
      <c r="I25" s="27" t="n">
        <f aca="false">IF($H25="","",$H25-기준정보!$C$5)</f>
        <v>46329</v>
      </c>
      <c r="J25" s="28" t="n">
        <f aca="false">IF($I25="","",$I25-기준정보!$C$4)</f>
        <v>89</v>
      </c>
      <c r="K25" s="26"/>
      <c r="L25" s="29"/>
      <c r="M25" s="26"/>
      <c r="N25" s="25" t="str">
        <f aca="false">IF($M25="CMT","본사(소재팀)",IF($M25="사입","생산처",""))</f>
        <v/>
      </c>
      <c r="O25" s="30"/>
      <c r="P25" s="30"/>
      <c r="Q25" s="25" t="str">
        <f aca="false">IF($H25="","출고일 미정",IF($K25="X","작지 미등록",IF(AND($L25&lt;&gt;"",$L25&gt;$I25),"소재입고 마감("&amp;TEXT($I25,"MM/DD")&amp;") 초과",IF($K25="","작지 등록여부 확인 필요",IF($L25="","소재 입고일정 확인 필요","정상")))))</f>
        <v>작지 등록여부 확인 필요</v>
      </c>
      <c r="R25" s="23" t="str">
        <f aca="false">IF($H25="","",IF(OR($Q25="작지 미등록",LEFT($Q25,4)="소재입고"),IF(LEFT($E25,1)="S","★ 납기위험(S코드)","◆ 지연주의"),IF($Q25="정상","✓ 정상","? 확인필요")))</f>
        <v>? 확인필요</v>
      </c>
      <c r="S25" s="26"/>
      <c r="T25" s="30"/>
    </row>
    <row r="26" customFormat="false" ht="15" hidden="false" customHeight="false" outlineLevel="0" collapsed="false">
      <c r="A26" s="23" t="n">
        <v>22</v>
      </c>
      <c r="B26" s="24" t="s">
        <v>66</v>
      </c>
      <c r="C26" s="25" t="s">
        <v>110</v>
      </c>
      <c r="D26" s="24" t="s">
        <v>111</v>
      </c>
      <c r="E26" s="23" t="str">
        <f aca="false">IF($C26="","",IF(MID($C26,5,1)="S","S(봄)",IF(MID($C26,5,1)="M","M(여름)",IF(MID($C26,5,1)="X","X(사계절)",MID($C26,5,1)))))</f>
        <v>S(봄)</v>
      </c>
      <c r="F26" s="25" t="s">
        <v>64</v>
      </c>
      <c r="G26" s="26" t="s">
        <v>101</v>
      </c>
      <c r="H26" s="27" t="n">
        <f aca="false">IF($G26="","",IFERROR(DATE(IF(VALUE(LEFT($G26,FIND("월",$G26)-1))&gt;=9,기준정보!$C$6-1,기준정보!$C$6),VALUE(LEFT($G26,FIND("월",$G26)-1)),1+7*(VALUE(SUBSTITUTE(MID($G26,FIND("월",$G26)+1,5),"주",""))-1)),""))</f>
        <v>46419</v>
      </c>
      <c r="I26" s="27" t="n">
        <f aca="false">IF($H26="","",$H26-기준정보!$C$5)</f>
        <v>46329</v>
      </c>
      <c r="J26" s="28" t="n">
        <f aca="false">IF($I26="","",$I26-기준정보!$C$4)</f>
        <v>89</v>
      </c>
      <c r="K26" s="26"/>
      <c r="L26" s="29"/>
      <c r="M26" s="26"/>
      <c r="N26" s="25" t="str">
        <f aca="false">IF($M26="CMT","본사(소재팀)",IF($M26="사입","생산처",""))</f>
        <v/>
      </c>
      <c r="O26" s="30"/>
      <c r="P26" s="30"/>
      <c r="Q26" s="25" t="str">
        <f aca="false">IF($H26="","출고일 미정",IF($K26="X","작지 미등록",IF(AND($L26&lt;&gt;"",$L26&gt;$I26),"소재입고 마감("&amp;TEXT($I26,"MM/DD")&amp;") 초과",IF($K26="","작지 등록여부 확인 필요",IF($L26="","소재 입고일정 확인 필요","정상")))))</f>
        <v>작지 등록여부 확인 필요</v>
      </c>
      <c r="R26" s="23" t="str">
        <f aca="false">IF($H26="","",IF(OR($Q26="작지 미등록",LEFT($Q26,4)="소재입고"),IF(LEFT($E26,1)="S","★ 납기위험(S코드)","◆ 지연주의"),IF($Q26="정상","✓ 정상","? 확인필요")))</f>
        <v>? 확인필요</v>
      </c>
      <c r="S26" s="26"/>
      <c r="T26" s="30"/>
    </row>
    <row r="27" customFormat="false" ht="15" hidden="false" customHeight="false" outlineLevel="0" collapsed="false">
      <c r="A27" s="23" t="n">
        <v>23</v>
      </c>
      <c r="B27" s="24" t="s">
        <v>66</v>
      </c>
      <c r="C27" s="25" t="s">
        <v>112</v>
      </c>
      <c r="D27" s="24" t="s">
        <v>113</v>
      </c>
      <c r="E27" s="23" t="str">
        <f aca="false">IF($C27="","",IF(MID($C27,5,1)="S","S(봄)",IF(MID($C27,5,1)="M","M(여름)",IF(MID($C27,5,1)="X","X(사계절)",MID($C27,5,1)))))</f>
        <v>S(봄)</v>
      </c>
      <c r="F27" s="25" t="s">
        <v>64</v>
      </c>
      <c r="G27" s="26" t="s">
        <v>101</v>
      </c>
      <c r="H27" s="27" t="n">
        <f aca="false">IF($G27="","",IFERROR(DATE(IF(VALUE(LEFT($G27,FIND("월",$G27)-1))&gt;=9,기준정보!$C$6-1,기준정보!$C$6),VALUE(LEFT($G27,FIND("월",$G27)-1)),1+7*(VALUE(SUBSTITUTE(MID($G27,FIND("월",$G27)+1,5),"주",""))-1)),""))</f>
        <v>46419</v>
      </c>
      <c r="I27" s="27" t="n">
        <f aca="false">IF($H27="","",$H27-기준정보!$C$5)</f>
        <v>46329</v>
      </c>
      <c r="J27" s="28" t="n">
        <f aca="false">IF($I27="","",$I27-기준정보!$C$4)</f>
        <v>89</v>
      </c>
      <c r="K27" s="26"/>
      <c r="L27" s="29"/>
      <c r="M27" s="26"/>
      <c r="N27" s="25" t="str">
        <f aca="false">IF($M27="CMT","본사(소재팀)",IF($M27="사입","생산처",""))</f>
        <v/>
      </c>
      <c r="O27" s="30"/>
      <c r="P27" s="30"/>
      <c r="Q27" s="25" t="str">
        <f aca="false">IF($H27="","출고일 미정",IF($K27="X","작지 미등록",IF(AND($L27&lt;&gt;"",$L27&gt;$I27),"소재입고 마감("&amp;TEXT($I27,"MM/DD")&amp;") 초과",IF($K27="","작지 등록여부 확인 필요",IF($L27="","소재 입고일정 확인 필요","정상")))))</f>
        <v>작지 등록여부 확인 필요</v>
      </c>
      <c r="R27" s="23" t="str">
        <f aca="false">IF($H27="","",IF(OR($Q27="작지 미등록",LEFT($Q27,4)="소재입고"),IF(LEFT($E27,1)="S","★ 납기위험(S코드)","◆ 지연주의"),IF($Q27="정상","✓ 정상","? 확인필요")))</f>
        <v>? 확인필요</v>
      </c>
      <c r="S27" s="26"/>
      <c r="T27" s="30"/>
    </row>
    <row r="28" customFormat="false" ht="15" hidden="false" customHeight="false" outlineLevel="0" collapsed="false">
      <c r="A28" s="23" t="n">
        <v>24</v>
      </c>
      <c r="B28" s="24" t="s">
        <v>77</v>
      </c>
      <c r="C28" s="25" t="s">
        <v>114</v>
      </c>
      <c r="D28" s="24" t="s">
        <v>115</v>
      </c>
      <c r="E28" s="23" t="str">
        <f aca="false">IF($C28="","",IF(MID($C28,5,1)="S","S(봄)",IF(MID($C28,5,1)="M","M(여름)",IF(MID($C28,5,1)="X","X(사계절)",MID($C28,5,1)))))</f>
        <v>S(봄)</v>
      </c>
      <c r="F28" s="25" t="s">
        <v>80</v>
      </c>
      <c r="G28" s="26" t="s">
        <v>101</v>
      </c>
      <c r="H28" s="27" t="n">
        <f aca="false">IF($G28="","",IFERROR(DATE(IF(VALUE(LEFT($G28,FIND("월",$G28)-1))&gt;=9,기준정보!$C$6-1,기준정보!$C$6),VALUE(LEFT($G28,FIND("월",$G28)-1)),1+7*(VALUE(SUBSTITUTE(MID($G28,FIND("월",$G28)+1,5),"주",""))-1)),""))</f>
        <v>46419</v>
      </c>
      <c r="I28" s="27" t="n">
        <f aca="false">IF($H28="","",$H28-기준정보!$C$5)</f>
        <v>46329</v>
      </c>
      <c r="J28" s="28" t="n">
        <f aca="false">IF($I28="","",$I28-기준정보!$C$4)</f>
        <v>89</v>
      </c>
      <c r="K28" s="26"/>
      <c r="L28" s="29"/>
      <c r="M28" s="26"/>
      <c r="N28" s="25" t="str">
        <f aca="false">IF($M28="CMT","본사(소재팀)",IF($M28="사입","생산처",""))</f>
        <v/>
      </c>
      <c r="O28" s="30"/>
      <c r="P28" s="30"/>
      <c r="Q28" s="25" t="str">
        <f aca="false">IF($H28="","출고일 미정",IF($K28="X","작지 미등록",IF(AND($L28&lt;&gt;"",$L28&gt;$I28),"소재입고 마감("&amp;TEXT($I28,"MM/DD")&amp;") 초과",IF($K28="","작지 등록여부 확인 필요",IF($L28="","소재 입고일정 확인 필요","정상")))))</f>
        <v>작지 등록여부 확인 필요</v>
      </c>
      <c r="R28" s="23" t="str">
        <f aca="false">IF($H28="","",IF(OR($Q28="작지 미등록",LEFT($Q28,4)="소재입고"),IF(LEFT($E28,1)="S","★ 납기위험(S코드)","◆ 지연주의"),IF($Q28="정상","✓ 정상","? 확인필요")))</f>
        <v>? 확인필요</v>
      </c>
      <c r="S28" s="26"/>
      <c r="T28" s="30"/>
    </row>
    <row r="29" customFormat="false" ht="15" hidden="false" customHeight="false" outlineLevel="0" collapsed="false">
      <c r="A29" s="23" t="n">
        <v>25</v>
      </c>
      <c r="B29" s="24" t="s">
        <v>77</v>
      </c>
      <c r="C29" s="25" t="s">
        <v>116</v>
      </c>
      <c r="D29" s="24" t="s">
        <v>117</v>
      </c>
      <c r="E29" s="23" t="str">
        <f aca="false">IF($C29="","",IF(MID($C29,5,1)="S","S(봄)",IF(MID($C29,5,1)="M","M(여름)",IF(MID($C29,5,1)="X","X(사계절)",MID($C29,5,1)))))</f>
        <v>S(봄)</v>
      </c>
      <c r="F29" s="25" t="s">
        <v>80</v>
      </c>
      <c r="G29" s="26" t="s">
        <v>101</v>
      </c>
      <c r="H29" s="27" t="n">
        <f aca="false">IF($G29="","",IFERROR(DATE(IF(VALUE(LEFT($G29,FIND("월",$G29)-1))&gt;=9,기준정보!$C$6-1,기준정보!$C$6),VALUE(LEFT($G29,FIND("월",$G29)-1)),1+7*(VALUE(SUBSTITUTE(MID($G29,FIND("월",$G29)+1,5),"주",""))-1)),""))</f>
        <v>46419</v>
      </c>
      <c r="I29" s="27" t="n">
        <f aca="false">IF($H29="","",$H29-기준정보!$C$5)</f>
        <v>46329</v>
      </c>
      <c r="J29" s="28" t="n">
        <f aca="false">IF($I29="","",$I29-기준정보!$C$4)</f>
        <v>89</v>
      </c>
      <c r="K29" s="26"/>
      <c r="L29" s="29"/>
      <c r="M29" s="26"/>
      <c r="N29" s="25" t="str">
        <f aca="false">IF($M29="CMT","본사(소재팀)",IF($M29="사입","생산처",""))</f>
        <v/>
      </c>
      <c r="O29" s="30"/>
      <c r="P29" s="30"/>
      <c r="Q29" s="25" t="str">
        <f aca="false">IF($H29="","출고일 미정",IF($K29="X","작지 미등록",IF(AND($L29&lt;&gt;"",$L29&gt;$I29),"소재입고 마감("&amp;TEXT($I29,"MM/DD")&amp;") 초과",IF($K29="","작지 등록여부 확인 필요",IF($L29="","소재 입고일정 확인 필요","정상")))))</f>
        <v>작지 등록여부 확인 필요</v>
      </c>
      <c r="R29" s="23" t="str">
        <f aca="false">IF($H29="","",IF(OR($Q29="작지 미등록",LEFT($Q29,4)="소재입고"),IF(LEFT($E29,1)="S","★ 납기위험(S코드)","◆ 지연주의"),IF($Q29="정상","✓ 정상","? 확인필요")))</f>
        <v>? 확인필요</v>
      </c>
      <c r="S29" s="26"/>
      <c r="T29" s="30"/>
    </row>
    <row r="30" customFormat="false" ht="15" hidden="false" customHeight="false" outlineLevel="0" collapsed="false">
      <c r="A30" s="23" t="n">
        <v>26</v>
      </c>
      <c r="B30" s="24" t="s">
        <v>77</v>
      </c>
      <c r="C30" s="25" t="s">
        <v>118</v>
      </c>
      <c r="D30" s="24" t="s">
        <v>119</v>
      </c>
      <c r="E30" s="23" t="str">
        <f aca="false">IF($C30="","",IF(MID($C30,5,1)="S","S(봄)",IF(MID($C30,5,1)="M","M(여름)",IF(MID($C30,5,1)="X","X(사계절)",MID($C30,5,1)))))</f>
        <v>S(봄)</v>
      </c>
      <c r="F30" s="25" t="s">
        <v>80</v>
      </c>
      <c r="G30" s="26" t="s">
        <v>101</v>
      </c>
      <c r="H30" s="27" t="n">
        <f aca="false">IF($G30="","",IFERROR(DATE(IF(VALUE(LEFT($G30,FIND("월",$G30)-1))&gt;=9,기준정보!$C$6-1,기준정보!$C$6),VALUE(LEFT($G30,FIND("월",$G30)-1)),1+7*(VALUE(SUBSTITUTE(MID($G30,FIND("월",$G30)+1,5),"주",""))-1)),""))</f>
        <v>46419</v>
      </c>
      <c r="I30" s="27" t="n">
        <f aca="false">IF($H30="","",$H30-기준정보!$C$5)</f>
        <v>46329</v>
      </c>
      <c r="J30" s="28" t="n">
        <f aca="false">IF($I30="","",$I30-기준정보!$C$4)</f>
        <v>89</v>
      </c>
      <c r="K30" s="26"/>
      <c r="L30" s="29"/>
      <c r="M30" s="26"/>
      <c r="N30" s="25" t="str">
        <f aca="false">IF($M30="CMT","본사(소재팀)",IF($M30="사입","생산처",""))</f>
        <v/>
      </c>
      <c r="O30" s="30"/>
      <c r="P30" s="30"/>
      <c r="Q30" s="25" t="str">
        <f aca="false">IF($H30="","출고일 미정",IF($K30="X","작지 미등록",IF(AND($L30&lt;&gt;"",$L30&gt;$I30),"소재입고 마감("&amp;TEXT($I30,"MM/DD")&amp;") 초과",IF($K30="","작지 등록여부 확인 필요",IF($L30="","소재 입고일정 확인 필요","정상")))))</f>
        <v>작지 등록여부 확인 필요</v>
      </c>
      <c r="R30" s="23" t="str">
        <f aca="false">IF($H30="","",IF(OR($Q30="작지 미등록",LEFT($Q30,4)="소재입고"),IF(LEFT($E30,1)="S","★ 납기위험(S코드)","◆ 지연주의"),IF($Q30="정상","✓ 정상","? 확인필요")))</f>
        <v>? 확인필요</v>
      </c>
      <c r="S30" s="26"/>
      <c r="T30" s="30"/>
    </row>
    <row r="31" customFormat="false" ht="15" hidden="false" customHeight="false" outlineLevel="0" collapsed="false">
      <c r="A31" s="23" t="n">
        <v>27</v>
      </c>
      <c r="B31" s="24" t="s">
        <v>77</v>
      </c>
      <c r="C31" s="25" t="s">
        <v>120</v>
      </c>
      <c r="D31" s="24" t="s">
        <v>121</v>
      </c>
      <c r="E31" s="23" t="str">
        <f aca="false">IF($C31="","",IF(MID($C31,5,1)="S","S(봄)",IF(MID($C31,5,1)="M","M(여름)",IF(MID($C31,5,1)="X","X(사계절)",MID($C31,5,1)))))</f>
        <v>S(봄)</v>
      </c>
      <c r="F31" s="25" t="s">
        <v>80</v>
      </c>
      <c r="G31" s="26" t="s">
        <v>101</v>
      </c>
      <c r="H31" s="27" t="n">
        <f aca="false">IF($G31="","",IFERROR(DATE(IF(VALUE(LEFT($G31,FIND("월",$G31)-1))&gt;=9,기준정보!$C$6-1,기준정보!$C$6),VALUE(LEFT($G31,FIND("월",$G31)-1)),1+7*(VALUE(SUBSTITUTE(MID($G31,FIND("월",$G31)+1,5),"주",""))-1)),""))</f>
        <v>46419</v>
      </c>
      <c r="I31" s="27" t="n">
        <f aca="false">IF($H31="","",$H31-기준정보!$C$5)</f>
        <v>46329</v>
      </c>
      <c r="J31" s="28" t="n">
        <f aca="false">IF($I31="","",$I31-기준정보!$C$4)</f>
        <v>89</v>
      </c>
      <c r="K31" s="26"/>
      <c r="L31" s="29"/>
      <c r="M31" s="26"/>
      <c r="N31" s="25" t="str">
        <f aca="false">IF($M31="CMT","본사(소재팀)",IF($M31="사입","생산처",""))</f>
        <v/>
      </c>
      <c r="O31" s="30"/>
      <c r="P31" s="30"/>
      <c r="Q31" s="25" t="str">
        <f aca="false">IF($H31="","출고일 미정",IF($K31="X","작지 미등록",IF(AND($L31&lt;&gt;"",$L31&gt;$I31),"소재입고 마감("&amp;TEXT($I31,"MM/DD")&amp;") 초과",IF($K31="","작지 등록여부 확인 필요",IF($L31="","소재 입고일정 확인 필요","정상")))))</f>
        <v>작지 등록여부 확인 필요</v>
      </c>
      <c r="R31" s="23" t="str">
        <f aca="false">IF($H31="","",IF(OR($Q31="작지 미등록",LEFT($Q31,4)="소재입고"),IF(LEFT($E31,1)="S","★ 납기위험(S코드)","◆ 지연주의"),IF($Q31="정상","✓ 정상","? 확인필요")))</f>
        <v>? 확인필요</v>
      </c>
      <c r="S31" s="26"/>
      <c r="T31" s="30"/>
    </row>
    <row r="32" customFormat="false" ht="15" hidden="false" customHeight="false" outlineLevel="0" collapsed="false">
      <c r="A32" s="23" t="n">
        <v>28</v>
      </c>
      <c r="B32" s="24" t="s">
        <v>77</v>
      </c>
      <c r="C32" s="25" t="s">
        <v>122</v>
      </c>
      <c r="D32" s="24" t="s">
        <v>123</v>
      </c>
      <c r="E32" s="23" t="str">
        <f aca="false">IF($C32="","",IF(MID($C32,5,1)="S","S(봄)",IF(MID($C32,5,1)="M","M(여름)",IF(MID($C32,5,1)="X","X(사계절)",MID($C32,5,1)))))</f>
        <v>S(봄)</v>
      </c>
      <c r="F32" s="24" t="s">
        <v>85</v>
      </c>
      <c r="G32" s="26" t="s">
        <v>101</v>
      </c>
      <c r="H32" s="27" t="n">
        <f aca="false">IF($G32="","",IFERROR(DATE(IF(VALUE(LEFT($G32,FIND("월",$G32)-1))&gt;=9,기준정보!$C$6-1,기준정보!$C$6),VALUE(LEFT($G32,FIND("월",$G32)-1)),1+7*(VALUE(SUBSTITUTE(MID($G32,FIND("월",$G32)+1,5),"주",""))-1)),""))</f>
        <v>46419</v>
      </c>
      <c r="I32" s="27" t="n">
        <f aca="false">IF($H32="","",$H32-기준정보!$C$5)</f>
        <v>46329</v>
      </c>
      <c r="J32" s="28" t="n">
        <f aca="false">IF($I32="","",$I32-기준정보!$C$4)</f>
        <v>89</v>
      </c>
      <c r="K32" s="26"/>
      <c r="L32" s="29"/>
      <c r="M32" s="26"/>
      <c r="N32" s="25" t="str">
        <f aca="false">IF($M32="CMT","본사(소재팀)",IF($M32="사입","생산처",""))</f>
        <v/>
      </c>
      <c r="O32" s="30"/>
      <c r="P32" s="30"/>
      <c r="Q32" s="25" t="str">
        <f aca="false">IF($H32="","출고일 미정",IF($K32="X","작지 미등록",IF(AND($L32&lt;&gt;"",$L32&gt;$I32),"소재입고 마감("&amp;TEXT($I32,"MM/DD")&amp;") 초과",IF($K32="","작지 등록여부 확인 필요",IF($L32="","소재 입고일정 확인 필요","정상")))))</f>
        <v>작지 등록여부 확인 필요</v>
      </c>
      <c r="R32" s="23" t="str">
        <f aca="false">IF($H32="","",IF(OR($Q32="작지 미등록",LEFT($Q32,4)="소재입고"),IF(LEFT($E32,1)="S","★ 납기위험(S코드)","◆ 지연주의"),IF($Q32="정상","✓ 정상","? 확인필요")))</f>
        <v>? 확인필요</v>
      </c>
      <c r="S32" s="26"/>
      <c r="T32" s="30"/>
    </row>
    <row r="33" customFormat="false" ht="15" hidden="false" customHeight="false" outlineLevel="0" collapsed="false">
      <c r="A33" s="23" t="n">
        <v>29</v>
      </c>
      <c r="B33" s="24" t="s">
        <v>124</v>
      </c>
      <c r="C33" s="25" t="s">
        <v>125</v>
      </c>
      <c r="D33" s="25"/>
      <c r="E33" s="23" t="str">
        <f aca="false">IF($C33="","",IF(MID($C33,5,1)="S","S(봄)",IF(MID($C33,5,1)="M","M(여름)",IF(MID($C33,5,1)="X","X(사계절)",MID($C33,5,1)))))</f>
        <v>S(봄)</v>
      </c>
      <c r="F33" s="25" t="s">
        <v>80</v>
      </c>
      <c r="G33" s="26" t="s">
        <v>101</v>
      </c>
      <c r="H33" s="27" t="n">
        <f aca="false">IF($G33="","",IFERROR(DATE(IF(VALUE(LEFT($G33,FIND("월",$G33)-1))&gt;=9,기준정보!$C$6-1,기준정보!$C$6),VALUE(LEFT($G33,FIND("월",$G33)-1)),1+7*(VALUE(SUBSTITUTE(MID($G33,FIND("월",$G33)+1,5),"주",""))-1)),""))</f>
        <v>46419</v>
      </c>
      <c r="I33" s="27" t="n">
        <f aca="false">IF($H33="","",$H33-기준정보!$C$5)</f>
        <v>46329</v>
      </c>
      <c r="J33" s="28" t="n">
        <f aca="false">IF($I33="","",$I33-기준정보!$C$4)</f>
        <v>89</v>
      </c>
      <c r="K33" s="26"/>
      <c r="L33" s="29"/>
      <c r="M33" s="26"/>
      <c r="N33" s="25" t="str">
        <f aca="false">IF($M33="CMT","본사(소재팀)",IF($M33="사입","생산처",""))</f>
        <v/>
      </c>
      <c r="O33" s="30"/>
      <c r="P33" s="30"/>
      <c r="Q33" s="25" t="str">
        <f aca="false">IF($H33="","출고일 미정",IF($K33="X","작지 미등록",IF(AND($L33&lt;&gt;"",$L33&gt;$I33),"소재입고 마감("&amp;TEXT($I33,"MM/DD")&amp;") 초과",IF($K33="","작지 등록여부 확인 필요",IF($L33="","소재 입고일정 확인 필요","정상")))))</f>
        <v>작지 등록여부 확인 필요</v>
      </c>
      <c r="R33" s="23" t="str">
        <f aca="false">IF($H33="","",IF(OR($Q33="작지 미등록",LEFT($Q33,4)="소재입고"),IF(LEFT($E33,1)="S","★ 납기위험(S코드)","◆ 지연주의"),IF($Q33="정상","✓ 정상","? 확인필요")))</f>
        <v>? 확인필요</v>
      </c>
      <c r="S33" s="26"/>
      <c r="T33" s="30"/>
    </row>
    <row r="34" customFormat="false" ht="15" hidden="false" customHeight="false" outlineLevel="0" collapsed="false">
      <c r="A34" s="23" t="n">
        <v>30</v>
      </c>
      <c r="B34" s="24" t="s">
        <v>77</v>
      </c>
      <c r="C34" s="25" t="s">
        <v>126</v>
      </c>
      <c r="D34" s="24" t="s">
        <v>127</v>
      </c>
      <c r="E34" s="23" t="str">
        <f aca="false">IF($C34="","",IF(MID($C34,5,1)="S","S(봄)",IF(MID($C34,5,1)="M","M(여름)",IF(MID($C34,5,1)="X","X(사계절)",MID($C34,5,1)))))</f>
        <v>S(봄)</v>
      </c>
      <c r="F34" s="25" t="s">
        <v>80</v>
      </c>
      <c r="G34" s="26" t="s">
        <v>101</v>
      </c>
      <c r="H34" s="27" t="n">
        <f aca="false">IF($G34="","",IFERROR(DATE(IF(VALUE(LEFT($G34,FIND("월",$G34)-1))&gt;=9,기준정보!$C$6-1,기준정보!$C$6),VALUE(LEFT($G34,FIND("월",$G34)-1)),1+7*(VALUE(SUBSTITUTE(MID($G34,FIND("월",$G34)+1,5),"주",""))-1)),""))</f>
        <v>46419</v>
      </c>
      <c r="I34" s="27" t="n">
        <f aca="false">IF($H34="","",$H34-기준정보!$C$5)</f>
        <v>46329</v>
      </c>
      <c r="J34" s="28" t="n">
        <f aca="false">IF($I34="","",$I34-기준정보!$C$4)</f>
        <v>89</v>
      </c>
      <c r="K34" s="26"/>
      <c r="L34" s="29"/>
      <c r="M34" s="26"/>
      <c r="N34" s="25" t="str">
        <f aca="false">IF($M34="CMT","본사(소재팀)",IF($M34="사입","생산처",""))</f>
        <v/>
      </c>
      <c r="O34" s="30"/>
      <c r="P34" s="30"/>
      <c r="Q34" s="25" t="str">
        <f aca="false">IF($H34="","출고일 미정",IF($K34="X","작지 미등록",IF(AND($L34&lt;&gt;"",$L34&gt;$I34),"소재입고 마감("&amp;TEXT($I34,"MM/DD")&amp;") 초과",IF($K34="","작지 등록여부 확인 필요",IF($L34="","소재 입고일정 확인 필요","정상")))))</f>
        <v>작지 등록여부 확인 필요</v>
      </c>
      <c r="R34" s="23" t="str">
        <f aca="false">IF($H34="","",IF(OR($Q34="작지 미등록",LEFT($Q34,4)="소재입고"),IF(LEFT($E34,1)="S","★ 납기위험(S코드)","◆ 지연주의"),IF($Q34="정상","✓ 정상","? 확인필요")))</f>
        <v>? 확인필요</v>
      </c>
      <c r="S34" s="26"/>
      <c r="T34" s="30"/>
    </row>
    <row r="35" customFormat="false" ht="15" hidden="false" customHeight="false" outlineLevel="0" collapsed="false">
      <c r="A35" s="23" t="n">
        <v>31</v>
      </c>
      <c r="B35" s="24" t="s">
        <v>77</v>
      </c>
      <c r="C35" s="25" t="s">
        <v>128</v>
      </c>
      <c r="D35" s="24" t="s">
        <v>129</v>
      </c>
      <c r="E35" s="23" t="str">
        <f aca="false">IF($C35="","",IF(MID($C35,5,1)="S","S(봄)",IF(MID($C35,5,1)="M","M(여름)",IF(MID($C35,5,1)="X","X(사계절)",MID($C35,5,1)))))</f>
        <v>S(봄)</v>
      </c>
      <c r="F35" s="24" t="s">
        <v>85</v>
      </c>
      <c r="G35" s="26" t="s">
        <v>101</v>
      </c>
      <c r="H35" s="27" t="n">
        <f aca="false">IF($G35="","",IFERROR(DATE(IF(VALUE(LEFT($G35,FIND("월",$G35)-1))&gt;=9,기준정보!$C$6-1,기준정보!$C$6),VALUE(LEFT($G35,FIND("월",$G35)-1)),1+7*(VALUE(SUBSTITUTE(MID($G35,FIND("월",$G35)+1,5),"주",""))-1)),""))</f>
        <v>46419</v>
      </c>
      <c r="I35" s="27" t="n">
        <f aca="false">IF($H35="","",$H35-기준정보!$C$5)</f>
        <v>46329</v>
      </c>
      <c r="J35" s="28" t="n">
        <f aca="false">IF($I35="","",$I35-기준정보!$C$4)</f>
        <v>89</v>
      </c>
      <c r="K35" s="26"/>
      <c r="L35" s="29"/>
      <c r="M35" s="26"/>
      <c r="N35" s="25" t="str">
        <f aca="false">IF($M35="CMT","본사(소재팀)",IF($M35="사입","생산처",""))</f>
        <v/>
      </c>
      <c r="O35" s="30"/>
      <c r="P35" s="30"/>
      <c r="Q35" s="25" t="str">
        <f aca="false">IF($H35="","출고일 미정",IF($K35="X","작지 미등록",IF(AND($L35&lt;&gt;"",$L35&gt;$I35),"소재입고 마감("&amp;TEXT($I35,"MM/DD")&amp;") 초과",IF($K35="","작지 등록여부 확인 필요",IF($L35="","소재 입고일정 확인 필요","정상")))))</f>
        <v>작지 등록여부 확인 필요</v>
      </c>
      <c r="R35" s="23" t="str">
        <f aca="false">IF($H35="","",IF(OR($Q35="작지 미등록",LEFT($Q35,4)="소재입고"),IF(LEFT($E35,1)="S","★ 납기위험(S코드)","◆ 지연주의"),IF($Q35="정상","✓ 정상","? 확인필요")))</f>
        <v>? 확인필요</v>
      </c>
      <c r="S35" s="26"/>
      <c r="T35" s="30"/>
    </row>
    <row r="36" customFormat="false" ht="15" hidden="false" customHeight="false" outlineLevel="0" collapsed="false">
      <c r="A36" s="23" t="n">
        <v>32</v>
      </c>
      <c r="B36" s="24" t="s">
        <v>77</v>
      </c>
      <c r="C36" s="25" t="s">
        <v>130</v>
      </c>
      <c r="D36" s="24" t="s">
        <v>131</v>
      </c>
      <c r="E36" s="23" t="str">
        <f aca="false">IF($C36="","",IF(MID($C36,5,1)="S","S(봄)",IF(MID($C36,5,1)="M","M(여름)",IF(MID($C36,5,1)="X","X(사계절)",MID($C36,5,1)))))</f>
        <v>S(봄)</v>
      </c>
      <c r="F36" s="25" t="s">
        <v>80</v>
      </c>
      <c r="G36" s="26" t="s">
        <v>101</v>
      </c>
      <c r="H36" s="27" t="n">
        <f aca="false">IF($G36="","",IFERROR(DATE(IF(VALUE(LEFT($G36,FIND("월",$G36)-1))&gt;=9,기준정보!$C$6-1,기준정보!$C$6),VALUE(LEFT($G36,FIND("월",$G36)-1)),1+7*(VALUE(SUBSTITUTE(MID($G36,FIND("월",$G36)+1,5),"주",""))-1)),""))</f>
        <v>46419</v>
      </c>
      <c r="I36" s="27" t="n">
        <f aca="false">IF($H36="","",$H36-기준정보!$C$5)</f>
        <v>46329</v>
      </c>
      <c r="J36" s="28" t="n">
        <f aca="false">IF($I36="","",$I36-기준정보!$C$4)</f>
        <v>89</v>
      </c>
      <c r="K36" s="26"/>
      <c r="L36" s="29"/>
      <c r="M36" s="26"/>
      <c r="N36" s="25" t="str">
        <f aca="false">IF($M36="CMT","본사(소재팀)",IF($M36="사입","생산처",""))</f>
        <v/>
      </c>
      <c r="O36" s="30"/>
      <c r="P36" s="30"/>
      <c r="Q36" s="25" t="str">
        <f aca="false">IF($H36="","출고일 미정",IF($K36="X","작지 미등록",IF(AND($L36&lt;&gt;"",$L36&gt;$I36),"소재입고 마감("&amp;TEXT($I36,"MM/DD")&amp;") 초과",IF($K36="","작지 등록여부 확인 필요",IF($L36="","소재 입고일정 확인 필요","정상")))))</f>
        <v>작지 등록여부 확인 필요</v>
      </c>
      <c r="R36" s="23" t="str">
        <f aca="false">IF($H36="","",IF(OR($Q36="작지 미등록",LEFT($Q36,4)="소재입고"),IF(LEFT($E36,1)="S","★ 납기위험(S코드)","◆ 지연주의"),IF($Q36="정상","✓ 정상","? 확인필요")))</f>
        <v>? 확인필요</v>
      </c>
      <c r="S36" s="26"/>
      <c r="T36" s="30"/>
    </row>
    <row r="37" customFormat="false" ht="15" hidden="false" customHeight="false" outlineLevel="0" collapsed="false">
      <c r="A37" s="23" t="n">
        <v>33</v>
      </c>
      <c r="B37" s="24" t="s">
        <v>66</v>
      </c>
      <c r="C37" s="25" t="s">
        <v>132</v>
      </c>
      <c r="D37" s="24" t="s">
        <v>133</v>
      </c>
      <c r="E37" s="23" t="str">
        <f aca="false">IF($C37="","",IF(MID($C37,5,1)="S","S(봄)",IF(MID($C37,5,1)="M","M(여름)",IF(MID($C37,5,1)="X","X(사계절)",MID($C37,5,1)))))</f>
        <v>S(봄)</v>
      </c>
      <c r="F37" s="25" t="s">
        <v>134</v>
      </c>
      <c r="G37" s="26" t="s">
        <v>135</v>
      </c>
      <c r="H37" s="27" t="n">
        <f aca="false">IF($G37="","",IFERROR(DATE(IF(VALUE(LEFT($G37,FIND("월",$G37)-1))&gt;=9,기준정보!$C$6-1,기준정보!$C$6),VALUE(LEFT($G37,FIND("월",$G37)-1)),1+7*(VALUE(SUBSTITUTE(MID($G37,FIND("월",$G37)+1,5),"주",""))-1)),""))</f>
        <v>46478</v>
      </c>
      <c r="I37" s="27" t="n">
        <f aca="false">IF($H37="","",$H37-기준정보!$C$5)</f>
        <v>46388</v>
      </c>
      <c r="J37" s="28" t="n">
        <f aca="false">IF($I37="","",$I37-기준정보!$C$4)</f>
        <v>148</v>
      </c>
      <c r="K37" s="26"/>
      <c r="L37" s="29"/>
      <c r="M37" s="26"/>
      <c r="N37" s="25" t="str">
        <f aca="false">IF($M37="CMT","본사(소재팀)",IF($M37="사입","생산처",""))</f>
        <v/>
      </c>
      <c r="O37" s="30"/>
      <c r="P37" s="30"/>
      <c r="Q37" s="25" t="str">
        <f aca="false">IF($H37="","출고일 미정",IF($K37="X","작지 미등록",IF(AND($L37&lt;&gt;"",$L37&gt;$I37),"소재입고 마감("&amp;TEXT($I37,"MM/DD")&amp;") 초과",IF($K37="","작지 등록여부 확인 필요",IF($L37="","소재 입고일정 확인 필요","정상")))))</f>
        <v>작지 등록여부 확인 필요</v>
      </c>
      <c r="R37" s="23" t="str">
        <f aca="false">IF($H37="","",IF(OR($Q37="작지 미등록",LEFT($Q37,4)="소재입고"),IF(LEFT($E37,1)="S","★ 납기위험(S코드)","◆ 지연주의"),IF($Q37="정상","✓ 정상","? 확인필요")))</f>
        <v>? 확인필요</v>
      </c>
      <c r="S37" s="26"/>
      <c r="T37" s="30"/>
    </row>
    <row r="38" customFormat="false" ht="15" hidden="false" customHeight="false" outlineLevel="0" collapsed="false">
      <c r="A38" s="23" t="n">
        <v>34</v>
      </c>
      <c r="B38" s="24" t="s">
        <v>66</v>
      </c>
      <c r="C38" s="25" t="s">
        <v>136</v>
      </c>
      <c r="D38" s="24" t="s">
        <v>133</v>
      </c>
      <c r="E38" s="23" t="str">
        <f aca="false">IF($C38="","",IF(MID($C38,5,1)="S","S(봄)",IF(MID($C38,5,1)="M","M(여름)",IF(MID($C38,5,1)="X","X(사계절)",MID($C38,5,1)))))</f>
        <v>S(봄)</v>
      </c>
      <c r="F38" s="25" t="s">
        <v>134</v>
      </c>
      <c r="G38" s="26" t="s">
        <v>135</v>
      </c>
      <c r="H38" s="27" t="n">
        <f aca="false">IF($G38="","",IFERROR(DATE(IF(VALUE(LEFT($G38,FIND("월",$G38)-1))&gt;=9,기준정보!$C$6-1,기준정보!$C$6),VALUE(LEFT($G38,FIND("월",$G38)-1)),1+7*(VALUE(SUBSTITUTE(MID($G38,FIND("월",$G38)+1,5),"주",""))-1)),""))</f>
        <v>46478</v>
      </c>
      <c r="I38" s="27" t="n">
        <f aca="false">IF($H38="","",$H38-기준정보!$C$5)</f>
        <v>46388</v>
      </c>
      <c r="J38" s="28" t="n">
        <f aca="false">IF($I38="","",$I38-기준정보!$C$4)</f>
        <v>148</v>
      </c>
      <c r="K38" s="26"/>
      <c r="L38" s="29"/>
      <c r="M38" s="26"/>
      <c r="N38" s="25" t="str">
        <f aca="false">IF($M38="CMT","본사(소재팀)",IF($M38="사입","생산처",""))</f>
        <v/>
      </c>
      <c r="O38" s="30"/>
      <c r="P38" s="30"/>
      <c r="Q38" s="25" t="str">
        <f aca="false">IF($H38="","출고일 미정",IF($K38="X","작지 미등록",IF(AND($L38&lt;&gt;"",$L38&gt;$I38),"소재입고 마감("&amp;TEXT($I38,"MM/DD")&amp;") 초과",IF($K38="","작지 등록여부 확인 필요",IF($L38="","소재 입고일정 확인 필요","정상")))))</f>
        <v>작지 등록여부 확인 필요</v>
      </c>
      <c r="R38" s="23" t="str">
        <f aca="false">IF($H38="","",IF(OR($Q38="작지 미등록",LEFT($Q38,4)="소재입고"),IF(LEFT($E38,1)="S","★ 납기위험(S코드)","◆ 지연주의"),IF($Q38="정상","✓ 정상","? 확인필요")))</f>
        <v>? 확인필요</v>
      </c>
      <c r="S38" s="26"/>
      <c r="T38" s="30"/>
    </row>
    <row r="39" customFormat="false" ht="15" hidden="false" customHeight="false" outlineLevel="0" collapsed="false">
      <c r="A39" s="23" t="n">
        <v>35</v>
      </c>
      <c r="B39" s="24" t="s">
        <v>66</v>
      </c>
      <c r="C39" s="25" t="s">
        <v>137</v>
      </c>
      <c r="D39" s="24" t="s">
        <v>138</v>
      </c>
      <c r="E39" s="23" t="str">
        <f aca="false">IF($C39="","",IF(MID($C39,5,1)="S","S(봄)",IF(MID($C39,5,1)="M","M(여름)",IF(MID($C39,5,1)="X","X(사계절)",MID($C39,5,1)))))</f>
        <v>S(봄)</v>
      </c>
      <c r="F39" s="25" t="s">
        <v>134</v>
      </c>
      <c r="G39" s="26" t="s">
        <v>135</v>
      </c>
      <c r="H39" s="27" t="n">
        <f aca="false">IF($G39="","",IFERROR(DATE(IF(VALUE(LEFT($G39,FIND("월",$G39)-1))&gt;=9,기준정보!$C$6-1,기준정보!$C$6),VALUE(LEFT($G39,FIND("월",$G39)-1)),1+7*(VALUE(SUBSTITUTE(MID($G39,FIND("월",$G39)+1,5),"주",""))-1)),""))</f>
        <v>46478</v>
      </c>
      <c r="I39" s="27" t="n">
        <f aca="false">IF($H39="","",$H39-기준정보!$C$5)</f>
        <v>46388</v>
      </c>
      <c r="J39" s="28" t="n">
        <f aca="false">IF($I39="","",$I39-기준정보!$C$4)</f>
        <v>148</v>
      </c>
      <c r="K39" s="26"/>
      <c r="L39" s="29"/>
      <c r="M39" s="26"/>
      <c r="N39" s="25" t="str">
        <f aca="false">IF($M39="CMT","본사(소재팀)",IF($M39="사입","생산처",""))</f>
        <v/>
      </c>
      <c r="O39" s="30"/>
      <c r="P39" s="30"/>
      <c r="Q39" s="25" t="str">
        <f aca="false">IF($H39="","출고일 미정",IF($K39="X","작지 미등록",IF(AND($L39&lt;&gt;"",$L39&gt;$I39),"소재입고 마감("&amp;TEXT($I39,"MM/DD")&amp;") 초과",IF($K39="","작지 등록여부 확인 필요",IF($L39="","소재 입고일정 확인 필요","정상")))))</f>
        <v>작지 등록여부 확인 필요</v>
      </c>
      <c r="R39" s="23" t="str">
        <f aca="false">IF($H39="","",IF(OR($Q39="작지 미등록",LEFT($Q39,4)="소재입고"),IF(LEFT($E39,1)="S","★ 납기위험(S코드)","◆ 지연주의"),IF($Q39="정상","✓ 정상","? 확인필요")))</f>
        <v>? 확인필요</v>
      </c>
      <c r="S39" s="26"/>
      <c r="T39" s="30"/>
    </row>
    <row r="40" customFormat="false" ht="15" hidden="false" customHeight="false" outlineLevel="0" collapsed="false">
      <c r="A40" s="23" t="n">
        <v>36</v>
      </c>
      <c r="B40" s="24" t="s">
        <v>66</v>
      </c>
      <c r="C40" s="25" t="s">
        <v>139</v>
      </c>
      <c r="D40" s="24" t="s">
        <v>140</v>
      </c>
      <c r="E40" s="23" t="str">
        <f aca="false">IF($C40="","",IF(MID($C40,5,1)="S","S(봄)",IF(MID($C40,5,1)="M","M(여름)",IF(MID($C40,5,1)="X","X(사계절)",MID($C40,5,1)))))</f>
        <v>S(봄)</v>
      </c>
      <c r="F40" s="25" t="s">
        <v>134</v>
      </c>
      <c r="G40" s="26" t="s">
        <v>135</v>
      </c>
      <c r="H40" s="27" t="n">
        <f aca="false">IF($G40="","",IFERROR(DATE(IF(VALUE(LEFT($G40,FIND("월",$G40)-1))&gt;=9,기준정보!$C$6-1,기준정보!$C$6),VALUE(LEFT($G40,FIND("월",$G40)-1)),1+7*(VALUE(SUBSTITUTE(MID($G40,FIND("월",$G40)+1,5),"주",""))-1)),""))</f>
        <v>46478</v>
      </c>
      <c r="I40" s="27" t="n">
        <f aca="false">IF($H40="","",$H40-기준정보!$C$5)</f>
        <v>46388</v>
      </c>
      <c r="J40" s="28" t="n">
        <f aca="false">IF($I40="","",$I40-기준정보!$C$4)</f>
        <v>148</v>
      </c>
      <c r="K40" s="26"/>
      <c r="L40" s="29"/>
      <c r="M40" s="26"/>
      <c r="N40" s="25" t="str">
        <f aca="false">IF($M40="CMT","본사(소재팀)",IF($M40="사입","생산처",""))</f>
        <v/>
      </c>
      <c r="O40" s="30"/>
      <c r="P40" s="30"/>
      <c r="Q40" s="25" t="str">
        <f aca="false">IF($H40="","출고일 미정",IF($K40="X","작지 미등록",IF(AND($L40&lt;&gt;"",$L40&gt;$I40),"소재입고 마감("&amp;TEXT($I40,"MM/DD")&amp;") 초과",IF($K40="","작지 등록여부 확인 필요",IF($L40="","소재 입고일정 확인 필요","정상")))))</f>
        <v>작지 등록여부 확인 필요</v>
      </c>
      <c r="R40" s="23" t="str">
        <f aca="false">IF($H40="","",IF(OR($Q40="작지 미등록",LEFT($Q40,4)="소재입고"),IF(LEFT($E40,1)="S","★ 납기위험(S코드)","◆ 지연주의"),IF($Q40="정상","✓ 정상","? 확인필요")))</f>
        <v>? 확인필요</v>
      </c>
      <c r="S40" s="26"/>
      <c r="T40" s="30"/>
    </row>
    <row r="41" customFormat="false" ht="15" hidden="false" customHeight="false" outlineLevel="0" collapsed="false">
      <c r="A41" s="23" t="n">
        <v>37</v>
      </c>
      <c r="B41" s="24" t="s">
        <v>66</v>
      </c>
      <c r="C41" s="25" t="s">
        <v>141</v>
      </c>
      <c r="D41" s="24" t="s">
        <v>138</v>
      </c>
      <c r="E41" s="23" t="str">
        <f aca="false">IF($C41="","",IF(MID($C41,5,1)="S","S(봄)",IF(MID($C41,5,1)="M","M(여름)",IF(MID($C41,5,1)="X","X(사계절)",MID($C41,5,1)))))</f>
        <v>S(봄)</v>
      </c>
      <c r="F41" s="25" t="s">
        <v>134</v>
      </c>
      <c r="G41" s="26" t="s">
        <v>135</v>
      </c>
      <c r="H41" s="27" t="n">
        <f aca="false">IF($G41="","",IFERROR(DATE(IF(VALUE(LEFT($G41,FIND("월",$G41)-1))&gt;=9,기준정보!$C$6-1,기준정보!$C$6),VALUE(LEFT($G41,FIND("월",$G41)-1)),1+7*(VALUE(SUBSTITUTE(MID($G41,FIND("월",$G41)+1,5),"주",""))-1)),""))</f>
        <v>46478</v>
      </c>
      <c r="I41" s="27" t="n">
        <f aca="false">IF($H41="","",$H41-기준정보!$C$5)</f>
        <v>46388</v>
      </c>
      <c r="J41" s="28" t="n">
        <f aca="false">IF($I41="","",$I41-기준정보!$C$4)</f>
        <v>148</v>
      </c>
      <c r="K41" s="26"/>
      <c r="L41" s="29"/>
      <c r="M41" s="26"/>
      <c r="N41" s="25" t="str">
        <f aca="false">IF($M41="CMT","본사(소재팀)",IF($M41="사입","생산처",""))</f>
        <v/>
      </c>
      <c r="O41" s="30"/>
      <c r="P41" s="30"/>
      <c r="Q41" s="25" t="str">
        <f aca="false">IF($H41="","출고일 미정",IF($K41="X","작지 미등록",IF(AND($L41&lt;&gt;"",$L41&gt;$I41),"소재입고 마감("&amp;TEXT($I41,"MM/DD")&amp;") 초과",IF($K41="","작지 등록여부 확인 필요",IF($L41="","소재 입고일정 확인 필요","정상")))))</f>
        <v>작지 등록여부 확인 필요</v>
      </c>
      <c r="R41" s="23" t="str">
        <f aca="false">IF($H41="","",IF(OR($Q41="작지 미등록",LEFT($Q41,4)="소재입고"),IF(LEFT($E41,1)="S","★ 납기위험(S코드)","◆ 지연주의"),IF($Q41="정상","✓ 정상","? 확인필요")))</f>
        <v>? 확인필요</v>
      </c>
      <c r="S41" s="26"/>
      <c r="T41" s="30"/>
    </row>
    <row r="42" customFormat="false" ht="15" hidden="false" customHeight="false" outlineLevel="0" collapsed="false">
      <c r="A42" s="23" t="n">
        <v>38</v>
      </c>
      <c r="B42" s="24" t="s">
        <v>66</v>
      </c>
      <c r="C42" s="25" t="s">
        <v>142</v>
      </c>
      <c r="D42" s="24" t="s">
        <v>140</v>
      </c>
      <c r="E42" s="23" t="str">
        <f aca="false">IF($C42="","",IF(MID($C42,5,1)="S","S(봄)",IF(MID($C42,5,1)="M","M(여름)",IF(MID($C42,5,1)="X","X(사계절)",MID($C42,5,1)))))</f>
        <v>S(봄)</v>
      </c>
      <c r="F42" s="25" t="s">
        <v>134</v>
      </c>
      <c r="G42" s="26" t="s">
        <v>135</v>
      </c>
      <c r="H42" s="27" t="n">
        <f aca="false">IF($G42="","",IFERROR(DATE(IF(VALUE(LEFT($G42,FIND("월",$G42)-1))&gt;=9,기준정보!$C$6-1,기준정보!$C$6),VALUE(LEFT($G42,FIND("월",$G42)-1)),1+7*(VALUE(SUBSTITUTE(MID($G42,FIND("월",$G42)+1,5),"주",""))-1)),""))</f>
        <v>46478</v>
      </c>
      <c r="I42" s="27" t="n">
        <f aca="false">IF($H42="","",$H42-기준정보!$C$5)</f>
        <v>46388</v>
      </c>
      <c r="J42" s="28" t="n">
        <f aca="false">IF($I42="","",$I42-기준정보!$C$4)</f>
        <v>148</v>
      </c>
      <c r="K42" s="26"/>
      <c r="L42" s="29"/>
      <c r="M42" s="26"/>
      <c r="N42" s="25" t="str">
        <f aca="false">IF($M42="CMT","본사(소재팀)",IF($M42="사입","생산처",""))</f>
        <v/>
      </c>
      <c r="O42" s="30"/>
      <c r="P42" s="30"/>
      <c r="Q42" s="25" t="str">
        <f aca="false">IF($H42="","출고일 미정",IF($K42="X","작지 미등록",IF(AND($L42&lt;&gt;"",$L42&gt;$I42),"소재입고 마감("&amp;TEXT($I42,"MM/DD")&amp;") 초과",IF($K42="","작지 등록여부 확인 필요",IF($L42="","소재 입고일정 확인 필요","정상")))))</f>
        <v>작지 등록여부 확인 필요</v>
      </c>
      <c r="R42" s="23" t="str">
        <f aca="false">IF($H42="","",IF(OR($Q42="작지 미등록",LEFT($Q42,4)="소재입고"),IF(LEFT($E42,1)="S","★ 납기위험(S코드)","◆ 지연주의"),IF($Q42="정상","✓ 정상","? 확인필요")))</f>
        <v>? 확인필요</v>
      </c>
      <c r="S42" s="26"/>
      <c r="T42" s="30"/>
    </row>
    <row r="43" customFormat="false" ht="15" hidden="false" customHeight="false" outlineLevel="0" collapsed="false">
      <c r="A43" s="23" t="n">
        <v>39</v>
      </c>
      <c r="B43" s="24" t="s">
        <v>66</v>
      </c>
      <c r="C43" s="25" t="s">
        <v>143</v>
      </c>
      <c r="D43" s="24" t="s">
        <v>144</v>
      </c>
      <c r="E43" s="23" t="str">
        <f aca="false">IF($C43="","",IF(MID($C43,5,1)="S","S(봄)",IF(MID($C43,5,1)="M","M(여름)",IF(MID($C43,5,1)="X","X(사계절)",MID($C43,5,1)))))</f>
        <v>S(봄)</v>
      </c>
      <c r="F43" s="25" t="s">
        <v>134</v>
      </c>
      <c r="G43" s="26" t="s">
        <v>135</v>
      </c>
      <c r="H43" s="27" t="n">
        <f aca="false">IF($G43="","",IFERROR(DATE(IF(VALUE(LEFT($G43,FIND("월",$G43)-1))&gt;=9,기준정보!$C$6-1,기준정보!$C$6),VALUE(LEFT($G43,FIND("월",$G43)-1)),1+7*(VALUE(SUBSTITUTE(MID($G43,FIND("월",$G43)+1,5),"주",""))-1)),""))</f>
        <v>46478</v>
      </c>
      <c r="I43" s="27" t="n">
        <f aca="false">IF($H43="","",$H43-기준정보!$C$5)</f>
        <v>46388</v>
      </c>
      <c r="J43" s="28" t="n">
        <f aca="false">IF($I43="","",$I43-기준정보!$C$4)</f>
        <v>148</v>
      </c>
      <c r="K43" s="26"/>
      <c r="L43" s="29"/>
      <c r="M43" s="26"/>
      <c r="N43" s="25" t="str">
        <f aca="false">IF($M43="CMT","본사(소재팀)",IF($M43="사입","생산처",""))</f>
        <v/>
      </c>
      <c r="O43" s="30"/>
      <c r="P43" s="30"/>
      <c r="Q43" s="25" t="str">
        <f aca="false">IF($H43="","출고일 미정",IF($K43="X","작지 미등록",IF(AND($L43&lt;&gt;"",$L43&gt;$I43),"소재입고 마감("&amp;TEXT($I43,"MM/DD")&amp;") 초과",IF($K43="","작지 등록여부 확인 필요",IF($L43="","소재 입고일정 확인 필요","정상")))))</f>
        <v>작지 등록여부 확인 필요</v>
      </c>
      <c r="R43" s="23" t="str">
        <f aca="false">IF($H43="","",IF(OR($Q43="작지 미등록",LEFT($Q43,4)="소재입고"),IF(LEFT($E43,1)="S","★ 납기위험(S코드)","◆ 지연주의"),IF($Q43="정상","✓ 정상","? 확인필요")))</f>
        <v>? 확인필요</v>
      </c>
      <c r="S43" s="26"/>
      <c r="T43" s="30"/>
    </row>
    <row r="44" customFormat="false" ht="15" hidden="false" customHeight="false" outlineLevel="0" collapsed="false">
      <c r="A44" s="23" t="n">
        <v>40</v>
      </c>
      <c r="B44" s="24" t="s">
        <v>66</v>
      </c>
      <c r="C44" s="25" t="s">
        <v>145</v>
      </c>
      <c r="D44" s="24" t="s">
        <v>146</v>
      </c>
      <c r="E44" s="23" t="str">
        <f aca="false">IF($C44="","",IF(MID($C44,5,1)="S","S(봄)",IF(MID($C44,5,1)="M","M(여름)",IF(MID($C44,5,1)="X","X(사계절)",MID($C44,5,1)))))</f>
        <v>S(봄)</v>
      </c>
      <c r="F44" s="25" t="s">
        <v>134</v>
      </c>
      <c r="G44" s="26" t="s">
        <v>135</v>
      </c>
      <c r="H44" s="27" t="n">
        <f aca="false">IF($G44="","",IFERROR(DATE(IF(VALUE(LEFT($G44,FIND("월",$G44)-1))&gt;=9,기준정보!$C$6-1,기준정보!$C$6),VALUE(LEFT($G44,FIND("월",$G44)-1)),1+7*(VALUE(SUBSTITUTE(MID($G44,FIND("월",$G44)+1,5),"주",""))-1)),""))</f>
        <v>46478</v>
      </c>
      <c r="I44" s="27" t="n">
        <f aca="false">IF($H44="","",$H44-기준정보!$C$5)</f>
        <v>46388</v>
      </c>
      <c r="J44" s="28" t="n">
        <f aca="false">IF($I44="","",$I44-기준정보!$C$4)</f>
        <v>148</v>
      </c>
      <c r="K44" s="26"/>
      <c r="L44" s="29"/>
      <c r="M44" s="26"/>
      <c r="N44" s="25" t="str">
        <f aca="false">IF($M44="CMT","본사(소재팀)",IF($M44="사입","생산처",""))</f>
        <v/>
      </c>
      <c r="O44" s="30"/>
      <c r="P44" s="30"/>
      <c r="Q44" s="25" t="str">
        <f aca="false">IF($H44="","출고일 미정",IF($K44="X","작지 미등록",IF(AND($L44&lt;&gt;"",$L44&gt;$I44),"소재입고 마감("&amp;TEXT($I44,"MM/DD")&amp;") 초과",IF($K44="","작지 등록여부 확인 필요",IF($L44="","소재 입고일정 확인 필요","정상")))))</f>
        <v>작지 등록여부 확인 필요</v>
      </c>
      <c r="R44" s="23" t="str">
        <f aca="false">IF($H44="","",IF(OR($Q44="작지 미등록",LEFT($Q44,4)="소재입고"),IF(LEFT($E44,1)="S","★ 납기위험(S코드)","◆ 지연주의"),IF($Q44="정상","✓ 정상","? 확인필요")))</f>
        <v>? 확인필요</v>
      </c>
      <c r="S44" s="26"/>
      <c r="T44" s="30"/>
    </row>
    <row r="45" customFormat="false" ht="15" hidden="false" customHeight="false" outlineLevel="0" collapsed="false">
      <c r="A45" s="23" t="n">
        <v>41</v>
      </c>
      <c r="B45" s="24" t="s">
        <v>66</v>
      </c>
      <c r="C45" s="25" t="s">
        <v>147</v>
      </c>
      <c r="D45" s="24" t="s">
        <v>148</v>
      </c>
      <c r="E45" s="23" t="str">
        <f aca="false">IF($C45="","",IF(MID($C45,5,1)="S","S(봄)",IF(MID($C45,5,1)="M","M(여름)",IF(MID($C45,5,1)="X","X(사계절)",MID($C45,5,1)))))</f>
        <v>M(여름)</v>
      </c>
      <c r="F45" s="25" t="s">
        <v>134</v>
      </c>
      <c r="G45" s="26" t="s">
        <v>149</v>
      </c>
      <c r="H45" s="27" t="n">
        <f aca="false">IF($G45="","",IFERROR(DATE(IF(VALUE(LEFT($G45,FIND("월",$G45)-1))&gt;=9,기준정보!$C$6-1,기준정보!$C$6),VALUE(LEFT($G45,FIND("월",$G45)-1)),1+7*(VALUE(SUBSTITUTE(MID($G45,FIND("월",$G45)+1,5),"주",""))-1)),""))</f>
        <v>46440</v>
      </c>
      <c r="I45" s="27" t="n">
        <f aca="false">IF($H45="","",$H45-기준정보!$C$5)</f>
        <v>46350</v>
      </c>
      <c r="J45" s="28" t="n">
        <f aca="false">IF($I45="","",$I45-기준정보!$C$4)</f>
        <v>110</v>
      </c>
      <c r="K45" s="26"/>
      <c r="L45" s="29"/>
      <c r="M45" s="26"/>
      <c r="N45" s="25" t="str">
        <f aca="false">IF($M45="CMT","본사(소재팀)",IF($M45="사입","생산처",""))</f>
        <v/>
      </c>
      <c r="O45" s="30"/>
      <c r="P45" s="30"/>
      <c r="Q45" s="25" t="str">
        <f aca="false">IF($H45="","출고일 미정",IF($K45="X","작지 미등록",IF(AND($L45&lt;&gt;"",$L45&gt;$I45),"소재입고 마감("&amp;TEXT($I45,"MM/DD")&amp;") 초과",IF($K45="","작지 등록여부 확인 필요",IF($L45="","소재 입고일정 확인 필요","정상")))))</f>
        <v>작지 등록여부 확인 필요</v>
      </c>
      <c r="R45" s="23" t="str">
        <f aca="false">IF($H45="","",IF(OR($Q45="작지 미등록",LEFT($Q45,4)="소재입고"),IF(LEFT($E45,1)="S","★ 납기위험(S코드)","◆ 지연주의"),IF($Q45="정상","✓ 정상","? 확인필요")))</f>
        <v>? 확인필요</v>
      </c>
      <c r="S45" s="26"/>
      <c r="T45" s="30"/>
    </row>
    <row r="46" customFormat="false" ht="15" hidden="false" customHeight="false" outlineLevel="0" collapsed="false">
      <c r="A46" s="23" t="n">
        <v>42</v>
      </c>
      <c r="B46" s="24" t="s">
        <v>66</v>
      </c>
      <c r="C46" s="25" t="s">
        <v>150</v>
      </c>
      <c r="D46" s="24" t="s">
        <v>151</v>
      </c>
      <c r="E46" s="23" t="str">
        <f aca="false">IF($C46="","",IF(MID($C46,5,1)="S","S(봄)",IF(MID($C46,5,1)="M","M(여름)",IF(MID($C46,5,1)="X","X(사계절)",MID($C46,5,1)))))</f>
        <v>M(여름)</v>
      </c>
      <c r="F46" s="25" t="s">
        <v>134</v>
      </c>
      <c r="G46" s="26" t="s">
        <v>149</v>
      </c>
      <c r="H46" s="27" t="n">
        <f aca="false">IF($G46="","",IFERROR(DATE(IF(VALUE(LEFT($G46,FIND("월",$G46)-1))&gt;=9,기준정보!$C$6-1,기준정보!$C$6),VALUE(LEFT($G46,FIND("월",$G46)-1)),1+7*(VALUE(SUBSTITUTE(MID($G46,FIND("월",$G46)+1,5),"주",""))-1)),""))</f>
        <v>46440</v>
      </c>
      <c r="I46" s="27" t="n">
        <f aca="false">IF($H46="","",$H46-기준정보!$C$5)</f>
        <v>46350</v>
      </c>
      <c r="J46" s="28" t="n">
        <f aca="false">IF($I46="","",$I46-기준정보!$C$4)</f>
        <v>110</v>
      </c>
      <c r="K46" s="26"/>
      <c r="L46" s="29"/>
      <c r="M46" s="26"/>
      <c r="N46" s="25" t="str">
        <f aca="false">IF($M46="CMT","본사(소재팀)",IF($M46="사입","생산처",""))</f>
        <v/>
      </c>
      <c r="O46" s="30"/>
      <c r="P46" s="30"/>
      <c r="Q46" s="25" t="str">
        <f aca="false">IF($H46="","출고일 미정",IF($K46="X","작지 미등록",IF(AND($L46&lt;&gt;"",$L46&gt;$I46),"소재입고 마감("&amp;TEXT($I46,"MM/DD")&amp;") 초과",IF($K46="","작지 등록여부 확인 필요",IF($L46="","소재 입고일정 확인 필요","정상")))))</f>
        <v>작지 등록여부 확인 필요</v>
      </c>
      <c r="R46" s="23" t="str">
        <f aca="false">IF($H46="","",IF(OR($Q46="작지 미등록",LEFT($Q46,4)="소재입고"),IF(LEFT($E46,1)="S","★ 납기위험(S코드)","◆ 지연주의"),IF($Q46="정상","✓ 정상","? 확인필요")))</f>
        <v>? 확인필요</v>
      </c>
      <c r="S46" s="26"/>
      <c r="T46" s="30"/>
    </row>
    <row r="47" customFormat="false" ht="15" hidden="false" customHeight="false" outlineLevel="0" collapsed="false">
      <c r="A47" s="23" t="n">
        <v>43</v>
      </c>
      <c r="B47" s="24" t="s">
        <v>66</v>
      </c>
      <c r="C47" s="25" t="s">
        <v>152</v>
      </c>
      <c r="D47" s="24" t="s">
        <v>148</v>
      </c>
      <c r="E47" s="23" t="str">
        <f aca="false">IF($C47="","",IF(MID($C47,5,1)="S","S(봄)",IF(MID($C47,5,1)="M","M(여름)",IF(MID($C47,5,1)="X","X(사계절)",MID($C47,5,1)))))</f>
        <v>M(여름)</v>
      </c>
      <c r="F47" s="25" t="s">
        <v>134</v>
      </c>
      <c r="G47" s="26" t="s">
        <v>149</v>
      </c>
      <c r="H47" s="27" t="n">
        <f aca="false">IF($G47="","",IFERROR(DATE(IF(VALUE(LEFT($G47,FIND("월",$G47)-1))&gt;=9,기준정보!$C$6-1,기준정보!$C$6),VALUE(LEFT($G47,FIND("월",$G47)-1)),1+7*(VALUE(SUBSTITUTE(MID($G47,FIND("월",$G47)+1,5),"주",""))-1)),""))</f>
        <v>46440</v>
      </c>
      <c r="I47" s="27" t="n">
        <f aca="false">IF($H47="","",$H47-기준정보!$C$5)</f>
        <v>46350</v>
      </c>
      <c r="J47" s="28" t="n">
        <f aca="false">IF($I47="","",$I47-기준정보!$C$4)</f>
        <v>110</v>
      </c>
      <c r="K47" s="26"/>
      <c r="L47" s="29"/>
      <c r="M47" s="26"/>
      <c r="N47" s="25" t="str">
        <f aca="false">IF($M47="CMT","본사(소재팀)",IF($M47="사입","생산처",""))</f>
        <v/>
      </c>
      <c r="O47" s="30"/>
      <c r="P47" s="30"/>
      <c r="Q47" s="25" t="str">
        <f aca="false">IF($H47="","출고일 미정",IF($K47="X","작지 미등록",IF(AND($L47&lt;&gt;"",$L47&gt;$I47),"소재입고 마감("&amp;TEXT($I47,"MM/DD")&amp;") 초과",IF($K47="","작지 등록여부 확인 필요",IF($L47="","소재 입고일정 확인 필요","정상")))))</f>
        <v>작지 등록여부 확인 필요</v>
      </c>
      <c r="R47" s="23" t="str">
        <f aca="false">IF($H47="","",IF(OR($Q47="작지 미등록",LEFT($Q47,4)="소재입고"),IF(LEFT($E47,1)="S","★ 납기위험(S코드)","◆ 지연주의"),IF($Q47="정상","✓ 정상","? 확인필요")))</f>
        <v>? 확인필요</v>
      </c>
      <c r="S47" s="26"/>
      <c r="T47" s="30"/>
    </row>
    <row r="48" customFormat="false" ht="15" hidden="false" customHeight="false" outlineLevel="0" collapsed="false">
      <c r="A48" s="23" t="n">
        <v>44</v>
      </c>
      <c r="B48" s="24" t="s">
        <v>153</v>
      </c>
      <c r="C48" s="25" t="s">
        <v>154</v>
      </c>
      <c r="D48" s="25"/>
      <c r="E48" s="23" t="str">
        <f aca="false">IF($C48="","",IF(MID($C48,5,1)="S","S(봄)",IF(MID($C48,5,1)="M","M(여름)",IF(MID($C48,5,1)="X","X(사계절)",MID($C48,5,1)))))</f>
        <v>M(여름)</v>
      </c>
      <c r="F48" s="25" t="s">
        <v>80</v>
      </c>
      <c r="G48" s="26" t="s">
        <v>149</v>
      </c>
      <c r="H48" s="27" t="n">
        <f aca="false">IF($G48="","",IFERROR(DATE(IF(VALUE(LEFT($G48,FIND("월",$G48)-1))&gt;=9,기준정보!$C$6-1,기준정보!$C$6),VALUE(LEFT($G48,FIND("월",$G48)-1)),1+7*(VALUE(SUBSTITUTE(MID($G48,FIND("월",$G48)+1,5),"주",""))-1)),""))</f>
        <v>46440</v>
      </c>
      <c r="I48" s="27" t="n">
        <f aca="false">IF($H48="","",$H48-기준정보!$C$5)</f>
        <v>46350</v>
      </c>
      <c r="J48" s="28" t="n">
        <f aca="false">IF($I48="","",$I48-기준정보!$C$4)</f>
        <v>110</v>
      </c>
      <c r="K48" s="26"/>
      <c r="L48" s="29"/>
      <c r="M48" s="26"/>
      <c r="N48" s="25" t="str">
        <f aca="false">IF($M48="CMT","본사(소재팀)",IF($M48="사입","생산처",""))</f>
        <v/>
      </c>
      <c r="O48" s="30"/>
      <c r="P48" s="30"/>
      <c r="Q48" s="25" t="str">
        <f aca="false">IF($H48="","출고일 미정",IF($K48="X","작지 미등록",IF(AND($L48&lt;&gt;"",$L48&gt;$I48),"소재입고 마감("&amp;TEXT($I48,"MM/DD")&amp;") 초과",IF($K48="","작지 등록여부 확인 필요",IF($L48="","소재 입고일정 확인 필요","정상")))))</f>
        <v>작지 등록여부 확인 필요</v>
      </c>
      <c r="R48" s="23" t="str">
        <f aca="false">IF($H48="","",IF(OR($Q48="작지 미등록",LEFT($Q48,4)="소재입고"),IF(LEFT($E48,1)="S","★ 납기위험(S코드)","◆ 지연주의"),IF($Q48="정상","✓ 정상","? 확인필요")))</f>
        <v>? 확인필요</v>
      </c>
      <c r="S48" s="26"/>
      <c r="T48" s="30"/>
    </row>
    <row r="49" customFormat="false" ht="15" hidden="false" customHeight="false" outlineLevel="0" collapsed="false">
      <c r="A49" s="23" t="n">
        <v>45</v>
      </c>
      <c r="B49" s="24" t="s">
        <v>66</v>
      </c>
      <c r="C49" s="25" t="s">
        <v>155</v>
      </c>
      <c r="D49" s="24" t="s">
        <v>156</v>
      </c>
      <c r="E49" s="23" t="str">
        <f aca="false">IF($C49="","",IF(MID($C49,5,1)="S","S(봄)",IF(MID($C49,5,1)="M","M(여름)",IF(MID($C49,5,1)="X","X(사계절)",MID($C49,5,1)))))</f>
        <v>M(여름)</v>
      </c>
      <c r="F49" s="25" t="s">
        <v>134</v>
      </c>
      <c r="G49" s="26" t="s">
        <v>157</v>
      </c>
      <c r="H49" s="27" t="n">
        <f aca="false">IF($G49="","",IFERROR(DATE(IF(VALUE(LEFT($G49,FIND("월",$G49)-1))&gt;=9,기준정보!$C$6-1,기준정보!$C$6),VALUE(LEFT($G49,FIND("월",$G49)-1)),1+7*(VALUE(SUBSTITUTE(MID($G49,FIND("월",$G49)+1,5),"주",""))-1)),""))</f>
        <v>46447</v>
      </c>
      <c r="I49" s="27" t="n">
        <f aca="false">IF($H49="","",$H49-기준정보!$C$5)</f>
        <v>46357</v>
      </c>
      <c r="J49" s="28" t="n">
        <f aca="false">IF($I49="","",$I49-기준정보!$C$4)</f>
        <v>117</v>
      </c>
      <c r="K49" s="26"/>
      <c r="L49" s="29"/>
      <c r="M49" s="26"/>
      <c r="N49" s="25" t="str">
        <f aca="false">IF($M49="CMT","본사(소재팀)",IF($M49="사입","생산처",""))</f>
        <v/>
      </c>
      <c r="O49" s="30"/>
      <c r="P49" s="30"/>
      <c r="Q49" s="25" t="str">
        <f aca="false">IF($H49="","출고일 미정",IF($K49="X","작지 미등록",IF(AND($L49&lt;&gt;"",$L49&gt;$I49),"소재입고 마감("&amp;TEXT($I49,"MM/DD")&amp;") 초과",IF($K49="","작지 등록여부 확인 필요",IF($L49="","소재 입고일정 확인 필요","정상")))))</f>
        <v>작지 등록여부 확인 필요</v>
      </c>
      <c r="R49" s="23" t="str">
        <f aca="false">IF($H49="","",IF(OR($Q49="작지 미등록",LEFT($Q49,4)="소재입고"),IF(LEFT($E49,1)="S","★ 납기위험(S코드)","◆ 지연주의"),IF($Q49="정상","✓ 정상","? 확인필요")))</f>
        <v>? 확인필요</v>
      </c>
      <c r="S49" s="26"/>
      <c r="T49" s="30"/>
    </row>
    <row r="50" customFormat="false" ht="15" hidden="false" customHeight="false" outlineLevel="0" collapsed="false">
      <c r="A50" s="23" t="n">
        <v>46</v>
      </c>
      <c r="B50" s="24" t="s">
        <v>66</v>
      </c>
      <c r="C50" s="25" t="s">
        <v>158</v>
      </c>
      <c r="D50" s="24" t="s">
        <v>159</v>
      </c>
      <c r="E50" s="23" t="str">
        <f aca="false">IF($C50="","",IF(MID($C50,5,1)="S","S(봄)",IF(MID($C50,5,1)="M","M(여름)",IF(MID($C50,5,1)="X","X(사계절)",MID($C50,5,1)))))</f>
        <v>M(여름)</v>
      </c>
      <c r="F50" s="25" t="s">
        <v>160</v>
      </c>
      <c r="G50" s="26" t="s">
        <v>157</v>
      </c>
      <c r="H50" s="27" t="n">
        <f aca="false">IF($G50="","",IFERROR(DATE(IF(VALUE(LEFT($G50,FIND("월",$G50)-1))&gt;=9,기준정보!$C$6-1,기준정보!$C$6),VALUE(LEFT($G50,FIND("월",$G50)-1)),1+7*(VALUE(SUBSTITUTE(MID($G50,FIND("월",$G50)+1,5),"주",""))-1)),""))</f>
        <v>46447</v>
      </c>
      <c r="I50" s="27" t="n">
        <f aca="false">IF($H50="","",$H50-기준정보!$C$5)</f>
        <v>46357</v>
      </c>
      <c r="J50" s="28" t="n">
        <f aca="false">IF($I50="","",$I50-기준정보!$C$4)</f>
        <v>117</v>
      </c>
      <c r="K50" s="26"/>
      <c r="L50" s="29"/>
      <c r="M50" s="26"/>
      <c r="N50" s="25" t="str">
        <f aca="false">IF($M50="CMT","본사(소재팀)",IF($M50="사입","생산처",""))</f>
        <v/>
      </c>
      <c r="O50" s="30"/>
      <c r="P50" s="30"/>
      <c r="Q50" s="25" t="str">
        <f aca="false">IF($H50="","출고일 미정",IF($K50="X","작지 미등록",IF(AND($L50&lt;&gt;"",$L50&gt;$I50),"소재입고 마감("&amp;TEXT($I50,"MM/DD")&amp;") 초과",IF($K50="","작지 등록여부 확인 필요",IF($L50="","소재 입고일정 확인 필요","정상")))))</f>
        <v>작지 등록여부 확인 필요</v>
      </c>
      <c r="R50" s="23" t="str">
        <f aca="false">IF($H50="","",IF(OR($Q50="작지 미등록",LEFT($Q50,4)="소재입고"),IF(LEFT($E50,1)="S","★ 납기위험(S코드)","◆ 지연주의"),IF($Q50="정상","✓ 정상","? 확인필요")))</f>
        <v>? 확인필요</v>
      </c>
      <c r="S50" s="26"/>
      <c r="T50" s="30"/>
    </row>
    <row r="51" customFormat="false" ht="15" hidden="false" customHeight="false" outlineLevel="0" collapsed="false">
      <c r="A51" s="23" t="n">
        <v>47</v>
      </c>
      <c r="B51" s="24" t="s">
        <v>77</v>
      </c>
      <c r="C51" s="25" t="s">
        <v>161</v>
      </c>
      <c r="D51" s="24" t="s">
        <v>162</v>
      </c>
      <c r="E51" s="23" t="str">
        <f aca="false">IF($C51="","",IF(MID($C51,5,1)="S","S(봄)",IF(MID($C51,5,1)="M","M(여름)",IF(MID($C51,5,1)="X","X(사계절)",MID($C51,5,1)))))</f>
        <v>M(여름)</v>
      </c>
      <c r="F51" s="25" t="s">
        <v>163</v>
      </c>
      <c r="G51" s="26" t="s">
        <v>157</v>
      </c>
      <c r="H51" s="27" t="n">
        <f aca="false">IF($G51="","",IFERROR(DATE(IF(VALUE(LEFT($G51,FIND("월",$G51)-1))&gt;=9,기준정보!$C$6-1,기준정보!$C$6),VALUE(LEFT($G51,FIND("월",$G51)-1)),1+7*(VALUE(SUBSTITUTE(MID($G51,FIND("월",$G51)+1,5),"주",""))-1)),""))</f>
        <v>46447</v>
      </c>
      <c r="I51" s="27" t="n">
        <f aca="false">IF($H51="","",$H51-기준정보!$C$5)</f>
        <v>46357</v>
      </c>
      <c r="J51" s="28" t="n">
        <f aca="false">IF($I51="","",$I51-기준정보!$C$4)</f>
        <v>117</v>
      </c>
      <c r="K51" s="26"/>
      <c r="L51" s="29"/>
      <c r="M51" s="26"/>
      <c r="N51" s="25" t="str">
        <f aca="false">IF($M51="CMT","본사(소재팀)",IF($M51="사입","생산처",""))</f>
        <v/>
      </c>
      <c r="O51" s="30"/>
      <c r="P51" s="30"/>
      <c r="Q51" s="25" t="str">
        <f aca="false">IF($H51="","출고일 미정",IF($K51="X","작지 미등록",IF(AND($L51&lt;&gt;"",$L51&gt;$I51),"소재입고 마감("&amp;TEXT($I51,"MM/DD")&amp;") 초과",IF($K51="","작지 등록여부 확인 필요",IF($L51="","소재 입고일정 확인 필요","정상")))))</f>
        <v>작지 등록여부 확인 필요</v>
      </c>
      <c r="R51" s="23" t="str">
        <f aca="false">IF($H51="","",IF(OR($Q51="작지 미등록",LEFT($Q51,4)="소재입고"),IF(LEFT($E51,1)="S","★ 납기위험(S코드)","◆ 지연주의"),IF($Q51="정상","✓ 정상","? 확인필요")))</f>
        <v>? 확인필요</v>
      </c>
      <c r="S51" s="26"/>
      <c r="T51" s="30"/>
    </row>
    <row r="52" customFormat="false" ht="15" hidden="false" customHeight="false" outlineLevel="0" collapsed="false">
      <c r="A52" s="23" t="n">
        <v>48</v>
      </c>
      <c r="B52" s="24" t="s">
        <v>77</v>
      </c>
      <c r="C52" s="25" t="s">
        <v>164</v>
      </c>
      <c r="D52" s="24" t="s">
        <v>165</v>
      </c>
      <c r="E52" s="23" t="str">
        <f aca="false">IF($C52="","",IF(MID($C52,5,1)="S","S(봄)",IF(MID($C52,5,1)="M","M(여름)",IF(MID($C52,5,1)="X","X(사계절)",MID($C52,5,1)))))</f>
        <v>M(여름)</v>
      </c>
      <c r="F52" s="24" t="s">
        <v>85</v>
      </c>
      <c r="G52" s="26" t="s">
        <v>157</v>
      </c>
      <c r="H52" s="27" t="n">
        <f aca="false">IF($G52="","",IFERROR(DATE(IF(VALUE(LEFT($G52,FIND("월",$G52)-1))&gt;=9,기준정보!$C$6-1,기준정보!$C$6),VALUE(LEFT($G52,FIND("월",$G52)-1)),1+7*(VALUE(SUBSTITUTE(MID($G52,FIND("월",$G52)+1,5),"주",""))-1)),""))</f>
        <v>46447</v>
      </c>
      <c r="I52" s="27" t="n">
        <f aca="false">IF($H52="","",$H52-기준정보!$C$5)</f>
        <v>46357</v>
      </c>
      <c r="J52" s="28" t="n">
        <f aca="false">IF($I52="","",$I52-기준정보!$C$4)</f>
        <v>117</v>
      </c>
      <c r="K52" s="26"/>
      <c r="L52" s="29"/>
      <c r="M52" s="26"/>
      <c r="N52" s="25" t="str">
        <f aca="false">IF($M52="CMT","본사(소재팀)",IF($M52="사입","생산처",""))</f>
        <v/>
      </c>
      <c r="O52" s="30"/>
      <c r="P52" s="30"/>
      <c r="Q52" s="25" t="str">
        <f aca="false">IF($H52="","출고일 미정",IF($K52="X","작지 미등록",IF(AND($L52&lt;&gt;"",$L52&gt;$I52),"소재입고 마감("&amp;TEXT($I52,"MM/DD")&amp;") 초과",IF($K52="","작지 등록여부 확인 필요",IF($L52="","소재 입고일정 확인 필요","정상")))))</f>
        <v>작지 등록여부 확인 필요</v>
      </c>
      <c r="R52" s="23" t="str">
        <f aca="false">IF($H52="","",IF(OR($Q52="작지 미등록",LEFT($Q52,4)="소재입고"),IF(LEFT($E52,1)="S","★ 납기위험(S코드)","◆ 지연주의"),IF($Q52="정상","✓ 정상","? 확인필요")))</f>
        <v>? 확인필요</v>
      </c>
      <c r="S52" s="26"/>
      <c r="T52" s="30"/>
    </row>
    <row r="53" customFormat="false" ht="15" hidden="false" customHeight="false" outlineLevel="0" collapsed="false">
      <c r="A53" s="23" t="n">
        <v>49</v>
      </c>
      <c r="B53" s="24" t="s">
        <v>166</v>
      </c>
      <c r="C53" s="25" t="s">
        <v>167</v>
      </c>
      <c r="D53" s="25"/>
      <c r="E53" s="23" t="str">
        <f aca="false">IF($C53="","",IF(MID($C53,5,1)="S","S(봄)",IF(MID($C53,5,1)="M","M(여름)",IF(MID($C53,5,1)="X","X(사계절)",MID($C53,5,1)))))</f>
        <v>M(여름)</v>
      </c>
      <c r="F53" s="25" t="s">
        <v>168</v>
      </c>
      <c r="G53" s="26" t="s">
        <v>157</v>
      </c>
      <c r="H53" s="27" t="n">
        <f aca="false">IF($G53="","",IFERROR(DATE(IF(VALUE(LEFT($G53,FIND("월",$G53)-1))&gt;=9,기준정보!$C$6-1,기준정보!$C$6),VALUE(LEFT($G53,FIND("월",$G53)-1)),1+7*(VALUE(SUBSTITUTE(MID($G53,FIND("월",$G53)+1,5),"주",""))-1)),""))</f>
        <v>46447</v>
      </c>
      <c r="I53" s="27" t="n">
        <f aca="false">IF($H53="","",$H53-기준정보!$C$5)</f>
        <v>46357</v>
      </c>
      <c r="J53" s="28" t="n">
        <f aca="false">IF($I53="","",$I53-기준정보!$C$4)</f>
        <v>117</v>
      </c>
      <c r="K53" s="26"/>
      <c r="L53" s="29"/>
      <c r="M53" s="26"/>
      <c r="N53" s="25" t="str">
        <f aca="false">IF($M53="CMT","본사(소재팀)",IF($M53="사입","생산처",""))</f>
        <v/>
      </c>
      <c r="O53" s="30"/>
      <c r="P53" s="30"/>
      <c r="Q53" s="25" t="str">
        <f aca="false">IF($H53="","출고일 미정",IF($K53="X","작지 미등록",IF(AND($L53&lt;&gt;"",$L53&gt;$I53),"소재입고 마감("&amp;TEXT($I53,"MM/DD")&amp;") 초과",IF($K53="","작지 등록여부 확인 필요",IF($L53="","소재 입고일정 확인 필요","정상")))))</f>
        <v>작지 등록여부 확인 필요</v>
      </c>
      <c r="R53" s="23" t="str">
        <f aca="false">IF($H53="","",IF(OR($Q53="작지 미등록",LEFT($Q53,4)="소재입고"),IF(LEFT($E53,1)="S","★ 납기위험(S코드)","◆ 지연주의"),IF($Q53="정상","✓ 정상","? 확인필요")))</f>
        <v>? 확인필요</v>
      </c>
      <c r="S53" s="26"/>
      <c r="T53" s="30"/>
    </row>
    <row r="54" customFormat="false" ht="15" hidden="false" customHeight="false" outlineLevel="0" collapsed="false">
      <c r="A54" s="23" t="n">
        <v>50</v>
      </c>
      <c r="B54" s="24" t="s">
        <v>166</v>
      </c>
      <c r="C54" s="25" t="s">
        <v>169</v>
      </c>
      <c r="D54" s="25"/>
      <c r="E54" s="23" t="str">
        <f aca="false">IF($C54="","",IF(MID($C54,5,1)="S","S(봄)",IF(MID($C54,5,1)="M","M(여름)",IF(MID($C54,5,1)="X","X(사계절)",MID($C54,5,1)))))</f>
        <v>M(여름)</v>
      </c>
      <c r="F54" s="25" t="s">
        <v>168</v>
      </c>
      <c r="G54" s="26" t="s">
        <v>157</v>
      </c>
      <c r="H54" s="27" t="n">
        <f aca="false">IF($G54="","",IFERROR(DATE(IF(VALUE(LEFT($G54,FIND("월",$G54)-1))&gt;=9,기준정보!$C$6-1,기준정보!$C$6),VALUE(LEFT($G54,FIND("월",$G54)-1)),1+7*(VALUE(SUBSTITUTE(MID($G54,FIND("월",$G54)+1,5),"주",""))-1)),""))</f>
        <v>46447</v>
      </c>
      <c r="I54" s="27" t="n">
        <f aca="false">IF($H54="","",$H54-기준정보!$C$5)</f>
        <v>46357</v>
      </c>
      <c r="J54" s="28" t="n">
        <f aca="false">IF($I54="","",$I54-기준정보!$C$4)</f>
        <v>117</v>
      </c>
      <c r="K54" s="26"/>
      <c r="L54" s="29"/>
      <c r="M54" s="26"/>
      <c r="N54" s="25" t="str">
        <f aca="false">IF($M54="CMT","본사(소재팀)",IF($M54="사입","생산처",""))</f>
        <v/>
      </c>
      <c r="O54" s="30"/>
      <c r="P54" s="30"/>
      <c r="Q54" s="25" t="str">
        <f aca="false">IF($H54="","출고일 미정",IF($K54="X","작지 미등록",IF(AND($L54&lt;&gt;"",$L54&gt;$I54),"소재입고 마감("&amp;TEXT($I54,"MM/DD")&amp;") 초과",IF($K54="","작지 등록여부 확인 필요",IF($L54="","소재 입고일정 확인 필요","정상")))))</f>
        <v>작지 등록여부 확인 필요</v>
      </c>
      <c r="R54" s="23" t="str">
        <f aca="false">IF($H54="","",IF(OR($Q54="작지 미등록",LEFT($Q54,4)="소재입고"),IF(LEFT($E54,1)="S","★ 납기위험(S코드)","◆ 지연주의"),IF($Q54="정상","✓ 정상","? 확인필요")))</f>
        <v>? 확인필요</v>
      </c>
      <c r="S54" s="26"/>
      <c r="T54" s="30"/>
    </row>
    <row r="55" customFormat="false" ht="15" hidden="false" customHeight="false" outlineLevel="0" collapsed="false">
      <c r="A55" s="23" t="n">
        <v>51</v>
      </c>
      <c r="B55" s="24" t="s">
        <v>77</v>
      </c>
      <c r="C55" s="25" t="s">
        <v>170</v>
      </c>
      <c r="D55" s="24" t="s">
        <v>171</v>
      </c>
      <c r="E55" s="23" t="str">
        <f aca="false">IF($C55="","",IF(MID($C55,5,1)="S","S(봄)",IF(MID($C55,5,1)="M","M(여름)",IF(MID($C55,5,1)="X","X(사계절)",MID($C55,5,1)))))</f>
        <v>M(여름)</v>
      </c>
      <c r="F55" s="25" t="s">
        <v>163</v>
      </c>
      <c r="G55" s="26" t="s">
        <v>157</v>
      </c>
      <c r="H55" s="27" t="n">
        <f aca="false">IF($G55="","",IFERROR(DATE(IF(VALUE(LEFT($G55,FIND("월",$G55)-1))&gt;=9,기준정보!$C$6-1,기준정보!$C$6),VALUE(LEFT($G55,FIND("월",$G55)-1)),1+7*(VALUE(SUBSTITUTE(MID($G55,FIND("월",$G55)+1,5),"주",""))-1)),""))</f>
        <v>46447</v>
      </c>
      <c r="I55" s="27" t="n">
        <f aca="false">IF($H55="","",$H55-기준정보!$C$5)</f>
        <v>46357</v>
      </c>
      <c r="J55" s="28" t="n">
        <f aca="false">IF($I55="","",$I55-기준정보!$C$4)</f>
        <v>117</v>
      </c>
      <c r="K55" s="26"/>
      <c r="L55" s="29"/>
      <c r="M55" s="26"/>
      <c r="N55" s="25" t="str">
        <f aca="false">IF($M55="CMT","본사(소재팀)",IF($M55="사입","생산처",""))</f>
        <v/>
      </c>
      <c r="O55" s="30"/>
      <c r="P55" s="30"/>
      <c r="Q55" s="25" t="str">
        <f aca="false">IF($H55="","출고일 미정",IF($K55="X","작지 미등록",IF(AND($L55&lt;&gt;"",$L55&gt;$I55),"소재입고 마감("&amp;TEXT($I55,"MM/DD")&amp;") 초과",IF($K55="","작지 등록여부 확인 필요",IF($L55="","소재 입고일정 확인 필요","정상")))))</f>
        <v>작지 등록여부 확인 필요</v>
      </c>
      <c r="R55" s="23" t="str">
        <f aca="false">IF($H55="","",IF(OR($Q55="작지 미등록",LEFT($Q55,4)="소재입고"),IF(LEFT($E55,1)="S","★ 납기위험(S코드)","◆ 지연주의"),IF($Q55="정상","✓ 정상","? 확인필요")))</f>
        <v>? 확인필요</v>
      </c>
      <c r="S55" s="26"/>
      <c r="T55" s="30"/>
    </row>
    <row r="56" customFormat="false" ht="15" hidden="false" customHeight="false" outlineLevel="0" collapsed="false">
      <c r="A56" s="23" t="n">
        <v>52</v>
      </c>
      <c r="B56" s="24" t="s">
        <v>77</v>
      </c>
      <c r="C56" s="25" t="s">
        <v>172</v>
      </c>
      <c r="D56" s="24" t="s">
        <v>173</v>
      </c>
      <c r="E56" s="23" t="str">
        <f aca="false">IF($C56="","",IF(MID($C56,5,1)="S","S(봄)",IF(MID($C56,5,1)="M","M(여름)",IF(MID($C56,5,1)="X","X(사계절)",MID($C56,5,1)))))</f>
        <v>M(여름)</v>
      </c>
      <c r="F56" s="25" t="s">
        <v>163</v>
      </c>
      <c r="G56" s="26" t="s">
        <v>157</v>
      </c>
      <c r="H56" s="27" t="n">
        <f aca="false">IF($G56="","",IFERROR(DATE(IF(VALUE(LEFT($G56,FIND("월",$G56)-1))&gt;=9,기준정보!$C$6-1,기준정보!$C$6),VALUE(LEFT($G56,FIND("월",$G56)-1)),1+7*(VALUE(SUBSTITUTE(MID($G56,FIND("월",$G56)+1,5),"주",""))-1)),""))</f>
        <v>46447</v>
      </c>
      <c r="I56" s="27" t="n">
        <f aca="false">IF($H56="","",$H56-기준정보!$C$5)</f>
        <v>46357</v>
      </c>
      <c r="J56" s="28" t="n">
        <f aca="false">IF($I56="","",$I56-기준정보!$C$4)</f>
        <v>117</v>
      </c>
      <c r="K56" s="26"/>
      <c r="L56" s="29"/>
      <c r="M56" s="26"/>
      <c r="N56" s="25" t="str">
        <f aca="false">IF($M56="CMT","본사(소재팀)",IF($M56="사입","생산처",""))</f>
        <v/>
      </c>
      <c r="O56" s="30"/>
      <c r="P56" s="30"/>
      <c r="Q56" s="25" t="str">
        <f aca="false">IF($H56="","출고일 미정",IF($K56="X","작지 미등록",IF(AND($L56&lt;&gt;"",$L56&gt;$I56),"소재입고 마감("&amp;TEXT($I56,"MM/DD")&amp;") 초과",IF($K56="","작지 등록여부 확인 필요",IF($L56="","소재 입고일정 확인 필요","정상")))))</f>
        <v>작지 등록여부 확인 필요</v>
      </c>
      <c r="R56" s="23" t="str">
        <f aca="false">IF($H56="","",IF(OR($Q56="작지 미등록",LEFT($Q56,4)="소재입고"),IF(LEFT($E56,1)="S","★ 납기위험(S코드)","◆ 지연주의"),IF($Q56="정상","✓ 정상","? 확인필요")))</f>
        <v>? 확인필요</v>
      </c>
      <c r="S56" s="26"/>
      <c r="T56" s="30"/>
    </row>
    <row r="57" customFormat="false" ht="15" hidden="false" customHeight="false" outlineLevel="0" collapsed="false">
      <c r="A57" s="23" t="n">
        <v>53</v>
      </c>
      <c r="B57" s="24" t="s">
        <v>77</v>
      </c>
      <c r="C57" s="25" t="s">
        <v>174</v>
      </c>
      <c r="D57" s="24" t="s">
        <v>175</v>
      </c>
      <c r="E57" s="23" t="str">
        <f aca="false">IF($C57="","",IF(MID($C57,5,1)="S","S(봄)",IF(MID($C57,5,1)="M","M(여름)",IF(MID($C57,5,1)="X","X(사계절)",MID($C57,5,1)))))</f>
        <v>M(여름)</v>
      </c>
      <c r="F57" s="25" t="s">
        <v>176</v>
      </c>
      <c r="G57" s="26" t="s">
        <v>157</v>
      </c>
      <c r="H57" s="27" t="n">
        <f aca="false">IF($G57="","",IFERROR(DATE(IF(VALUE(LEFT($G57,FIND("월",$G57)-1))&gt;=9,기준정보!$C$6-1,기준정보!$C$6),VALUE(LEFT($G57,FIND("월",$G57)-1)),1+7*(VALUE(SUBSTITUTE(MID($G57,FIND("월",$G57)+1,5),"주",""))-1)),""))</f>
        <v>46447</v>
      </c>
      <c r="I57" s="27" t="n">
        <f aca="false">IF($H57="","",$H57-기준정보!$C$5)</f>
        <v>46357</v>
      </c>
      <c r="J57" s="28" t="n">
        <f aca="false">IF($I57="","",$I57-기준정보!$C$4)</f>
        <v>117</v>
      </c>
      <c r="K57" s="26"/>
      <c r="L57" s="29"/>
      <c r="M57" s="26"/>
      <c r="N57" s="25" t="str">
        <f aca="false">IF($M57="CMT","본사(소재팀)",IF($M57="사입","생산처",""))</f>
        <v/>
      </c>
      <c r="O57" s="30"/>
      <c r="P57" s="30"/>
      <c r="Q57" s="25" t="str">
        <f aca="false">IF($H57="","출고일 미정",IF($K57="X","작지 미등록",IF(AND($L57&lt;&gt;"",$L57&gt;$I57),"소재입고 마감("&amp;TEXT($I57,"MM/DD")&amp;") 초과",IF($K57="","작지 등록여부 확인 필요",IF($L57="","소재 입고일정 확인 필요","정상")))))</f>
        <v>작지 등록여부 확인 필요</v>
      </c>
      <c r="R57" s="23" t="str">
        <f aca="false">IF($H57="","",IF(OR($Q57="작지 미등록",LEFT($Q57,4)="소재입고"),IF(LEFT($E57,1)="S","★ 납기위험(S코드)","◆ 지연주의"),IF($Q57="정상","✓ 정상","? 확인필요")))</f>
        <v>? 확인필요</v>
      </c>
      <c r="S57" s="26"/>
      <c r="T57" s="30"/>
    </row>
    <row r="58" customFormat="false" ht="15" hidden="false" customHeight="false" outlineLevel="0" collapsed="false">
      <c r="A58" s="23" t="n">
        <v>54</v>
      </c>
      <c r="B58" s="24" t="s">
        <v>77</v>
      </c>
      <c r="C58" s="25" t="s">
        <v>177</v>
      </c>
      <c r="D58" s="24" t="s">
        <v>178</v>
      </c>
      <c r="E58" s="23" t="str">
        <f aca="false">IF($C58="","",IF(MID($C58,5,1)="S","S(봄)",IF(MID($C58,5,1)="M","M(여름)",IF(MID($C58,5,1)="X","X(사계절)",MID($C58,5,1)))))</f>
        <v>M(여름)</v>
      </c>
      <c r="F58" s="24" t="s">
        <v>85</v>
      </c>
      <c r="G58" s="26" t="s">
        <v>157</v>
      </c>
      <c r="H58" s="27" t="n">
        <f aca="false">IF($G58="","",IFERROR(DATE(IF(VALUE(LEFT($G58,FIND("월",$G58)-1))&gt;=9,기준정보!$C$6-1,기준정보!$C$6),VALUE(LEFT($G58,FIND("월",$G58)-1)),1+7*(VALUE(SUBSTITUTE(MID($G58,FIND("월",$G58)+1,5),"주",""))-1)),""))</f>
        <v>46447</v>
      </c>
      <c r="I58" s="27" t="n">
        <f aca="false">IF($H58="","",$H58-기준정보!$C$5)</f>
        <v>46357</v>
      </c>
      <c r="J58" s="28" t="n">
        <f aca="false">IF($I58="","",$I58-기준정보!$C$4)</f>
        <v>117</v>
      </c>
      <c r="K58" s="26"/>
      <c r="L58" s="29"/>
      <c r="M58" s="26"/>
      <c r="N58" s="25" t="str">
        <f aca="false">IF($M58="CMT","본사(소재팀)",IF($M58="사입","생산처",""))</f>
        <v/>
      </c>
      <c r="O58" s="30"/>
      <c r="P58" s="30"/>
      <c r="Q58" s="25" t="str">
        <f aca="false">IF($H58="","출고일 미정",IF($K58="X","작지 미등록",IF(AND($L58&lt;&gt;"",$L58&gt;$I58),"소재입고 마감("&amp;TEXT($I58,"MM/DD")&amp;") 초과",IF($K58="","작지 등록여부 확인 필요",IF($L58="","소재 입고일정 확인 필요","정상")))))</f>
        <v>작지 등록여부 확인 필요</v>
      </c>
      <c r="R58" s="23" t="str">
        <f aca="false">IF($H58="","",IF(OR($Q58="작지 미등록",LEFT($Q58,4)="소재입고"),IF(LEFT($E58,1)="S","★ 납기위험(S코드)","◆ 지연주의"),IF($Q58="정상","✓ 정상","? 확인필요")))</f>
        <v>? 확인필요</v>
      </c>
      <c r="S58" s="26"/>
      <c r="T58" s="30"/>
    </row>
    <row r="59" customFormat="false" ht="15" hidden="false" customHeight="false" outlineLevel="0" collapsed="false">
      <c r="A59" s="23" t="n">
        <v>55</v>
      </c>
      <c r="B59" s="24" t="s">
        <v>66</v>
      </c>
      <c r="C59" s="25" t="s">
        <v>179</v>
      </c>
      <c r="D59" s="24" t="s">
        <v>180</v>
      </c>
      <c r="E59" s="23" t="str">
        <f aca="false">IF($C59="","",IF(MID($C59,5,1)="S","S(봄)",IF(MID($C59,5,1)="M","M(여름)",IF(MID($C59,5,1)="X","X(사계절)",MID($C59,5,1)))))</f>
        <v>M(여름)</v>
      </c>
      <c r="F59" s="25" t="s">
        <v>134</v>
      </c>
      <c r="G59" s="26" t="s">
        <v>181</v>
      </c>
      <c r="H59" s="27" t="n">
        <f aca="false">IF($G59="","",IFERROR(DATE(IF(VALUE(LEFT($G59,FIND("월",$G59)-1))&gt;=9,기준정보!$C$6-1,기준정보!$C$6),VALUE(LEFT($G59,FIND("월",$G59)-1)),1+7*(VALUE(SUBSTITUTE(MID($G59,FIND("월",$G59)+1,5),"주",""))-1)),""))</f>
        <v>46454</v>
      </c>
      <c r="I59" s="27" t="n">
        <f aca="false">IF($H59="","",$H59-기준정보!$C$5)</f>
        <v>46364</v>
      </c>
      <c r="J59" s="28" t="n">
        <f aca="false">IF($I59="","",$I59-기준정보!$C$4)</f>
        <v>124</v>
      </c>
      <c r="K59" s="26"/>
      <c r="L59" s="29"/>
      <c r="M59" s="26"/>
      <c r="N59" s="25" t="str">
        <f aca="false">IF($M59="CMT","본사(소재팀)",IF($M59="사입","생산처",""))</f>
        <v/>
      </c>
      <c r="O59" s="30"/>
      <c r="P59" s="30"/>
      <c r="Q59" s="25" t="str">
        <f aca="false">IF($H59="","출고일 미정",IF($K59="X","작지 미등록",IF(AND($L59&lt;&gt;"",$L59&gt;$I59),"소재입고 마감("&amp;TEXT($I59,"MM/DD")&amp;") 초과",IF($K59="","작지 등록여부 확인 필요",IF($L59="","소재 입고일정 확인 필요","정상")))))</f>
        <v>작지 등록여부 확인 필요</v>
      </c>
      <c r="R59" s="23" t="str">
        <f aca="false">IF($H59="","",IF(OR($Q59="작지 미등록",LEFT($Q59,4)="소재입고"),IF(LEFT($E59,1)="S","★ 납기위험(S코드)","◆ 지연주의"),IF($Q59="정상","✓ 정상","? 확인필요")))</f>
        <v>? 확인필요</v>
      </c>
      <c r="S59" s="26"/>
      <c r="T59" s="30"/>
    </row>
    <row r="60" customFormat="false" ht="15" hidden="false" customHeight="false" outlineLevel="0" collapsed="false">
      <c r="A60" s="23" t="n">
        <v>56</v>
      </c>
      <c r="B60" s="24" t="s">
        <v>66</v>
      </c>
      <c r="C60" s="25" t="s">
        <v>182</v>
      </c>
      <c r="D60" s="24" t="s">
        <v>183</v>
      </c>
      <c r="E60" s="23" t="str">
        <f aca="false">IF($C60="","",IF(MID($C60,5,1)="S","S(봄)",IF(MID($C60,5,1)="M","M(여름)",IF(MID($C60,5,1)="X","X(사계절)",MID($C60,5,1)))))</f>
        <v>M(여름)</v>
      </c>
      <c r="F60" s="25" t="s">
        <v>134</v>
      </c>
      <c r="G60" s="26" t="s">
        <v>181</v>
      </c>
      <c r="H60" s="27" t="n">
        <f aca="false">IF($G60="","",IFERROR(DATE(IF(VALUE(LEFT($G60,FIND("월",$G60)-1))&gt;=9,기준정보!$C$6-1,기준정보!$C$6),VALUE(LEFT($G60,FIND("월",$G60)-1)),1+7*(VALUE(SUBSTITUTE(MID($G60,FIND("월",$G60)+1,5),"주",""))-1)),""))</f>
        <v>46454</v>
      </c>
      <c r="I60" s="27" t="n">
        <f aca="false">IF($H60="","",$H60-기준정보!$C$5)</f>
        <v>46364</v>
      </c>
      <c r="J60" s="28" t="n">
        <f aca="false">IF($I60="","",$I60-기준정보!$C$4)</f>
        <v>124</v>
      </c>
      <c r="K60" s="26"/>
      <c r="L60" s="29"/>
      <c r="M60" s="26"/>
      <c r="N60" s="25" t="str">
        <f aca="false">IF($M60="CMT","본사(소재팀)",IF($M60="사입","생산처",""))</f>
        <v/>
      </c>
      <c r="O60" s="30"/>
      <c r="P60" s="30"/>
      <c r="Q60" s="25" t="str">
        <f aca="false">IF($H60="","출고일 미정",IF($K60="X","작지 미등록",IF(AND($L60&lt;&gt;"",$L60&gt;$I60),"소재입고 마감("&amp;TEXT($I60,"MM/DD")&amp;") 초과",IF($K60="","작지 등록여부 확인 필요",IF($L60="","소재 입고일정 확인 필요","정상")))))</f>
        <v>작지 등록여부 확인 필요</v>
      </c>
      <c r="R60" s="23" t="str">
        <f aca="false">IF($H60="","",IF(OR($Q60="작지 미등록",LEFT($Q60,4)="소재입고"),IF(LEFT($E60,1)="S","★ 납기위험(S코드)","◆ 지연주의"),IF($Q60="정상","✓ 정상","? 확인필요")))</f>
        <v>? 확인필요</v>
      </c>
      <c r="S60" s="26"/>
      <c r="T60" s="30"/>
    </row>
    <row r="61" customFormat="false" ht="15" hidden="false" customHeight="false" outlineLevel="0" collapsed="false">
      <c r="A61" s="23" t="n">
        <v>57</v>
      </c>
      <c r="B61" s="24" t="s">
        <v>66</v>
      </c>
      <c r="C61" s="25" t="s">
        <v>184</v>
      </c>
      <c r="D61" s="24" t="s">
        <v>185</v>
      </c>
      <c r="E61" s="23" t="str">
        <f aca="false">IF($C61="","",IF(MID($C61,5,1)="S","S(봄)",IF(MID($C61,5,1)="M","M(여름)",IF(MID($C61,5,1)="X","X(사계절)",MID($C61,5,1)))))</f>
        <v>M(여름)</v>
      </c>
      <c r="F61" s="25" t="s">
        <v>134</v>
      </c>
      <c r="G61" s="26" t="s">
        <v>181</v>
      </c>
      <c r="H61" s="27" t="n">
        <f aca="false">IF($G61="","",IFERROR(DATE(IF(VALUE(LEFT($G61,FIND("월",$G61)-1))&gt;=9,기준정보!$C$6-1,기준정보!$C$6),VALUE(LEFT($G61,FIND("월",$G61)-1)),1+7*(VALUE(SUBSTITUTE(MID($G61,FIND("월",$G61)+1,5),"주",""))-1)),""))</f>
        <v>46454</v>
      </c>
      <c r="I61" s="27" t="n">
        <f aca="false">IF($H61="","",$H61-기준정보!$C$5)</f>
        <v>46364</v>
      </c>
      <c r="J61" s="28" t="n">
        <f aca="false">IF($I61="","",$I61-기준정보!$C$4)</f>
        <v>124</v>
      </c>
      <c r="K61" s="26"/>
      <c r="L61" s="29"/>
      <c r="M61" s="26"/>
      <c r="N61" s="25" t="str">
        <f aca="false">IF($M61="CMT","본사(소재팀)",IF($M61="사입","생산처",""))</f>
        <v/>
      </c>
      <c r="O61" s="30"/>
      <c r="P61" s="30"/>
      <c r="Q61" s="25" t="str">
        <f aca="false">IF($H61="","출고일 미정",IF($K61="X","작지 미등록",IF(AND($L61&lt;&gt;"",$L61&gt;$I61),"소재입고 마감("&amp;TEXT($I61,"MM/DD")&amp;") 초과",IF($K61="","작지 등록여부 확인 필요",IF($L61="","소재 입고일정 확인 필요","정상")))))</f>
        <v>작지 등록여부 확인 필요</v>
      </c>
      <c r="R61" s="23" t="str">
        <f aca="false">IF($H61="","",IF(OR($Q61="작지 미등록",LEFT($Q61,4)="소재입고"),IF(LEFT($E61,1)="S","★ 납기위험(S코드)","◆ 지연주의"),IF($Q61="정상","✓ 정상","? 확인필요")))</f>
        <v>? 확인필요</v>
      </c>
      <c r="S61" s="26"/>
      <c r="T61" s="30"/>
    </row>
    <row r="62" customFormat="false" ht="15" hidden="false" customHeight="false" outlineLevel="0" collapsed="false">
      <c r="A62" s="23" t="n">
        <v>58</v>
      </c>
      <c r="B62" s="24" t="s">
        <v>66</v>
      </c>
      <c r="C62" s="25" t="s">
        <v>186</v>
      </c>
      <c r="D62" s="24" t="s">
        <v>185</v>
      </c>
      <c r="E62" s="23" t="str">
        <f aca="false">IF($C62="","",IF(MID($C62,5,1)="S","S(봄)",IF(MID($C62,5,1)="M","M(여름)",IF(MID($C62,5,1)="X","X(사계절)",MID($C62,5,1)))))</f>
        <v>M(여름)</v>
      </c>
      <c r="F62" s="25" t="s">
        <v>134</v>
      </c>
      <c r="G62" s="26" t="s">
        <v>181</v>
      </c>
      <c r="H62" s="27" t="n">
        <f aca="false">IF($G62="","",IFERROR(DATE(IF(VALUE(LEFT($G62,FIND("월",$G62)-1))&gt;=9,기준정보!$C$6-1,기준정보!$C$6),VALUE(LEFT($G62,FIND("월",$G62)-1)),1+7*(VALUE(SUBSTITUTE(MID($G62,FIND("월",$G62)+1,5),"주",""))-1)),""))</f>
        <v>46454</v>
      </c>
      <c r="I62" s="27" t="n">
        <f aca="false">IF($H62="","",$H62-기준정보!$C$5)</f>
        <v>46364</v>
      </c>
      <c r="J62" s="28" t="n">
        <f aca="false">IF($I62="","",$I62-기준정보!$C$4)</f>
        <v>124</v>
      </c>
      <c r="K62" s="26"/>
      <c r="L62" s="29"/>
      <c r="M62" s="26"/>
      <c r="N62" s="25" t="str">
        <f aca="false">IF($M62="CMT","본사(소재팀)",IF($M62="사입","생산처",""))</f>
        <v/>
      </c>
      <c r="O62" s="30"/>
      <c r="P62" s="30"/>
      <c r="Q62" s="25" t="str">
        <f aca="false">IF($H62="","출고일 미정",IF($K62="X","작지 미등록",IF(AND($L62&lt;&gt;"",$L62&gt;$I62),"소재입고 마감("&amp;TEXT($I62,"MM/DD")&amp;") 초과",IF($K62="","작지 등록여부 확인 필요",IF($L62="","소재 입고일정 확인 필요","정상")))))</f>
        <v>작지 등록여부 확인 필요</v>
      </c>
      <c r="R62" s="23" t="str">
        <f aca="false">IF($H62="","",IF(OR($Q62="작지 미등록",LEFT($Q62,4)="소재입고"),IF(LEFT($E62,1)="S","★ 납기위험(S코드)","◆ 지연주의"),IF($Q62="정상","✓ 정상","? 확인필요")))</f>
        <v>? 확인필요</v>
      </c>
      <c r="S62" s="26"/>
      <c r="T62" s="30"/>
    </row>
    <row r="63" customFormat="false" ht="15" hidden="false" customHeight="false" outlineLevel="0" collapsed="false">
      <c r="A63" s="23" t="n">
        <v>59</v>
      </c>
      <c r="B63" s="24" t="s">
        <v>66</v>
      </c>
      <c r="C63" s="25" t="s">
        <v>187</v>
      </c>
      <c r="D63" s="24" t="s">
        <v>188</v>
      </c>
      <c r="E63" s="23" t="str">
        <f aca="false">IF($C63="","",IF(MID($C63,5,1)="S","S(봄)",IF(MID($C63,5,1)="M","M(여름)",IF(MID($C63,5,1)="X","X(사계절)",MID($C63,5,1)))))</f>
        <v>M(여름)</v>
      </c>
      <c r="F63" s="25" t="s">
        <v>134</v>
      </c>
      <c r="G63" s="26" t="s">
        <v>181</v>
      </c>
      <c r="H63" s="27" t="n">
        <f aca="false">IF($G63="","",IFERROR(DATE(IF(VALUE(LEFT($G63,FIND("월",$G63)-1))&gt;=9,기준정보!$C$6-1,기준정보!$C$6),VALUE(LEFT($G63,FIND("월",$G63)-1)),1+7*(VALUE(SUBSTITUTE(MID($G63,FIND("월",$G63)+1,5),"주",""))-1)),""))</f>
        <v>46454</v>
      </c>
      <c r="I63" s="27" t="n">
        <f aca="false">IF($H63="","",$H63-기준정보!$C$5)</f>
        <v>46364</v>
      </c>
      <c r="J63" s="28" t="n">
        <f aca="false">IF($I63="","",$I63-기준정보!$C$4)</f>
        <v>124</v>
      </c>
      <c r="K63" s="26"/>
      <c r="L63" s="29"/>
      <c r="M63" s="26"/>
      <c r="N63" s="25" t="str">
        <f aca="false">IF($M63="CMT","본사(소재팀)",IF($M63="사입","생산처",""))</f>
        <v/>
      </c>
      <c r="O63" s="30"/>
      <c r="P63" s="30"/>
      <c r="Q63" s="25" t="str">
        <f aca="false">IF($H63="","출고일 미정",IF($K63="X","작지 미등록",IF(AND($L63&lt;&gt;"",$L63&gt;$I63),"소재입고 마감("&amp;TEXT($I63,"MM/DD")&amp;") 초과",IF($K63="","작지 등록여부 확인 필요",IF($L63="","소재 입고일정 확인 필요","정상")))))</f>
        <v>작지 등록여부 확인 필요</v>
      </c>
      <c r="R63" s="23" t="str">
        <f aca="false">IF($H63="","",IF(OR($Q63="작지 미등록",LEFT($Q63,4)="소재입고"),IF(LEFT($E63,1)="S","★ 납기위험(S코드)","◆ 지연주의"),IF($Q63="정상","✓ 정상","? 확인필요")))</f>
        <v>? 확인필요</v>
      </c>
      <c r="S63" s="26"/>
      <c r="T63" s="30"/>
    </row>
    <row r="64" customFormat="false" ht="15" hidden="false" customHeight="false" outlineLevel="0" collapsed="false">
      <c r="A64" s="23" t="n">
        <v>60</v>
      </c>
      <c r="B64" s="24" t="s">
        <v>66</v>
      </c>
      <c r="C64" s="25" t="s">
        <v>189</v>
      </c>
      <c r="D64" s="24" t="s">
        <v>190</v>
      </c>
      <c r="E64" s="23" t="str">
        <f aca="false">IF($C64="","",IF(MID($C64,5,1)="S","S(봄)",IF(MID($C64,5,1)="M","M(여름)",IF(MID($C64,5,1)="X","X(사계절)",MID($C64,5,1)))))</f>
        <v>M(여름)</v>
      </c>
      <c r="F64" s="25" t="s">
        <v>134</v>
      </c>
      <c r="G64" s="26" t="s">
        <v>181</v>
      </c>
      <c r="H64" s="27" t="n">
        <f aca="false">IF($G64="","",IFERROR(DATE(IF(VALUE(LEFT($G64,FIND("월",$G64)-1))&gt;=9,기준정보!$C$6-1,기준정보!$C$6),VALUE(LEFT($G64,FIND("월",$G64)-1)),1+7*(VALUE(SUBSTITUTE(MID($G64,FIND("월",$G64)+1,5),"주",""))-1)),""))</f>
        <v>46454</v>
      </c>
      <c r="I64" s="27" t="n">
        <f aca="false">IF($H64="","",$H64-기준정보!$C$5)</f>
        <v>46364</v>
      </c>
      <c r="J64" s="28" t="n">
        <f aca="false">IF($I64="","",$I64-기준정보!$C$4)</f>
        <v>124</v>
      </c>
      <c r="K64" s="26"/>
      <c r="L64" s="29"/>
      <c r="M64" s="26"/>
      <c r="N64" s="25" t="str">
        <f aca="false">IF($M64="CMT","본사(소재팀)",IF($M64="사입","생산처",""))</f>
        <v/>
      </c>
      <c r="O64" s="30"/>
      <c r="P64" s="30"/>
      <c r="Q64" s="25" t="str">
        <f aca="false">IF($H64="","출고일 미정",IF($K64="X","작지 미등록",IF(AND($L64&lt;&gt;"",$L64&gt;$I64),"소재입고 마감("&amp;TEXT($I64,"MM/DD")&amp;") 초과",IF($K64="","작지 등록여부 확인 필요",IF($L64="","소재 입고일정 확인 필요","정상")))))</f>
        <v>작지 등록여부 확인 필요</v>
      </c>
      <c r="R64" s="23" t="str">
        <f aca="false">IF($H64="","",IF(OR($Q64="작지 미등록",LEFT($Q64,4)="소재입고"),IF(LEFT($E64,1)="S","★ 납기위험(S코드)","◆ 지연주의"),IF($Q64="정상","✓ 정상","? 확인필요")))</f>
        <v>? 확인필요</v>
      </c>
      <c r="S64" s="26"/>
      <c r="T64" s="30"/>
    </row>
    <row r="65" customFormat="false" ht="15" hidden="false" customHeight="false" outlineLevel="0" collapsed="false">
      <c r="A65" s="23" t="n">
        <v>61</v>
      </c>
      <c r="B65" s="24" t="s">
        <v>66</v>
      </c>
      <c r="C65" s="25" t="s">
        <v>191</v>
      </c>
      <c r="D65" s="24" t="s">
        <v>192</v>
      </c>
      <c r="E65" s="23" t="str">
        <f aca="false">IF($C65="","",IF(MID($C65,5,1)="S","S(봄)",IF(MID($C65,5,1)="M","M(여름)",IF(MID($C65,5,1)="X","X(사계절)",MID($C65,5,1)))))</f>
        <v>M(여름)</v>
      </c>
      <c r="F65" s="25" t="s">
        <v>134</v>
      </c>
      <c r="G65" s="26" t="s">
        <v>181</v>
      </c>
      <c r="H65" s="27" t="n">
        <f aca="false">IF($G65="","",IFERROR(DATE(IF(VALUE(LEFT($G65,FIND("월",$G65)-1))&gt;=9,기준정보!$C$6-1,기준정보!$C$6),VALUE(LEFT($G65,FIND("월",$G65)-1)),1+7*(VALUE(SUBSTITUTE(MID($G65,FIND("월",$G65)+1,5),"주",""))-1)),""))</f>
        <v>46454</v>
      </c>
      <c r="I65" s="27" t="n">
        <f aca="false">IF($H65="","",$H65-기준정보!$C$5)</f>
        <v>46364</v>
      </c>
      <c r="J65" s="28" t="n">
        <f aca="false">IF($I65="","",$I65-기준정보!$C$4)</f>
        <v>124</v>
      </c>
      <c r="K65" s="26"/>
      <c r="L65" s="29"/>
      <c r="M65" s="26"/>
      <c r="N65" s="25" t="str">
        <f aca="false">IF($M65="CMT","본사(소재팀)",IF($M65="사입","생산처",""))</f>
        <v/>
      </c>
      <c r="O65" s="30"/>
      <c r="P65" s="30"/>
      <c r="Q65" s="25" t="str">
        <f aca="false">IF($H65="","출고일 미정",IF($K65="X","작지 미등록",IF(AND($L65&lt;&gt;"",$L65&gt;$I65),"소재입고 마감("&amp;TEXT($I65,"MM/DD")&amp;") 초과",IF($K65="","작지 등록여부 확인 필요",IF($L65="","소재 입고일정 확인 필요","정상")))))</f>
        <v>작지 등록여부 확인 필요</v>
      </c>
      <c r="R65" s="23" t="str">
        <f aca="false">IF($H65="","",IF(OR($Q65="작지 미등록",LEFT($Q65,4)="소재입고"),IF(LEFT($E65,1)="S","★ 납기위험(S코드)","◆ 지연주의"),IF($Q65="정상","✓ 정상","? 확인필요")))</f>
        <v>? 확인필요</v>
      </c>
      <c r="S65" s="26"/>
      <c r="T65" s="30"/>
    </row>
    <row r="66" customFormat="false" ht="15" hidden="false" customHeight="false" outlineLevel="0" collapsed="false">
      <c r="A66" s="23" t="n">
        <v>62</v>
      </c>
      <c r="B66" s="24" t="s">
        <v>66</v>
      </c>
      <c r="C66" s="25" t="s">
        <v>193</v>
      </c>
      <c r="D66" s="24" t="s">
        <v>190</v>
      </c>
      <c r="E66" s="23" t="str">
        <f aca="false">IF($C66="","",IF(MID($C66,5,1)="S","S(봄)",IF(MID($C66,5,1)="M","M(여름)",IF(MID($C66,5,1)="X","X(사계절)",MID($C66,5,1)))))</f>
        <v>M(여름)</v>
      </c>
      <c r="F66" s="25" t="s">
        <v>134</v>
      </c>
      <c r="G66" s="26" t="s">
        <v>181</v>
      </c>
      <c r="H66" s="27" t="n">
        <f aca="false">IF($G66="","",IFERROR(DATE(IF(VALUE(LEFT($G66,FIND("월",$G66)-1))&gt;=9,기준정보!$C$6-1,기준정보!$C$6),VALUE(LEFT($G66,FIND("월",$G66)-1)),1+7*(VALUE(SUBSTITUTE(MID($G66,FIND("월",$G66)+1,5),"주",""))-1)),""))</f>
        <v>46454</v>
      </c>
      <c r="I66" s="27" t="n">
        <f aca="false">IF($H66="","",$H66-기준정보!$C$5)</f>
        <v>46364</v>
      </c>
      <c r="J66" s="28" t="n">
        <f aca="false">IF($I66="","",$I66-기준정보!$C$4)</f>
        <v>124</v>
      </c>
      <c r="K66" s="26"/>
      <c r="L66" s="29"/>
      <c r="M66" s="26"/>
      <c r="N66" s="25" t="str">
        <f aca="false">IF($M66="CMT","본사(소재팀)",IF($M66="사입","생산처",""))</f>
        <v/>
      </c>
      <c r="O66" s="30"/>
      <c r="P66" s="30"/>
      <c r="Q66" s="25" t="str">
        <f aca="false">IF($H66="","출고일 미정",IF($K66="X","작지 미등록",IF(AND($L66&lt;&gt;"",$L66&gt;$I66),"소재입고 마감("&amp;TEXT($I66,"MM/DD")&amp;") 초과",IF($K66="","작지 등록여부 확인 필요",IF($L66="","소재 입고일정 확인 필요","정상")))))</f>
        <v>작지 등록여부 확인 필요</v>
      </c>
      <c r="R66" s="23" t="str">
        <f aca="false">IF($H66="","",IF(OR($Q66="작지 미등록",LEFT($Q66,4)="소재입고"),IF(LEFT($E66,1)="S","★ 납기위험(S코드)","◆ 지연주의"),IF($Q66="정상","✓ 정상","? 확인필요")))</f>
        <v>? 확인필요</v>
      </c>
      <c r="S66" s="26"/>
      <c r="T66" s="30"/>
    </row>
    <row r="67" customFormat="false" ht="15" hidden="false" customHeight="false" outlineLevel="0" collapsed="false">
      <c r="A67" s="23" t="n">
        <v>63</v>
      </c>
      <c r="B67" s="24" t="s">
        <v>66</v>
      </c>
      <c r="C67" s="25" t="s">
        <v>194</v>
      </c>
      <c r="D67" s="24" t="s">
        <v>192</v>
      </c>
      <c r="E67" s="23" t="str">
        <f aca="false">IF($C67="","",IF(MID($C67,5,1)="S","S(봄)",IF(MID($C67,5,1)="M","M(여름)",IF(MID($C67,5,1)="X","X(사계절)",MID($C67,5,1)))))</f>
        <v>M(여름)</v>
      </c>
      <c r="F67" s="25" t="s">
        <v>134</v>
      </c>
      <c r="G67" s="26" t="s">
        <v>181</v>
      </c>
      <c r="H67" s="27" t="n">
        <f aca="false">IF($G67="","",IFERROR(DATE(IF(VALUE(LEFT($G67,FIND("월",$G67)-1))&gt;=9,기준정보!$C$6-1,기준정보!$C$6),VALUE(LEFT($G67,FIND("월",$G67)-1)),1+7*(VALUE(SUBSTITUTE(MID($G67,FIND("월",$G67)+1,5),"주",""))-1)),""))</f>
        <v>46454</v>
      </c>
      <c r="I67" s="27" t="n">
        <f aca="false">IF($H67="","",$H67-기준정보!$C$5)</f>
        <v>46364</v>
      </c>
      <c r="J67" s="28" t="n">
        <f aca="false">IF($I67="","",$I67-기준정보!$C$4)</f>
        <v>124</v>
      </c>
      <c r="K67" s="26"/>
      <c r="L67" s="29"/>
      <c r="M67" s="26"/>
      <c r="N67" s="25" t="str">
        <f aca="false">IF($M67="CMT","본사(소재팀)",IF($M67="사입","생산처",""))</f>
        <v/>
      </c>
      <c r="O67" s="30"/>
      <c r="P67" s="30"/>
      <c r="Q67" s="25" t="str">
        <f aca="false">IF($H67="","출고일 미정",IF($K67="X","작지 미등록",IF(AND($L67&lt;&gt;"",$L67&gt;$I67),"소재입고 마감("&amp;TEXT($I67,"MM/DD")&amp;") 초과",IF($K67="","작지 등록여부 확인 필요",IF($L67="","소재 입고일정 확인 필요","정상")))))</f>
        <v>작지 등록여부 확인 필요</v>
      </c>
      <c r="R67" s="23" t="str">
        <f aca="false">IF($H67="","",IF(OR($Q67="작지 미등록",LEFT($Q67,4)="소재입고"),IF(LEFT($E67,1)="S","★ 납기위험(S코드)","◆ 지연주의"),IF($Q67="정상","✓ 정상","? 확인필요")))</f>
        <v>? 확인필요</v>
      </c>
      <c r="S67" s="26"/>
      <c r="T67" s="30"/>
    </row>
    <row r="68" customFormat="false" ht="15" hidden="false" customHeight="false" outlineLevel="0" collapsed="false">
      <c r="A68" s="23" t="n">
        <v>64</v>
      </c>
      <c r="B68" s="24" t="s">
        <v>66</v>
      </c>
      <c r="C68" s="25" t="s">
        <v>195</v>
      </c>
      <c r="D68" s="24" t="s">
        <v>196</v>
      </c>
      <c r="E68" s="23" t="str">
        <f aca="false">IF($C68="","",IF(MID($C68,5,1)="S","S(봄)",IF(MID($C68,5,1)="M","M(여름)",IF(MID($C68,5,1)="X","X(사계절)",MID($C68,5,1)))))</f>
        <v>M(여름)</v>
      </c>
      <c r="F68" s="25" t="s">
        <v>134</v>
      </c>
      <c r="G68" s="26" t="s">
        <v>181</v>
      </c>
      <c r="H68" s="27" t="n">
        <f aca="false">IF($G68="","",IFERROR(DATE(IF(VALUE(LEFT($G68,FIND("월",$G68)-1))&gt;=9,기준정보!$C$6-1,기준정보!$C$6),VALUE(LEFT($G68,FIND("월",$G68)-1)),1+7*(VALUE(SUBSTITUTE(MID($G68,FIND("월",$G68)+1,5),"주",""))-1)),""))</f>
        <v>46454</v>
      </c>
      <c r="I68" s="27" t="n">
        <f aca="false">IF($H68="","",$H68-기준정보!$C$5)</f>
        <v>46364</v>
      </c>
      <c r="J68" s="28" t="n">
        <f aca="false">IF($I68="","",$I68-기준정보!$C$4)</f>
        <v>124</v>
      </c>
      <c r="K68" s="26"/>
      <c r="L68" s="29"/>
      <c r="M68" s="26"/>
      <c r="N68" s="25" t="str">
        <f aca="false">IF($M68="CMT","본사(소재팀)",IF($M68="사입","생산처",""))</f>
        <v/>
      </c>
      <c r="O68" s="30"/>
      <c r="P68" s="30"/>
      <c r="Q68" s="25" t="str">
        <f aca="false">IF($H68="","출고일 미정",IF($K68="X","작지 미등록",IF(AND($L68&lt;&gt;"",$L68&gt;$I68),"소재입고 마감("&amp;TEXT($I68,"MM/DD")&amp;") 초과",IF($K68="","작지 등록여부 확인 필요",IF($L68="","소재 입고일정 확인 필요","정상")))))</f>
        <v>작지 등록여부 확인 필요</v>
      </c>
      <c r="R68" s="23" t="str">
        <f aca="false">IF($H68="","",IF(OR($Q68="작지 미등록",LEFT($Q68,4)="소재입고"),IF(LEFT($E68,1)="S","★ 납기위험(S코드)","◆ 지연주의"),IF($Q68="정상","✓ 정상","? 확인필요")))</f>
        <v>? 확인필요</v>
      </c>
      <c r="S68" s="26"/>
      <c r="T68" s="30"/>
    </row>
    <row r="69" customFormat="false" ht="15" hidden="false" customHeight="false" outlineLevel="0" collapsed="false">
      <c r="A69" s="23" t="n">
        <v>65</v>
      </c>
      <c r="B69" s="24" t="s">
        <v>77</v>
      </c>
      <c r="C69" s="25" t="s">
        <v>197</v>
      </c>
      <c r="D69" s="24" t="s">
        <v>198</v>
      </c>
      <c r="E69" s="23" t="str">
        <f aca="false">IF($C69="","",IF(MID($C69,5,1)="S","S(봄)",IF(MID($C69,5,1)="M","M(여름)",IF(MID($C69,5,1)="X","X(사계절)",MID($C69,5,1)))))</f>
        <v>M(여름)</v>
      </c>
      <c r="F69" s="25" t="s">
        <v>176</v>
      </c>
      <c r="G69" s="26" t="s">
        <v>181</v>
      </c>
      <c r="H69" s="27" t="n">
        <f aca="false">IF($G69="","",IFERROR(DATE(IF(VALUE(LEFT($G69,FIND("월",$G69)-1))&gt;=9,기준정보!$C$6-1,기준정보!$C$6),VALUE(LEFT($G69,FIND("월",$G69)-1)),1+7*(VALUE(SUBSTITUTE(MID($G69,FIND("월",$G69)+1,5),"주",""))-1)),""))</f>
        <v>46454</v>
      </c>
      <c r="I69" s="27" t="n">
        <f aca="false">IF($H69="","",$H69-기준정보!$C$5)</f>
        <v>46364</v>
      </c>
      <c r="J69" s="28" t="n">
        <f aca="false">IF($I69="","",$I69-기준정보!$C$4)</f>
        <v>124</v>
      </c>
      <c r="K69" s="26"/>
      <c r="L69" s="29"/>
      <c r="M69" s="26"/>
      <c r="N69" s="25" t="str">
        <f aca="false">IF($M69="CMT","본사(소재팀)",IF($M69="사입","생산처",""))</f>
        <v/>
      </c>
      <c r="O69" s="30"/>
      <c r="P69" s="30"/>
      <c r="Q69" s="25" t="str">
        <f aca="false">IF($H69="","출고일 미정",IF($K69="X","작지 미등록",IF(AND($L69&lt;&gt;"",$L69&gt;$I69),"소재입고 마감("&amp;TEXT($I69,"MM/DD")&amp;") 초과",IF($K69="","작지 등록여부 확인 필요",IF($L69="","소재 입고일정 확인 필요","정상")))))</f>
        <v>작지 등록여부 확인 필요</v>
      </c>
      <c r="R69" s="23" t="str">
        <f aca="false">IF($H69="","",IF(OR($Q69="작지 미등록",LEFT($Q69,4)="소재입고"),IF(LEFT($E69,1)="S","★ 납기위험(S코드)","◆ 지연주의"),IF($Q69="정상","✓ 정상","? 확인필요")))</f>
        <v>? 확인필요</v>
      </c>
      <c r="S69" s="26"/>
      <c r="T69" s="30"/>
    </row>
    <row r="70" customFormat="false" ht="15" hidden="false" customHeight="false" outlineLevel="0" collapsed="false">
      <c r="A70" s="23" t="n">
        <v>66</v>
      </c>
      <c r="B70" s="24" t="s">
        <v>77</v>
      </c>
      <c r="C70" s="25" t="s">
        <v>199</v>
      </c>
      <c r="D70" s="24" t="s">
        <v>200</v>
      </c>
      <c r="E70" s="23" t="str">
        <f aca="false">IF($C70="","",IF(MID($C70,5,1)="S","S(봄)",IF(MID($C70,5,1)="M","M(여름)",IF(MID($C70,5,1)="X","X(사계절)",MID($C70,5,1)))))</f>
        <v>M(여름)</v>
      </c>
      <c r="F70" s="25" t="s">
        <v>176</v>
      </c>
      <c r="G70" s="26" t="s">
        <v>181</v>
      </c>
      <c r="H70" s="27" t="n">
        <f aca="false">IF($G70="","",IFERROR(DATE(IF(VALUE(LEFT($G70,FIND("월",$G70)-1))&gt;=9,기준정보!$C$6-1,기준정보!$C$6),VALUE(LEFT($G70,FIND("월",$G70)-1)),1+7*(VALUE(SUBSTITUTE(MID($G70,FIND("월",$G70)+1,5),"주",""))-1)),""))</f>
        <v>46454</v>
      </c>
      <c r="I70" s="27" t="n">
        <f aca="false">IF($H70="","",$H70-기준정보!$C$5)</f>
        <v>46364</v>
      </c>
      <c r="J70" s="28" t="n">
        <f aca="false">IF($I70="","",$I70-기준정보!$C$4)</f>
        <v>124</v>
      </c>
      <c r="K70" s="26"/>
      <c r="L70" s="29"/>
      <c r="M70" s="26"/>
      <c r="N70" s="25" t="str">
        <f aca="false">IF($M70="CMT","본사(소재팀)",IF($M70="사입","생산처",""))</f>
        <v/>
      </c>
      <c r="O70" s="30"/>
      <c r="P70" s="30"/>
      <c r="Q70" s="25" t="str">
        <f aca="false">IF($H70="","출고일 미정",IF($K70="X","작지 미등록",IF(AND($L70&lt;&gt;"",$L70&gt;$I70),"소재입고 마감("&amp;TEXT($I70,"MM/DD")&amp;") 초과",IF($K70="","작지 등록여부 확인 필요",IF($L70="","소재 입고일정 확인 필요","정상")))))</f>
        <v>작지 등록여부 확인 필요</v>
      </c>
      <c r="R70" s="23" t="str">
        <f aca="false">IF($H70="","",IF(OR($Q70="작지 미등록",LEFT($Q70,4)="소재입고"),IF(LEFT($E70,1)="S","★ 납기위험(S코드)","◆ 지연주의"),IF($Q70="정상","✓ 정상","? 확인필요")))</f>
        <v>? 확인필요</v>
      </c>
      <c r="S70" s="26"/>
      <c r="T70" s="30"/>
    </row>
    <row r="71" customFormat="false" ht="15" hidden="false" customHeight="false" outlineLevel="0" collapsed="false">
      <c r="A71" s="23" t="n">
        <v>67</v>
      </c>
      <c r="B71" s="24" t="s">
        <v>66</v>
      </c>
      <c r="C71" s="25" t="s">
        <v>201</v>
      </c>
      <c r="D71" s="24" t="s">
        <v>202</v>
      </c>
      <c r="E71" s="23" t="str">
        <f aca="false">IF($C71="","",IF(MID($C71,5,1)="S","S(봄)",IF(MID($C71,5,1)="M","M(여름)",IF(MID($C71,5,1)="X","X(사계절)",MID($C71,5,1)))))</f>
        <v>M(여름)</v>
      </c>
      <c r="F71" s="25" t="s">
        <v>134</v>
      </c>
      <c r="G71" s="26" t="s">
        <v>203</v>
      </c>
      <c r="H71" s="27" t="n">
        <f aca="false">IF($G71="","",IFERROR(DATE(IF(VALUE(LEFT($G71,FIND("월",$G71)-1))&gt;=9,기준정보!$C$6-1,기준정보!$C$6),VALUE(LEFT($G71,FIND("월",$G71)-1)),1+7*(VALUE(SUBSTITUTE(MID($G71,FIND("월",$G71)+1,5),"주",""))-1)),""))</f>
        <v>46461</v>
      </c>
      <c r="I71" s="27" t="n">
        <f aca="false">IF($H71="","",$H71-기준정보!$C$5)</f>
        <v>46371</v>
      </c>
      <c r="J71" s="28" t="n">
        <f aca="false">IF($I71="","",$I71-기준정보!$C$4)</f>
        <v>131</v>
      </c>
      <c r="K71" s="26"/>
      <c r="L71" s="29"/>
      <c r="M71" s="26"/>
      <c r="N71" s="25" t="str">
        <f aca="false">IF($M71="CMT","본사(소재팀)",IF($M71="사입","생산처",""))</f>
        <v/>
      </c>
      <c r="O71" s="30"/>
      <c r="P71" s="30"/>
      <c r="Q71" s="25" t="str">
        <f aca="false">IF($H71="","출고일 미정",IF($K71="X","작지 미등록",IF(AND($L71&lt;&gt;"",$L71&gt;$I71),"소재입고 마감("&amp;TEXT($I71,"MM/DD")&amp;") 초과",IF($K71="","작지 등록여부 확인 필요",IF($L71="","소재 입고일정 확인 필요","정상")))))</f>
        <v>작지 등록여부 확인 필요</v>
      </c>
      <c r="R71" s="23" t="str">
        <f aca="false">IF($H71="","",IF(OR($Q71="작지 미등록",LEFT($Q71,4)="소재입고"),IF(LEFT($E71,1)="S","★ 납기위험(S코드)","◆ 지연주의"),IF($Q71="정상","✓ 정상","? 확인필요")))</f>
        <v>? 확인필요</v>
      </c>
      <c r="S71" s="26"/>
      <c r="T71" s="30"/>
    </row>
    <row r="72" customFormat="false" ht="15" hidden="false" customHeight="false" outlineLevel="0" collapsed="false">
      <c r="A72" s="23" t="n">
        <v>68</v>
      </c>
      <c r="B72" s="24" t="s">
        <v>66</v>
      </c>
      <c r="C72" s="25" t="s">
        <v>204</v>
      </c>
      <c r="D72" s="24" t="s">
        <v>205</v>
      </c>
      <c r="E72" s="23" t="str">
        <f aca="false">IF($C72="","",IF(MID($C72,5,1)="S","S(봄)",IF(MID($C72,5,1)="M","M(여름)",IF(MID($C72,5,1)="X","X(사계절)",MID($C72,5,1)))))</f>
        <v>M(여름)</v>
      </c>
      <c r="F72" s="24" t="s">
        <v>85</v>
      </c>
      <c r="G72" s="26" t="s">
        <v>206</v>
      </c>
      <c r="H72" s="27" t="n">
        <f aca="false">IF($G72="","",IFERROR(DATE(IF(VALUE(LEFT($G72,FIND("월",$G72)-1))&gt;=9,기준정보!$C$6-1,기준정보!$C$6),VALUE(LEFT($G72,FIND("월",$G72)-1)),1+7*(VALUE(SUBSTITUTE(MID($G72,FIND("월",$G72)+1,5),"주",""))-1)),""))</f>
        <v>46468</v>
      </c>
      <c r="I72" s="27" t="n">
        <f aca="false">IF($H72="","",$H72-기준정보!$C$5)</f>
        <v>46378</v>
      </c>
      <c r="J72" s="28" t="n">
        <f aca="false">IF($I72="","",$I72-기준정보!$C$4)</f>
        <v>138</v>
      </c>
      <c r="K72" s="26"/>
      <c r="L72" s="29"/>
      <c r="M72" s="26"/>
      <c r="N72" s="25" t="str">
        <f aca="false">IF($M72="CMT","본사(소재팀)",IF($M72="사입","생산처",""))</f>
        <v/>
      </c>
      <c r="O72" s="30"/>
      <c r="P72" s="30"/>
      <c r="Q72" s="25" t="str">
        <f aca="false">IF($H72="","출고일 미정",IF($K72="X","작지 미등록",IF(AND($L72&lt;&gt;"",$L72&gt;$I72),"소재입고 마감("&amp;TEXT($I72,"MM/DD")&amp;") 초과",IF($K72="","작지 등록여부 확인 필요",IF($L72="","소재 입고일정 확인 필요","정상")))))</f>
        <v>작지 등록여부 확인 필요</v>
      </c>
      <c r="R72" s="23" t="str">
        <f aca="false">IF($H72="","",IF(OR($Q72="작지 미등록",LEFT($Q72,4)="소재입고"),IF(LEFT($E72,1)="S","★ 납기위험(S코드)","◆ 지연주의"),IF($Q72="정상","✓ 정상","? 확인필요")))</f>
        <v>? 확인필요</v>
      </c>
      <c r="S72" s="26"/>
      <c r="T72" s="30"/>
    </row>
    <row r="73" customFormat="false" ht="15" hidden="false" customHeight="false" outlineLevel="0" collapsed="false">
      <c r="A73" s="23" t="n">
        <v>69</v>
      </c>
      <c r="B73" s="24" t="s">
        <v>66</v>
      </c>
      <c r="C73" s="25" t="s">
        <v>207</v>
      </c>
      <c r="D73" s="24" t="s">
        <v>205</v>
      </c>
      <c r="E73" s="23" t="str">
        <f aca="false">IF($C73="","",IF(MID($C73,5,1)="S","S(봄)",IF(MID($C73,5,1)="M","M(여름)",IF(MID($C73,5,1)="X","X(사계절)",MID($C73,5,1)))))</f>
        <v>M(여름)</v>
      </c>
      <c r="F73" s="24" t="s">
        <v>85</v>
      </c>
      <c r="G73" s="26" t="s">
        <v>206</v>
      </c>
      <c r="H73" s="27" t="n">
        <f aca="false">IF($G73="","",IFERROR(DATE(IF(VALUE(LEFT($G73,FIND("월",$G73)-1))&gt;=9,기준정보!$C$6-1,기준정보!$C$6),VALUE(LEFT($G73,FIND("월",$G73)-1)),1+7*(VALUE(SUBSTITUTE(MID($G73,FIND("월",$G73)+1,5),"주",""))-1)),""))</f>
        <v>46468</v>
      </c>
      <c r="I73" s="27" t="n">
        <f aca="false">IF($H73="","",$H73-기준정보!$C$5)</f>
        <v>46378</v>
      </c>
      <c r="J73" s="28" t="n">
        <f aca="false">IF($I73="","",$I73-기준정보!$C$4)</f>
        <v>138</v>
      </c>
      <c r="K73" s="26"/>
      <c r="L73" s="29"/>
      <c r="M73" s="26"/>
      <c r="N73" s="25" t="str">
        <f aca="false">IF($M73="CMT","본사(소재팀)",IF($M73="사입","생산처",""))</f>
        <v/>
      </c>
      <c r="O73" s="30"/>
      <c r="P73" s="30"/>
      <c r="Q73" s="25" t="str">
        <f aca="false">IF($H73="","출고일 미정",IF($K73="X","작지 미등록",IF(AND($L73&lt;&gt;"",$L73&gt;$I73),"소재입고 마감("&amp;TEXT($I73,"MM/DD")&amp;") 초과",IF($K73="","작지 등록여부 확인 필요",IF($L73="","소재 입고일정 확인 필요","정상")))))</f>
        <v>작지 등록여부 확인 필요</v>
      </c>
      <c r="R73" s="23" t="str">
        <f aca="false">IF($H73="","",IF(OR($Q73="작지 미등록",LEFT($Q73,4)="소재입고"),IF(LEFT($E73,1)="S","★ 납기위험(S코드)","◆ 지연주의"),IF($Q73="정상","✓ 정상","? 확인필요")))</f>
        <v>? 확인필요</v>
      </c>
      <c r="S73" s="26"/>
      <c r="T73" s="30"/>
    </row>
    <row r="74" customFormat="false" ht="15" hidden="false" customHeight="false" outlineLevel="0" collapsed="false">
      <c r="A74" s="23" t="n">
        <v>70</v>
      </c>
      <c r="B74" s="24" t="s">
        <v>208</v>
      </c>
      <c r="C74" s="25" t="s">
        <v>209</v>
      </c>
      <c r="D74" s="25"/>
      <c r="E74" s="23" t="str">
        <f aca="false">IF($C74="","",IF(MID($C74,5,1)="S","S(봄)",IF(MID($C74,5,1)="M","M(여름)",IF(MID($C74,5,1)="X","X(사계절)",MID($C74,5,1)))))</f>
        <v>M(여름)</v>
      </c>
      <c r="F74" s="25" t="s">
        <v>210</v>
      </c>
      <c r="G74" s="26" t="s">
        <v>206</v>
      </c>
      <c r="H74" s="27" t="n">
        <f aca="false">IF($G74="","",IFERROR(DATE(IF(VALUE(LEFT($G74,FIND("월",$G74)-1))&gt;=9,기준정보!$C$6-1,기준정보!$C$6),VALUE(LEFT($G74,FIND("월",$G74)-1)),1+7*(VALUE(SUBSTITUTE(MID($G74,FIND("월",$G74)+1,5),"주",""))-1)),""))</f>
        <v>46468</v>
      </c>
      <c r="I74" s="27" t="n">
        <f aca="false">IF($H74="","",$H74-기준정보!$C$5)</f>
        <v>46378</v>
      </c>
      <c r="J74" s="28" t="n">
        <f aca="false">IF($I74="","",$I74-기준정보!$C$4)</f>
        <v>138</v>
      </c>
      <c r="K74" s="26"/>
      <c r="L74" s="29"/>
      <c r="M74" s="26"/>
      <c r="N74" s="25" t="str">
        <f aca="false">IF($M74="CMT","본사(소재팀)",IF($M74="사입","생산처",""))</f>
        <v/>
      </c>
      <c r="O74" s="30"/>
      <c r="P74" s="30"/>
      <c r="Q74" s="25" t="str">
        <f aca="false">IF($H74="","출고일 미정",IF($K74="X","작지 미등록",IF(AND($L74&lt;&gt;"",$L74&gt;$I74),"소재입고 마감("&amp;TEXT($I74,"MM/DD")&amp;") 초과",IF($K74="","작지 등록여부 확인 필요",IF($L74="","소재 입고일정 확인 필요","정상")))))</f>
        <v>작지 등록여부 확인 필요</v>
      </c>
      <c r="R74" s="23" t="str">
        <f aca="false">IF($H74="","",IF(OR($Q74="작지 미등록",LEFT($Q74,4)="소재입고"),IF(LEFT($E74,1)="S","★ 납기위험(S코드)","◆ 지연주의"),IF($Q74="정상","✓ 정상","? 확인필요")))</f>
        <v>? 확인필요</v>
      </c>
      <c r="S74" s="26"/>
      <c r="T74" s="30"/>
    </row>
    <row r="75" customFormat="false" ht="15" hidden="false" customHeight="false" outlineLevel="0" collapsed="false">
      <c r="A75" s="23" t="n">
        <v>71</v>
      </c>
      <c r="B75" s="24" t="s">
        <v>66</v>
      </c>
      <c r="C75" s="25" t="s">
        <v>211</v>
      </c>
      <c r="D75" s="24" t="s">
        <v>212</v>
      </c>
      <c r="E75" s="23" t="str">
        <f aca="false">IF($C75="","",IF(MID($C75,5,1)="S","S(봄)",IF(MID($C75,5,1)="M","M(여름)",IF(MID($C75,5,1)="X","X(사계절)",MID($C75,5,1)))))</f>
        <v>M(여름)</v>
      </c>
      <c r="F75" s="25" t="s">
        <v>134</v>
      </c>
      <c r="G75" s="26" t="s">
        <v>206</v>
      </c>
      <c r="H75" s="27" t="n">
        <f aca="false">IF($G75="","",IFERROR(DATE(IF(VALUE(LEFT($G75,FIND("월",$G75)-1))&gt;=9,기준정보!$C$6-1,기준정보!$C$6),VALUE(LEFT($G75,FIND("월",$G75)-1)),1+7*(VALUE(SUBSTITUTE(MID($G75,FIND("월",$G75)+1,5),"주",""))-1)),""))</f>
        <v>46468</v>
      </c>
      <c r="I75" s="27" t="n">
        <f aca="false">IF($H75="","",$H75-기준정보!$C$5)</f>
        <v>46378</v>
      </c>
      <c r="J75" s="28" t="n">
        <f aca="false">IF($I75="","",$I75-기준정보!$C$4)</f>
        <v>138</v>
      </c>
      <c r="K75" s="26"/>
      <c r="L75" s="29"/>
      <c r="M75" s="26"/>
      <c r="N75" s="25" t="str">
        <f aca="false">IF($M75="CMT","본사(소재팀)",IF($M75="사입","생산처",""))</f>
        <v/>
      </c>
      <c r="O75" s="30"/>
      <c r="P75" s="30"/>
      <c r="Q75" s="25" t="str">
        <f aca="false">IF($H75="","출고일 미정",IF($K75="X","작지 미등록",IF(AND($L75&lt;&gt;"",$L75&gt;$I75),"소재입고 마감("&amp;TEXT($I75,"MM/DD")&amp;") 초과",IF($K75="","작지 등록여부 확인 필요",IF($L75="","소재 입고일정 확인 필요","정상")))))</f>
        <v>작지 등록여부 확인 필요</v>
      </c>
      <c r="R75" s="23" t="str">
        <f aca="false">IF($H75="","",IF(OR($Q75="작지 미등록",LEFT($Q75,4)="소재입고"),IF(LEFT($E75,1)="S","★ 납기위험(S코드)","◆ 지연주의"),IF($Q75="정상","✓ 정상","? 확인필요")))</f>
        <v>? 확인필요</v>
      </c>
      <c r="S75" s="26"/>
      <c r="T75" s="30"/>
    </row>
    <row r="76" customFormat="false" ht="15" hidden="false" customHeight="false" outlineLevel="0" collapsed="false">
      <c r="A76" s="23" t="n">
        <v>72</v>
      </c>
      <c r="B76" s="24" t="s">
        <v>66</v>
      </c>
      <c r="C76" s="25" t="s">
        <v>213</v>
      </c>
      <c r="D76" s="24" t="s">
        <v>214</v>
      </c>
      <c r="E76" s="23" t="str">
        <f aca="false">IF($C76="","",IF(MID($C76,5,1)="S","S(봄)",IF(MID($C76,5,1)="M","M(여름)",IF(MID($C76,5,1)="X","X(사계절)",MID($C76,5,1)))))</f>
        <v>M(여름)</v>
      </c>
      <c r="F76" s="25" t="s">
        <v>134</v>
      </c>
      <c r="G76" s="26" t="s">
        <v>206</v>
      </c>
      <c r="H76" s="27" t="n">
        <f aca="false">IF($G76="","",IFERROR(DATE(IF(VALUE(LEFT($G76,FIND("월",$G76)-1))&gt;=9,기준정보!$C$6-1,기준정보!$C$6),VALUE(LEFT($G76,FIND("월",$G76)-1)),1+7*(VALUE(SUBSTITUTE(MID($G76,FIND("월",$G76)+1,5),"주",""))-1)),""))</f>
        <v>46468</v>
      </c>
      <c r="I76" s="27" t="n">
        <f aca="false">IF($H76="","",$H76-기준정보!$C$5)</f>
        <v>46378</v>
      </c>
      <c r="J76" s="28" t="n">
        <f aca="false">IF($I76="","",$I76-기준정보!$C$4)</f>
        <v>138</v>
      </c>
      <c r="K76" s="26"/>
      <c r="L76" s="29"/>
      <c r="M76" s="26"/>
      <c r="N76" s="25" t="str">
        <f aca="false">IF($M76="CMT","본사(소재팀)",IF($M76="사입","생산처",""))</f>
        <v/>
      </c>
      <c r="O76" s="30"/>
      <c r="P76" s="30"/>
      <c r="Q76" s="25" t="str">
        <f aca="false">IF($H76="","출고일 미정",IF($K76="X","작지 미등록",IF(AND($L76&lt;&gt;"",$L76&gt;$I76),"소재입고 마감("&amp;TEXT($I76,"MM/DD")&amp;") 초과",IF($K76="","작지 등록여부 확인 필요",IF($L76="","소재 입고일정 확인 필요","정상")))))</f>
        <v>작지 등록여부 확인 필요</v>
      </c>
      <c r="R76" s="23" t="str">
        <f aca="false">IF($H76="","",IF(OR($Q76="작지 미등록",LEFT($Q76,4)="소재입고"),IF(LEFT($E76,1)="S","★ 납기위험(S코드)","◆ 지연주의"),IF($Q76="정상","✓ 정상","? 확인필요")))</f>
        <v>? 확인필요</v>
      </c>
      <c r="S76" s="26"/>
      <c r="T76" s="30"/>
    </row>
    <row r="77" customFormat="false" ht="15" hidden="false" customHeight="false" outlineLevel="0" collapsed="false">
      <c r="A77" s="23" t="n">
        <v>73</v>
      </c>
      <c r="B77" s="24" t="s">
        <v>66</v>
      </c>
      <c r="C77" s="25" t="s">
        <v>215</v>
      </c>
      <c r="D77" s="24" t="s">
        <v>216</v>
      </c>
      <c r="E77" s="23" t="str">
        <f aca="false">IF($C77="","",IF(MID($C77,5,1)="S","S(봄)",IF(MID($C77,5,1)="M","M(여름)",IF(MID($C77,5,1)="X","X(사계절)",MID($C77,5,1)))))</f>
        <v>M(여름)</v>
      </c>
      <c r="F77" s="25" t="s">
        <v>134</v>
      </c>
      <c r="G77" s="26" t="s">
        <v>206</v>
      </c>
      <c r="H77" s="27" t="n">
        <f aca="false">IF($G77="","",IFERROR(DATE(IF(VALUE(LEFT($G77,FIND("월",$G77)-1))&gt;=9,기준정보!$C$6-1,기준정보!$C$6),VALUE(LEFT($G77,FIND("월",$G77)-1)),1+7*(VALUE(SUBSTITUTE(MID($G77,FIND("월",$G77)+1,5),"주",""))-1)),""))</f>
        <v>46468</v>
      </c>
      <c r="I77" s="27" t="n">
        <f aca="false">IF($H77="","",$H77-기준정보!$C$5)</f>
        <v>46378</v>
      </c>
      <c r="J77" s="28" t="n">
        <f aca="false">IF($I77="","",$I77-기준정보!$C$4)</f>
        <v>138</v>
      </c>
      <c r="K77" s="26"/>
      <c r="L77" s="29"/>
      <c r="M77" s="26"/>
      <c r="N77" s="25" t="str">
        <f aca="false">IF($M77="CMT","본사(소재팀)",IF($M77="사입","생산처",""))</f>
        <v/>
      </c>
      <c r="O77" s="30"/>
      <c r="P77" s="30"/>
      <c r="Q77" s="25" t="str">
        <f aca="false">IF($H77="","출고일 미정",IF($K77="X","작지 미등록",IF(AND($L77&lt;&gt;"",$L77&gt;$I77),"소재입고 마감("&amp;TEXT($I77,"MM/DD")&amp;") 초과",IF($K77="","작지 등록여부 확인 필요",IF($L77="","소재 입고일정 확인 필요","정상")))))</f>
        <v>작지 등록여부 확인 필요</v>
      </c>
      <c r="R77" s="23" t="str">
        <f aca="false">IF($H77="","",IF(OR($Q77="작지 미등록",LEFT($Q77,4)="소재입고"),IF(LEFT($E77,1)="S","★ 납기위험(S코드)","◆ 지연주의"),IF($Q77="정상","✓ 정상","? 확인필요")))</f>
        <v>? 확인필요</v>
      </c>
      <c r="S77" s="26"/>
      <c r="T77" s="30"/>
    </row>
    <row r="78" customFormat="false" ht="15" hidden="false" customHeight="false" outlineLevel="0" collapsed="false">
      <c r="A78" s="23" t="n">
        <v>74</v>
      </c>
      <c r="B78" s="25"/>
      <c r="C78" s="25" t="s">
        <v>217</v>
      </c>
      <c r="D78" s="25"/>
      <c r="E78" s="23" t="str">
        <f aca="false">IF($C78="","",IF(MID($C78,5,1)="S","S(봄)",IF(MID($C78,5,1)="M","M(여름)",IF(MID($C78,5,1)="X","X(사계절)",MID($C78,5,1)))))</f>
        <v>M(여름)</v>
      </c>
      <c r="F78" s="25" t="s">
        <v>134</v>
      </c>
      <c r="G78" s="26" t="s">
        <v>206</v>
      </c>
      <c r="H78" s="27" t="n">
        <f aca="false">IF($G78="","",IFERROR(DATE(IF(VALUE(LEFT($G78,FIND("월",$G78)-1))&gt;=9,기준정보!$C$6-1,기준정보!$C$6),VALUE(LEFT($G78,FIND("월",$G78)-1)),1+7*(VALUE(SUBSTITUTE(MID($G78,FIND("월",$G78)+1,5),"주",""))-1)),""))</f>
        <v>46468</v>
      </c>
      <c r="I78" s="27" t="n">
        <f aca="false">IF($H78="","",$H78-기준정보!$C$5)</f>
        <v>46378</v>
      </c>
      <c r="J78" s="28" t="n">
        <f aca="false">IF($I78="","",$I78-기준정보!$C$4)</f>
        <v>138</v>
      </c>
      <c r="K78" s="26"/>
      <c r="L78" s="29"/>
      <c r="M78" s="26"/>
      <c r="N78" s="25" t="str">
        <f aca="false">IF($M78="CMT","본사(소재팀)",IF($M78="사입","생산처",""))</f>
        <v/>
      </c>
      <c r="O78" s="30"/>
      <c r="P78" s="30"/>
      <c r="Q78" s="25" t="str">
        <f aca="false">IF($H78="","출고일 미정",IF($K78="X","작지 미등록",IF(AND($L78&lt;&gt;"",$L78&gt;$I78),"소재입고 마감("&amp;TEXT($I78,"MM/DD")&amp;") 초과",IF($K78="","작지 등록여부 확인 필요",IF($L78="","소재 입고일정 확인 필요","정상")))))</f>
        <v>작지 등록여부 확인 필요</v>
      </c>
      <c r="R78" s="23" t="str">
        <f aca="false">IF($H78="","",IF(OR($Q78="작지 미등록",LEFT($Q78,4)="소재입고"),IF(LEFT($E78,1)="S","★ 납기위험(S코드)","◆ 지연주의"),IF($Q78="정상","✓ 정상","? 확인필요")))</f>
        <v>? 확인필요</v>
      </c>
      <c r="S78" s="26"/>
      <c r="T78" s="30"/>
    </row>
    <row r="79" customFormat="false" ht="15" hidden="false" customHeight="false" outlineLevel="0" collapsed="false">
      <c r="A79" s="23" t="n">
        <v>75</v>
      </c>
      <c r="B79" s="24" t="s">
        <v>66</v>
      </c>
      <c r="C79" s="25" t="s">
        <v>218</v>
      </c>
      <c r="D79" s="24" t="s">
        <v>219</v>
      </c>
      <c r="E79" s="23" t="str">
        <f aca="false">IF($C79="","",IF(MID($C79,5,1)="S","S(봄)",IF(MID($C79,5,1)="M","M(여름)",IF(MID($C79,5,1)="X","X(사계절)",MID($C79,5,1)))))</f>
        <v>M(여름)</v>
      </c>
      <c r="F79" s="25" t="s">
        <v>134</v>
      </c>
      <c r="G79" s="26" t="s">
        <v>206</v>
      </c>
      <c r="H79" s="27" t="n">
        <f aca="false">IF($G79="","",IFERROR(DATE(IF(VALUE(LEFT($G79,FIND("월",$G79)-1))&gt;=9,기준정보!$C$6-1,기준정보!$C$6),VALUE(LEFT($G79,FIND("월",$G79)-1)),1+7*(VALUE(SUBSTITUTE(MID($G79,FIND("월",$G79)+1,5),"주",""))-1)),""))</f>
        <v>46468</v>
      </c>
      <c r="I79" s="27" t="n">
        <f aca="false">IF($H79="","",$H79-기준정보!$C$5)</f>
        <v>46378</v>
      </c>
      <c r="J79" s="28" t="n">
        <f aca="false">IF($I79="","",$I79-기준정보!$C$4)</f>
        <v>138</v>
      </c>
      <c r="K79" s="26"/>
      <c r="L79" s="29"/>
      <c r="M79" s="26"/>
      <c r="N79" s="25" t="str">
        <f aca="false">IF($M79="CMT","본사(소재팀)",IF($M79="사입","생산처",""))</f>
        <v/>
      </c>
      <c r="O79" s="30"/>
      <c r="P79" s="30"/>
      <c r="Q79" s="25" t="str">
        <f aca="false">IF($H79="","출고일 미정",IF($K79="X","작지 미등록",IF(AND($L79&lt;&gt;"",$L79&gt;$I79),"소재입고 마감("&amp;TEXT($I79,"MM/DD")&amp;") 초과",IF($K79="","작지 등록여부 확인 필요",IF($L79="","소재 입고일정 확인 필요","정상")))))</f>
        <v>작지 등록여부 확인 필요</v>
      </c>
      <c r="R79" s="23" t="str">
        <f aca="false">IF($H79="","",IF(OR($Q79="작지 미등록",LEFT($Q79,4)="소재입고"),IF(LEFT($E79,1)="S","★ 납기위험(S코드)","◆ 지연주의"),IF($Q79="정상","✓ 정상","? 확인필요")))</f>
        <v>? 확인필요</v>
      </c>
      <c r="S79" s="26"/>
      <c r="T79" s="30"/>
    </row>
    <row r="80" customFormat="false" ht="15" hidden="false" customHeight="false" outlineLevel="0" collapsed="false">
      <c r="A80" s="23" t="n">
        <v>76</v>
      </c>
      <c r="B80" s="24" t="s">
        <v>66</v>
      </c>
      <c r="C80" s="25" t="s">
        <v>220</v>
      </c>
      <c r="D80" s="24" t="s">
        <v>221</v>
      </c>
      <c r="E80" s="23" t="str">
        <f aca="false">IF($C80="","",IF(MID($C80,5,1)="S","S(봄)",IF(MID($C80,5,1)="M","M(여름)",IF(MID($C80,5,1)="X","X(사계절)",MID($C80,5,1)))))</f>
        <v>M(여름)</v>
      </c>
      <c r="F80" s="25" t="s">
        <v>134</v>
      </c>
      <c r="G80" s="26" t="s">
        <v>206</v>
      </c>
      <c r="H80" s="27" t="n">
        <f aca="false">IF($G80="","",IFERROR(DATE(IF(VALUE(LEFT($G80,FIND("월",$G80)-1))&gt;=9,기준정보!$C$6-1,기준정보!$C$6),VALUE(LEFT($G80,FIND("월",$G80)-1)),1+7*(VALUE(SUBSTITUTE(MID($G80,FIND("월",$G80)+1,5),"주",""))-1)),""))</f>
        <v>46468</v>
      </c>
      <c r="I80" s="27" t="n">
        <f aca="false">IF($H80="","",$H80-기준정보!$C$5)</f>
        <v>46378</v>
      </c>
      <c r="J80" s="28" t="n">
        <f aca="false">IF($I80="","",$I80-기준정보!$C$4)</f>
        <v>138</v>
      </c>
      <c r="K80" s="26"/>
      <c r="L80" s="29"/>
      <c r="M80" s="26"/>
      <c r="N80" s="25" t="str">
        <f aca="false">IF($M80="CMT","본사(소재팀)",IF($M80="사입","생산처",""))</f>
        <v/>
      </c>
      <c r="O80" s="30"/>
      <c r="P80" s="30"/>
      <c r="Q80" s="25" t="str">
        <f aca="false">IF($H80="","출고일 미정",IF($K80="X","작지 미등록",IF(AND($L80&lt;&gt;"",$L80&gt;$I80),"소재입고 마감("&amp;TEXT($I80,"MM/DD")&amp;") 초과",IF($K80="","작지 등록여부 확인 필요",IF($L80="","소재 입고일정 확인 필요","정상")))))</f>
        <v>작지 등록여부 확인 필요</v>
      </c>
      <c r="R80" s="23" t="str">
        <f aca="false">IF($H80="","",IF(OR($Q80="작지 미등록",LEFT($Q80,4)="소재입고"),IF(LEFT($E80,1)="S","★ 납기위험(S코드)","◆ 지연주의"),IF($Q80="정상","✓ 정상","? 확인필요")))</f>
        <v>? 확인필요</v>
      </c>
      <c r="S80" s="26"/>
      <c r="T80" s="30"/>
    </row>
    <row r="81" customFormat="false" ht="15" hidden="false" customHeight="false" outlineLevel="0" collapsed="false">
      <c r="A81" s="23" t="n">
        <v>77</v>
      </c>
      <c r="B81" s="24" t="s">
        <v>66</v>
      </c>
      <c r="C81" s="25" t="s">
        <v>222</v>
      </c>
      <c r="D81" s="24" t="s">
        <v>223</v>
      </c>
      <c r="E81" s="23" t="str">
        <f aca="false">IF($C81="","",IF(MID($C81,5,1)="S","S(봄)",IF(MID($C81,5,1)="M","M(여름)",IF(MID($C81,5,1)="X","X(사계절)",MID($C81,5,1)))))</f>
        <v>M(여름)</v>
      </c>
      <c r="F81" s="25" t="s">
        <v>134</v>
      </c>
      <c r="G81" s="26" t="s">
        <v>206</v>
      </c>
      <c r="H81" s="27" t="n">
        <f aca="false">IF($G81="","",IFERROR(DATE(IF(VALUE(LEFT($G81,FIND("월",$G81)-1))&gt;=9,기준정보!$C$6-1,기준정보!$C$6),VALUE(LEFT($G81,FIND("월",$G81)-1)),1+7*(VALUE(SUBSTITUTE(MID($G81,FIND("월",$G81)+1,5),"주",""))-1)),""))</f>
        <v>46468</v>
      </c>
      <c r="I81" s="27" t="n">
        <f aca="false">IF($H81="","",$H81-기준정보!$C$5)</f>
        <v>46378</v>
      </c>
      <c r="J81" s="28" t="n">
        <f aca="false">IF($I81="","",$I81-기준정보!$C$4)</f>
        <v>138</v>
      </c>
      <c r="K81" s="26"/>
      <c r="L81" s="29"/>
      <c r="M81" s="26"/>
      <c r="N81" s="25" t="str">
        <f aca="false">IF($M81="CMT","본사(소재팀)",IF($M81="사입","생산처",""))</f>
        <v/>
      </c>
      <c r="O81" s="30"/>
      <c r="P81" s="30"/>
      <c r="Q81" s="25" t="str">
        <f aca="false">IF($H81="","출고일 미정",IF($K81="X","작지 미등록",IF(AND($L81&lt;&gt;"",$L81&gt;$I81),"소재입고 마감("&amp;TEXT($I81,"MM/DD")&amp;") 초과",IF($K81="","작지 등록여부 확인 필요",IF($L81="","소재 입고일정 확인 필요","정상")))))</f>
        <v>작지 등록여부 확인 필요</v>
      </c>
      <c r="R81" s="23" t="str">
        <f aca="false">IF($H81="","",IF(OR($Q81="작지 미등록",LEFT($Q81,4)="소재입고"),IF(LEFT($E81,1)="S","★ 납기위험(S코드)","◆ 지연주의"),IF($Q81="정상","✓ 정상","? 확인필요")))</f>
        <v>? 확인필요</v>
      </c>
      <c r="S81" s="26"/>
      <c r="T81" s="30"/>
    </row>
    <row r="82" customFormat="false" ht="15" hidden="false" customHeight="false" outlineLevel="0" collapsed="false">
      <c r="A82" s="23" t="n">
        <v>78</v>
      </c>
      <c r="B82" s="24" t="s">
        <v>66</v>
      </c>
      <c r="C82" s="25" t="s">
        <v>224</v>
      </c>
      <c r="D82" s="24" t="s">
        <v>225</v>
      </c>
      <c r="E82" s="23" t="str">
        <f aca="false">IF($C82="","",IF(MID($C82,5,1)="S","S(봄)",IF(MID($C82,5,1)="M","M(여름)",IF(MID($C82,5,1)="X","X(사계절)",MID($C82,5,1)))))</f>
        <v>M(여름)</v>
      </c>
      <c r="F82" s="25" t="s">
        <v>134</v>
      </c>
      <c r="G82" s="26" t="s">
        <v>206</v>
      </c>
      <c r="H82" s="27" t="n">
        <f aca="false">IF($G82="","",IFERROR(DATE(IF(VALUE(LEFT($G82,FIND("월",$G82)-1))&gt;=9,기준정보!$C$6-1,기준정보!$C$6),VALUE(LEFT($G82,FIND("월",$G82)-1)),1+7*(VALUE(SUBSTITUTE(MID($G82,FIND("월",$G82)+1,5),"주",""))-1)),""))</f>
        <v>46468</v>
      </c>
      <c r="I82" s="27" t="n">
        <f aca="false">IF($H82="","",$H82-기준정보!$C$5)</f>
        <v>46378</v>
      </c>
      <c r="J82" s="28" t="n">
        <f aca="false">IF($I82="","",$I82-기준정보!$C$4)</f>
        <v>138</v>
      </c>
      <c r="K82" s="26"/>
      <c r="L82" s="29"/>
      <c r="M82" s="26"/>
      <c r="N82" s="25" t="str">
        <f aca="false">IF($M82="CMT","본사(소재팀)",IF($M82="사입","생산처",""))</f>
        <v/>
      </c>
      <c r="O82" s="30"/>
      <c r="P82" s="30"/>
      <c r="Q82" s="25" t="str">
        <f aca="false">IF($H82="","출고일 미정",IF($K82="X","작지 미등록",IF(AND($L82&lt;&gt;"",$L82&gt;$I82),"소재입고 마감("&amp;TEXT($I82,"MM/DD")&amp;") 초과",IF($K82="","작지 등록여부 확인 필요",IF($L82="","소재 입고일정 확인 필요","정상")))))</f>
        <v>작지 등록여부 확인 필요</v>
      </c>
      <c r="R82" s="23" t="str">
        <f aca="false">IF($H82="","",IF(OR($Q82="작지 미등록",LEFT($Q82,4)="소재입고"),IF(LEFT($E82,1)="S","★ 납기위험(S코드)","◆ 지연주의"),IF($Q82="정상","✓ 정상","? 확인필요")))</f>
        <v>? 확인필요</v>
      </c>
      <c r="S82" s="26"/>
      <c r="T82" s="30"/>
    </row>
    <row r="83" customFormat="false" ht="15" hidden="false" customHeight="false" outlineLevel="0" collapsed="false">
      <c r="A83" s="23" t="n">
        <v>79</v>
      </c>
      <c r="B83" s="24" t="s">
        <v>77</v>
      </c>
      <c r="C83" s="25" t="s">
        <v>226</v>
      </c>
      <c r="D83" s="24" t="s">
        <v>227</v>
      </c>
      <c r="E83" s="23" t="str">
        <f aca="false">IF($C83="","",IF(MID($C83,5,1)="S","S(봄)",IF(MID($C83,5,1)="M","M(여름)",IF(MID($C83,5,1)="X","X(사계절)",MID($C83,5,1)))))</f>
        <v>M(여름)</v>
      </c>
      <c r="F83" s="25" t="s">
        <v>228</v>
      </c>
      <c r="G83" s="26" t="s">
        <v>206</v>
      </c>
      <c r="H83" s="27" t="n">
        <f aca="false">IF($G83="","",IFERROR(DATE(IF(VALUE(LEFT($G83,FIND("월",$G83)-1))&gt;=9,기준정보!$C$6-1,기준정보!$C$6),VALUE(LEFT($G83,FIND("월",$G83)-1)),1+7*(VALUE(SUBSTITUTE(MID($G83,FIND("월",$G83)+1,5),"주",""))-1)),""))</f>
        <v>46468</v>
      </c>
      <c r="I83" s="27" t="n">
        <f aca="false">IF($H83="","",$H83-기준정보!$C$5)</f>
        <v>46378</v>
      </c>
      <c r="J83" s="28" t="n">
        <f aca="false">IF($I83="","",$I83-기준정보!$C$4)</f>
        <v>138</v>
      </c>
      <c r="K83" s="26"/>
      <c r="L83" s="29"/>
      <c r="M83" s="26"/>
      <c r="N83" s="25" t="str">
        <f aca="false">IF($M83="CMT","본사(소재팀)",IF($M83="사입","생산처",""))</f>
        <v/>
      </c>
      <c r="O83" s="30"/>
      <c r="P83" s="30"/>
      <c r="Q83" s="25" t="str">
        <f aca="false">IF($H83="","출고일 미정",IF($K83="X","작지 미등록",IF(AND($L83&lt;&gt;"",$L83&gt;$I83),"소재입고 마감("&amp;TEXT($I83,"MM/DD")&amp;") 초과",IF($K83="","작지 등록여부 확인 필요",IF($L83="","소재 입고일정 확인 필요","정상")))))</f>
        <v>작지 등록여부 확인 필요</v>
      </c>
      <c r="R83" s="23" t="str">
        <f aca="false">IF($H83="","",IF(OR($Q83="작지 미등록",LEFT($Q83,4)="소재입고"),IF(LEFT($E83,1)="S","★ 납기위험(S코드)","◆ 지연주의"),IF($Q83="정상","✓ 정상","? 확인필요")))</f>
        <v>? 확인필요</v>
      </c>
      <c r="S83" s="26"/>
      <c r="T83" s="30"/>
    </row>
    <row r="84" customFormat="false" ht="15" hidden="false" customHeight="false" outlineLevel="0" collapsed="false">
      <c r="A84" s="23" t="n">
        <v>80</v>
      </c>
      <c r="B84" s="24" t="s">
        <v>77</v>
      </c>
      <c r="C84" s="25" t="s">
        <v>229</v>
      </c>
      <c r="D84" s="24" t="s">
        <v>230</v>
      </c>
      <c r="E84" s="23" t="str">
        <f aca="false">IF($C84="","",IF(MID($C84,5,1)="S","S(봄)",IF(MID($C84,5,1)="M","M(여름)",IF(MID($C84,5,1)="X","X(사계절)",MID($C84,5,1)))))</f>
        <v>M(여름)</v>
      </c>
      <c r="F84" s="25" t="s">
        <v>228</v>
      </c>
      <c r="G84" s="26" t="s">
        <v>206</v>
      </c>
      <c r="H84" s="27" t="n">
        <f aca="false">IF($G84="","",IFERROR(DATE(IF(VALUE(LEFT($G84,FIND("월",$G84)-1))&gt;=9,기준정보!$C$6-1,기준정보!$C$6),VALUE(LEFT($G84,FIND("월",$G84)-1)),1+7*(VALUE(SUBSTITUTE(MID($G84,FIND("월",$G84)+1,5),"주",""))-1)),""))</f>
        <v>46468</v>
      </c>
      <c r="I84" s="27" t="n">
        <f aca="false">IF($H84="","",$H84-기준정보!$C$5)</f>
        <v>46378</v>
      </c>
      <c r="J84" s="28" t="n">
        <f aca="false">IF($I84="","",$I84-기준정보!$C$4)</f>
        <v>138</v>
      </c>
      <c r="K84" s="26"/>
      <c r="L84" s="29"/>
      <c r="M84" s="26"/>
      <c r="N84" s="25" t="str">
        <f aca="false">IF($M84="CMT","본사(소재팀)",IF($M84="사입","생산처",""))</f>
        <v/>
      </c>
      <c r="O84" s="30"/>
      <c r="P84" s="30"/>
      <c r="Q84" s="25" t="str">
        <f aca="false">IF($H84="","출고일 미정",IF($K84="X","작지 미등록",IF(AND($L84&lt;&gt;"",$L84&gt;$I84),"소재입고 마감("&amp;TEXT($I84,"MM/DD")&amp;") 초과",IF($K84="","작지 등록여부 확인 필요",IF($L84="","소재 입고일정 확인 필요","정상")))))</f>
        <v>작지 등록여부 확인 필요</v>
      </c>
      <c r="R84" s="23" t="str">
        <f aca="false">IF($H84="","",IF(OR($Q84="작지 미등록",LEFT($Q84,4)="소재입고"),IF(LEFT($E84,1)="S","★ 납기위험(S코드)","◆ 지연주의"),IF($Q84="정상","✓ 정상","? 확인필요")))</f>
        <v>? 확인필요</v>
      </c>
      <c r="S84" s="26"/>
      <c r="T84" s="30"/>
    </row>
    <row r="85" customFormat="false" ht="15" hidden="false" customHeight="false" outlineLevel="0" collapsed="false">
      <c r="A85" s="23" t="n">
        <v>81</v>
      </c>
      <c r="B85" s="24" t="s">
        <v>77</v>
      </c>
      <c r="C85" s="25" t="s">
        <v>231</v>
      </c>
      <c r="D85" s="24" t="s">
        <v>232</v>
      </c>
      <c r="E85" s="23" t="str">
        <f aca="false">IF($C85="","",IF(MID($C85,5,1)="S","S(봄)",IF(MID($C85,5,1)="M","M(여름)",IF(MID($C85,5,1)="X","X(사계절)",MID($C85,5,1)))))</f>
        <v>M(여름)</v>
      </c>
      <c r="F85" s="25" t="s">
        <v>228</v>
      </c>
      <c r="G85" s="26" t="s">
        <v>206</v>
      </c>
      <c r="H85" s="27" t="n">
        <f aca="false">IF($G85="","",IFERROR(DATE(IF(VALUE(LEFT($G85,FIND("월",$G85)-1))&gt;=9,기준정보!$C$6-1,기준정보!$C$6),VALUE(LEFT($G85,FIND("월",$G85)-1)),1+7*(VALUE(SUBSTITUTE(MID($G85,FIND("월",$G85)+1,5),"주",""))-1)),""))</f>
        <v>46468</v>
      </c>
      <c r="I85" s="27" t="n">
        <f aca="false">IF($H85="","",$H85-기준정보!$C$5)</f>
        <v>46378</v>
      </c>
      <c r="J85" s="28" t="n">
        <f aca="false">IF($I85="","",$I85-기준정보!$C$4)</f>
        <v>138</v>
      </c>
      <c r="K85" s="26"/>
      <c r="L85" s="29"/>
      <c r="M85" s="26"/>
      <c r="N85" s="25" t="str">
        <f aca="false">IF($M85="CMT","본사(소재팀)",IF($M85="사입","생산처",""))</f>
        <v/>
      </c>
      <c r="O85" s="30"/>
      <c r="P85" s="30"/>
      <c r="Q85" s="25" t="str">
        <f aca="false">IF($H85="","출고일 미정",IF($K85="X","작지 미등록",IF(AND($L85&lt;&gt;"",$L85&gt;$I85),"소재입고 마감("&amp;TEXT($I85,"MM/DD")&amp;") 초과",IF($K85="","작지 등록여부 확인 필요",IF($L85="","소재 입고일정 확인 필요","정상")))))</f>
        <v>작지 등록여부 확인 필요</v>
      </c>
      <c r="R85" s="23" t="str">
        <f aca="false">IF($H85="","",IF(OR($Q85="작지 미등록",LEFT($Q85,4)="소재입고"),IF(LEFT($E85,1)="S","★ 납기위험(S코드)","◆ 지연주의"),IF($Q85="정상","✓ 정상","? 확인필요")))</f>
        <v>? 확인필요</v>
      </c>
      <c r="S85" s="26"/>
      <c r="T85" s="30"/>
    </row>
    <row r="86" customFormat="false" ht="15" hidden="false" customHeight="false" outlineLevel="0" collapsed="false">
      <c r="A86" s="23" t="n">
        <v>82</v>
      </c>
      <c r="B86" s="24" t="s">
        <v>77</v>
      </c>
      <c r="C86" s="25" t="s">
        <v>233</v>
      </c>
      <c r="D86" s="24" t="s">
        <v>234</v>
      </c>
      <c r="E86" s="23" t="str">
        <f aca="false">IF($C86="","",IF(MID($C86,5,1)="S","S(봄)",IF(MID($C86,5,1)="M","M(여름)",IF(MID($C86,5,1)="X","X(사계절)",MID($C86,5,1)))))</f>
        <v>M(여름)</v>
      </c>
      <c r="F86" s="25" t="s">
        <v>228</v>
      </c>
      <c r="G86" s="26" t="s">
        <v>206</v>
      </c>
      <c r="H86" s="27" t="n">
        <f aca="false">IF($G86="","",IFERROR(DATE(IF(VALUE(LEFT($G86,FIND("월",$G86)-1))&gt;=9,기준정보!$C$6-1,기준정보!$C$6),VALUE(LEFT($G86,FIND("월",$G86)-1)),1+7*(VALUE(SUBSTITUTE(MID($G86,FIND("월",$G86)+1,5),"주",""))-1)),""))</f>
        <v>46468</v>
      </c>
      <c r="I86" s="27" t="n">
        <f aca="false">IF($H86="","",$H86-기준정보!$C$5)</f>
        <v>46378</v>
      </c>
      <c r="J86" s="28" t="n">
        <f aca="false">IF($I86="","",$I86-기준정보!$C$4)</f>
        <v>138</v>
      </c>
      <c r="K86" s="26"/>
      <c r="L86" s="29"/>
      <c r="M86" s="26"/>
      <c r="N86" s="25" t="str">
        <f aca="false">IF($M86="CMT","본사(소재팀)",IF($M86="사입","생산처",""))</f>
        <v/>
      </c>
      <c r="O86" s="30"/>
      <c r="P86" s="30"/>
      <c r="Q86" s="25" t="str">
        <f aca="false">IF($H86="","출고일 미정",IF($K86="X","작지 미등록",IF(AND($L86&lt;&gt;"",$L86&gt;$I86),"소재입고 마감("&amp;TEXT($I86,"MM/DD")&amp;") 초과",IF($K86="","작지 등록여부 확인 필요",IF($L86="","소재 입고일정 확인 필요","정상")))))</f>
        <v>작지 등록여부 확인 필요</v>
      </c>
      <c r="R86" s="23" t="str">
        <f aca="false">IF($H86="","",IF(OR($Q86="작지 미등록",LEFT($Q86,4)="소재입고"),IF(LEFT($E86,1)="S","★ 납기위험(S코드)","◆ 지연주의"),IF($Q86="정상","✓ 정상","? 확인필요")))</f>
        <v>? 확인필요</v>
      </c>
      <c r="S86" s="26"/>
      <c r="T86" s="30"/>
    </row>
    <row r="87" customFormat="false" ht="15" hidden="false" customHeight="false" outlineLevel="0" collapsed="false">
      <c r="A87" s="23" t="n">
        <v>83</v>
      </c>
      <c r="B87" s="24" t="s">
        <v>77</v>
      </c>
      <c r="C87" s="25" t="s">
        <v>235</v>
      </c>
      <c r="D87" s="24" t="s">
        <v>236</v>
      </c>
      <c r="E87" s="23" t="str">
        <f aca="false">IF($C87="","",IF(MID($C87,5,1)="S","S(봄)",IF(MID($C87,5,1)="M","M(여름)",IF(MID($C87,5,1)="X","X(사계절)",MID($C87,5,1)))))</f>
        <v>M(여름)</v>
      </c>
      <c r="F87" s="25" t="s">
        <v>228</v>
      </c>
      <c r="G87" s="26" t="s">
        <v>206</v>
      </c>
      <c r="H87" s="27" t="n">
        <f aca="false">IF($G87="","",IFERROR(DATE(IF(VALUE(LEFT($G87,FIND("월",$G87)-1))&gt;=9,기준정보!$C$6-1,기준정보!$C$6),VALUE(LEFT($G87,FIND("월",$G87)-1)),1+7*(VALUE(SUBSTITUTE(MID($G87,FIND("월",$G87)+1,5),"주",""))-1)),""))</f>
        <v>46468</v>
      </c>
      <c r="I87" s="27" t="n">
        <f aca="false">IF($H87="","",$H87-기준정보!$C$5)</f>
        <v>46378</v>
      </c>
      <c r="J87" s="28" t="n">
        <f aca="false">IF($I87="","",$I87-기준정보!$C$4)</f>
        <v>138</v>
      </c>
      <c r="K87" s="26"/>
      <c r="L87" s="29"/>
      <c r="M87" s="26"/>
      <c r="N87" s="25" t="str">
        <f aca="false">IF($M87="CMT","본사(소재팀)",IF($M87="사입","생산처",""))</f>
        <v/>
      </c>
      <c r="O87" s="30"/>
      <c r="P87" s="30"/>
      <c r="Q87" s="25" t="str">
        <f aca="false">IF($H87="","출고일 미정",IF($K87="X","작지 미등록",IF(AND($L87&lt;&gt;"",$L87&gt;$I87),"소재입고 마감("&amp;TEXT($I87,"MM/DD")&amp;") 초과",IF($K87="","작지 등록여부 확인 필요",IF($L87="","소재 입고일정 확인 필요","정상")))))</f>
        <v>작지 등록여부 확인 필요</v>
      </c>
      <c r="R87" s="23" t="str">
        <f aca="false">IF($H87="","",IF(OR($Q87="작지 미등록",LEFT($Q87,4)="소재입고"),IF(LEFT($E87,1)="S","★ 납기위험(S코드)","◆ 지연주의"),IF($Q87="정상","✓ 정상","? 확인필요")))</f>
        <v>? 확인필요</v>
      </c>
      <c r="S87" s="26"/>
      <c r="T87" s="30"/>
    </row>
    <row r="88" customFormat="false" ht="15" hidden="false" customHeight="false" outlineLevel="0" collapsed="false">
      <c r="A88" s="23" t="n">
        <v>84</v>
      </c>
      <c r="B88" s="24" t="s">
        <v>77</v>
      </c>
      <c r="C88" s="25" t="s">
        <v>237</v>
      </c>
      <c r="D88" s="24" t="s">
        <v>238</v>
      </c>
      <c r="E88" s="23" t="str">
        <f aca="false">IF($C88="","",IF(MID($C88,5,1)="S","S(봄)",IF(MID($C88,5,1)="M","M(여름)",IF(MID($C88,5,1)="X","X(사계절)",MID($C88,5,1)))))</f>
        <v>M(여름)</v>
      </c>
      <c r="F88" s="25" t="s">
        <v>228</v>
      </c>
      <c r="G88" s="26" t="s">
        <v>206</v>
      </c>
      <c r="H88" s="27" t="n">
        <f aca="false">IF($G88="","",IFERROR(DATE(IF(VALUE(LEFT($G88,FIND("월",$G88)-1))&gt;=9,기준정보!$C$6-1,기준정보!$C$6),VALUE(LEFT($G88,FIND("월",$G88)-1)),1+7*(VALUE(SUBSTITUTE(MID($G88,FIND("월",$G88)+1,5),"주",""))-1)),""))</f>
        <v>46468</v>
      </c>
      <c r="I88" s="27" t="n">
        <f aca="false">IF($H88="","",$H88-기준정보!$C$5)</f>
        <v>46378</v>
      </c>
      <c r="J88" s="28" t="n">
        <f aca="false">IF($I88="","",$I88-기준정보!$C$4)</f>
        <v>138</v>
      </c>
      <c r="K88" s="26"/>
      <c r="L88" s="29"/>
      <c r="M88" s="26"/>
      <c r="N88" s="25" t="str">
        <f aca="false">IF($M88="CMT","본사(소재팀)",IF($M88="사입","생산처",""))</f>
        <v/>
      </c>
      <c r="O88" s="30"/>
      <c r="P88" s="30"/>
      <c r="Q88" s="25" t="str">
        <f aca="false">IF($H88="","출고일 미정",IF($K88="X","작지 미등록",IF(AND($L88&lt;&gt;"",$L88&gt;$I88),"소재입고 마감("&amp;TEXT($I88,"MM/DD")&amp;") 초과",IF($K88="","작지 등록여부 확인 필요",IF($L88="","소재 입고일정 확인 필요","정상")))))</f>
        <v>작지 등록여부 확인 필요</v>
      </c>
      <c r="R88" s="23" t="str">
        <f aca="false">IF($H88="","",IF(OR($Q88="작지 미등록",LEFT($Q88,4)="소재입고"),IF(LEFT($E88,1)="S","★ 납기위험(S코드)","◆ 지연주의"),IF($Q88="정상","✓ 정상","? 확인필요")))</f>
        <v>? 확인필요</v>
      </c>
      <c r="S88" s="26"/>
      <c r="T88" s="30"/>
    </row>
    <row r="89" customFormat="false" ht="15" hidden="false" customHeight="false" outlineLevel="0" collapsed="false">
      <c r="A89" s="23" t="n">
        <v>85</v>
      </c>
      <c r="B89" s="24" t="s">
        <v>77</v>
      </c>
      <c r="C89" s="25" t="s">
        <v>239</v>
      </c>
      <c r="D89" s="24" t="s">
        <v>240</v>
      </c>
      <c r="E89" s="23" t="str">
        <f aca="false">IF($C89="","",IF(MID($C89,5,1)="S","S(봄)",IF(MID($C89,5,1)="M","M(여름)",IF(MID($C89,5,1)="X","X(사계절)",MID($C89,5,1)))))</f>
        <v>M(여름)</v>
      </c>
      <c r="F89" s="25" t="s">
        <v>228</v>
      </c>
      <c r="G89" s="26" t="s">
        <v>206</v>
      </c>
      <c r="H89" s="27" t="n">
        <f aca="false">IF($G89="","",IFERROR(DATE(IF(VALUE(LEFT($G89,FIND("월",$G89)-1))&gt;=9,기준정보!$C$6-1,기준정보!$C$6),VALUE(LEFT($G89,FIND("월",$G89)-1)),1+7*(VALUE(SUBSTITUTE(MID($G89,FIND("월",$G89)+1,5),"주",""))-1)),""))</f>
        <v>46468</v>
      </c>
      <c r="I89" s="27" t="n">
        <f aca="false">IF($H89="","",$H89-기준정보!$C$5)</f>
        <v>46378</v>
      </c>
      <c r="J89" s="28" t="n">
        <f aca="false">IF($I89="","",$I89-기준정보!$C$4)</f>
        <v>138</v>
      </c>
      <c r="K89" s="26"/>
      <c r="L89" s="29"/>
      <c r="M89" s="26"/>
      <c r="N89" s="25" t="str">
        <f aca="false">IF($M89="CMT","본사(소재팀)",IF($M89="사입","생산처",""))</f>
        <v/>
      </c>
      <c r="O89" s="30"/>
      <c r="P89" s="30"/>
      <c r="Q89" s="25" t="str">
        <f aca="false">IF($H89="","출고일 미정",IF($K89="X","작지 미등록",IF(AND($L89&lt;&gt;"",$L89&gt;$I89),"소재입고 마감("&amp;TEXT($I89,"MM/DD")&amp;") 초과",IF($K89="","작지 등록여부 확인 필요",IF($L89="","소재 입고일정 확인 필요","정상")))))</f>
        <v>작지 등록여부 확인 필요</v>
      </c>
      <c r="R89" s="23" t="str">
        <f aca="false">IF($H89="","",IF(OR($Q89="작지 미등록",LEFT($Q89,4)="소재입고"),IF(LEFT($E89,1)="S","★ 납기위험(S코드)","◆ 지연주의"),IF($Q89="정상","✓ 정상","? 확인필요")))</f>
        <v>? 확인필요</v>
      </c>
      <c r="S89" s="26"/>
      <c r="T89" s="30"/>
    </row>
    <row r="90" customFormat="false" ht="15" hidden="false" customHeight="false" outlineLevel="0" collapsed="false">
      <c r="A90" s="23" t="n">
        <v>86</v>
      </c>
      <c r="B90" s="24" t="s">
        <v>77</v>
      </c>
      <c r="C90" s="25" t="s">
        <v>241</v>
      </c>
      <c r="D90" s="24" t="s">
        <v>242</v>
      </c>
      <c r="E90" s="23" t="str">
        <f aca="false">IF($C90="","",IF(MID($C90,5,1)="S","S(봄)",IF(MID($C90,5,1)="M","M(여름)",IF(MID($C90,5,1)="X","X(사계절)",MID($C90,5,1)))))</f>
        <v>M(여름)</v>
      </c>
      <c r="F90" s="25" t="s">
        <v>228</v>
      </c>
      <c r="G90" s="26" t="s">
        <v>206</v>
      </c>
      <c r="H90" s="27" t="n">
        <f aca="false">IF($G90="","",IFERROR(DATE(IF(VALUE(LEFT($G90,FIND("월",$G90)-1))&gt;=9,기준정보!$C$6-1,기준정보!$C$6),VALUE(LEFT($G90,FIND("월",$G90)-1)),1+7*(VALUE(SUBSTITUTE(MID($G90,FIND("월",$G90)+1,5),"주",""))-1)),""))</f>
        <v>46468</v>
      </c>
      <c r="I90" s="27" t="n">
        <f aca="false">IF($H90="","",$H90-기준정보!$C$5)</f>
        <v>46378</v>
      </c>
      <c r="J90" s="28" t="n">
        <f aca="false">IF($I90="","",$I90-기준정보!$C$4)</f>
        <v>138</v>
      </c>
      <c r="K90" s="26"/>
      <c r="L90" s="29"/>
      <c r="M90" s="26"/>
      <c r="N90" s="25" t="str">
        <f aca="false">IF($M90="CMT","본사(소재팀)",IF($M90="사입","생산처",""))</f>
        <v/>
      </c>
      <c r="O90" s="30"/>
      <c r="P90" s="30"/>
      <c r="Q90" s="25" t="str">
        <f aca="false">IF($H90="","출고일 미정",IF($K90="X","작지 미등록",IF(AND($L90&lt;&gt;"",$L90&gt;$I90),"소재입고 마감("&amp;TEXT($I90,"MM/DD")&amp;") 초과",IF($K90="","작지 등록여부 확인 필요",IF($L90="","소재 입고일정 확인 필요","정상")))))</f>
        <v>작지 등록여부 확인 필요</v>
      </c>
      <c r="R90" s="23" t="str">
        <f aca="false">IF($H90="","",IF(OR($Q90="작지 미등록",LEFT($Q90,4)="소재입고"),IF(LEFT($E90,1)="S","★ 납기위험(S코드)","◆ 지연주의"),IF($Q90="정상","✓ 정상","? 확인필요")))</f>
        <v>? 확인필요</v>
      </c>
      <c r="S90" s="26"/>
      <c r="T90" s="30"/>
    </row>
    <row r="91" customFormat="false" ht="15" hidden="false" customHeight="false" outlineLevel="0" collapsed="false">
      <c r="A91" s="23" t="n">
        <v>87</v>
      </c>
      <c r="B91" s="24" t="s">
        <v>77</v>
      </c>
      <c r="C91" s="25" t="s">
        <v>243</v>
      </c>
      <c r="D91" s="24" t="s">
        <v>244</v>
      </c>
      <c r="E91" s="23" t="str">
        <f aca="false">IF($C91="","",IF(MID($C91,5,1)="S","S(봄)",IF(MID($C91,5,1)="M","M(여름)",IF(MID($C91,5,1)="X","X(사계절)",MID($C91,5,1)))))</f>
        <v>M(여름)</v>
      </c>
      <c r="F91" s="25" t="s">
        <v>228</v>
      </c>
      <c r="G91" s="26" t="s">
        <v>206</v>
      </c>
      <c r="H91" s="27" t="n">
        <f aca="false">IF($G91="","",IFERROR(DATE(IF(VALUE(LEFT($G91,FIND("월",$G91)-1))&gt;=9,기준정보!$C$6-1,기준정보!$C$6),VALUE(LEFT($G91,FIND("월",$G91)-1)),1+7*(VALUE(SUBSTITUTE(MID($G91,FIND("월",$G91)+1,5),"주",""))-1)),""))</f>
        <v>46468</v>
      </c>
      <c r="I91" s="27" t="n">
        <f aca="false">IF($H91="","",$H91-기준정보!$C$5)</f>
        <v>46378</v>
      </c>
      <c r="J91" s="28" t="n">
        <f aca="false">IF($I91="","",$I91-기준정보!$C$4)</f>
        <v>138</v>
      </c>
      <c r="K91" s="26"/>
      <c r="L91" s="29"/>
      <c r="M91" s="26"/>
      <c r="N91" s="25" t="str">
        <f aca="false">IF($M91="CMT","본사(소재팀)",IF($M91="사입","생산처",""))</f>
        <v/>
      </c>
      <c r="O91" s="30"/>
      <c r="P91" s="30"/>
      <c r="Q91" s="25" t="str">
        <f aca="false">IF($H91="","출고일 미정",IF($K91="X","작지 미등록",IF(AND($L91&lt;&gt;"",$L91&gt;$I91),"소재입고 마감("&amp;TEXT($I91,"MM/DD")&amp;") 초과",IF($K91="","작지 등록여부 확인 필요",IF($L91="","소재 입고일정 확인 필요","정상")))))</f>
        <v>작지 등록여부 확인 필요</v>
      </c>
      <c r="R91" s="23" t="str">
        <f aca="false">IF($H91="","",IF(OR($Q91="작지 미등록",LEFT($Q91,4)="소재입고"),IF(LEFT($E91,1)="S","★ 납기위험(S코드)","◆ 지연주의"),IF($Q91="정상","✓ 정상","? 확인필요")))</f>
        <v>? 확인필요</v>
      </c>
      <c r="S91" s="26"/>
      <c r="T91" s="30"/>
    </row>
    <row r="92" customFormat="false" ht="15" hidden="false" customHeight="false" outlineLevel="0" collapsed="false">
      <c r="A92" s="23" t="n">
        <v>88</v>
      </c>
      <c r="B92" s="24" t="s">
        <v>77</v>
      </c>
      <c r="C92" s="25" t="s">
        <v>245</v>
      </c>
      <c r="D92" s="24" t="s">
        <v>246</v>
      </c>
      <c r="E92" s="23" t="str">
        <f aca="false">IF($C92="","",IF(MID($C92,5,1)="S","S(봄)",IF(MID($C92,5,1)="M","M(여름)",IF(MID($C92,5,1)="X","X(사계절)",MID($C92,5,1)))))</f>
        <v>M(여름)</v>
      </c>
      <c r="F92" s="25" t="s">
        <v>228</v>
      </c>
      <c r="G92" s="26" t="s">
        <v>206</v>
      </c>
      <c r="H92" s="27" t="n">
        <f aca="false">IF($G92="","",IFERROR(DATE(IF(VALUE(LEFT($G92,FIND("월",$G92)-1))&gt;=9,기준정보!$C$6-1,기준정보!$C$6),VALUE(LEFT($G92,FIND("월",$G92)-1)),1+7*(VALUE(SUBSTITUTE(MID($G92,FIND("월",$G92)+1,5),"주",""))-1)),""))</f>
        <v>46468</v>
      </c>
      <c r="I92" s="27" t="n">
        <f aca="false">IF($H92="","",$H92-기준정보!$C$5)</f>
        <v>46378</v>
      </c>
      <c r="J92" s="28" t="n">
        <f aca="false">IF($I92="","",$I92-기준정보!$C$4)</f>
        <v>138</v>
      </c>
      <c r="K92" s="26"/>
      <c r="L92" s="29"/>
      <c r="M92" s="26"/>
      <c r="N92" s="25" t="str">
        <f aca="false">IF($M92="CMT","본사(소재팀)",IF($M92="사입","생산처",""))</f>
        <v/>
      </c>
      <c r="O92" s="30"/>
      <c r="P92" s="30"/>
      <c r="Q92" s="25" t="str">
        <f aca="false">IF($H92="","출고일 미정",IF($K92="X","작지 미등록",IF(AND($L92&lt;&gt;"",$L92&gt;$I92),"소재입고 마감("&amp;TEXT($I92,"MM/DD")&amp;") 초과",IF($K92="","작지 등록여부 확인 필요",IF($L92="","소재 입고일정 확인 필요","정상")))))</f>
        <v>작지 등록여부 확인 필요</v>
      </c>
      <c r="R92" s="23" t="str">
        <f aca="false">IF($H92="","",IF(OR($Q92="작지 미등록",LEFT($Q92,4)="소재입고"),IF(LEFT($E92,1)="S","★ 납기위험(S코드)","◆ 지연주의"),IF($Q92="정상","✓ 정상","? 확인필요")))</f>
        <v>? 확인필요</v>
      </c>
      <c r="S92" s="26"/>
      <c r="T92" s="30"/>
    </row>
    <row r="93" customFormat="false" ht="15" hidden="false" customHeight="false" outlineLevel="0" collapsed="false">
      <c r="A93" s="23" t="n">
        <v>89</v>
      </c>
      <c r="B93" s="24" t="s">
        <v>77</v>
      </c>
      <c r="C93" s="25" t="s">
        <v>247</v>
      </c>
      <c r="D93" s="24" t="s">
        <v>248</v>
      </c>
      <c r="E93" s="23" t="str">
        <f aca="false">IF($C93="","",IF(MID($C93,5,1)="S","S(봄)",IF(MID($C93,5,1)="M","M(여름)",IF(MID($C93,5,1)="X","X(사계절)",MID($C93,5,1)))))</f>
        <v>M(여름)</v>
      </c>
      <c r="F93" s="25" t="s">
        <v>228</v>
      </c>
      <c r="G93" s="26" t="s">
        <v>206</v>
      </c>
      <c r="H93" s="27" t="n">
        <f aca="false">IF($G93="","",IFERROR(DATE(IF(VALUE(LEFT($G93,FIND("월",$G93)-1))&gt;=9,기준정보!$C$6-1,기준정보!$C$6),VALUE(LEFT($G93,FIND("월",$G93)-1)),1+7*(VALUE(SUBSTITUTE(MID($G93,FIND("월",$G93)+1,5),"주",""))-1)),""))</f>
        <v>46468</v>
      </c>
      <c r="I93" s="27" t="n">
        <f aca="false">IF($H93="","",$H93-기준정보!$C$5)</f>
        <v>46378</v>
      </c>
      <c r="J93" s="28" t="n">
        <f aca="false">IF($I93="","",$I93-기준정보!$C$4)</f>
        <v>138</v>
      </c>
      <c r="K93" s="26"/>
      <c r="L93" s="29"/>
      <c r="M93" s="26"/>
      <c r="N93" s="25" t="str">
        <f aca="false">IF($M93="CMT","본사(소재팀)",IF($M93="사입","생산처",""))</f>
        <v/>
      </c>
      <c r="O93" s="30"/>
      <c r="P93" s="30"/>
      <c r="Q93" s="25" t="str">
        <f aca="false">IF($H93="","출고일 미정",IF($K93="X","작지 미등록",IF(AND($L93&lt;&gt;"",$L93&gt;$I93),"소재입고 마감("&amp;TEXT($I93,"MM/DD")&amp;") 초과",IF($K93="","작지 등록여부 확인 필요",IF($L93="","소재 입고일정 확인 필요","정상")))))</f>
        <v>작지 등록여부 확인 필요</v>
      </c>
      <c r="R93" s="23" t="str">
        <f aca="false">IF($H93="","",IF(OR($Q93="작지 미등록",LEFT($Q93,4)="소재입고"),IF(LEFT($E93,1)="S","★ 납기위험(S코드)","◆ 지연주의"),IF($Q93="정상","✓ 정상","? 확인필요")))</f>
        <v>? 확인필요</v>
      </c>
      <c r="S93" s="26"/>
      <c r="T93" s="30"/>
    </row>
    <row r="94" customFormat="false" ht="15" hidden="false" customHeight="false" outlineLevel="0" collapsed="false">
      <c r="A94" s="23" t="n">
        <v>90</v>
      </c>
      <c r="B94" s="24" t="s">
        <v>66</v>
      </c>
      <c r="C94" s="25" t="s">
        <v>249</v>
      </c>
      <c r="D94" s="24" t="s">
        <v>250</v>
      </c>
      <c r="E94" s="23" t="str">
        <f aca="false">IF($C94="","",IF(MID($C94,5,1)="S","S(봄)",IF(MID($C94,5,1)="M","M(여름)",IF(MID($C94,5,1)="X","X(사계절)",MID($C94,5,1)))))</f>
        <v>M(여름)</v>
      </c>
      <c r="F94" s="25" t="s">
        <v>134</v>
      </c>
      <c r="G94" s="26" t="s">
        <v>135</v>
      </c>
      <c r="H94" s="27" t="n">
        <f aca="false">IF($G94="","",IFERROR(DATE(IF(VALUE(LEFT($G94,FIND("월",$G94)-1))&gt;=9,기준정보!$C$6-1,기준정보!$C$6),VALUE(LEFT($G94,FIND("월",$G94)-1)),1+7*(VALUE(SUBSTITUTE(MID($G94,FIND("월",$G94)+1,5),"주",""))-1)),""))</f>
        <v>46478</v>
      </c>
      <c r="I94" s="27" t="n">
        <f aca="false">IF($H94="","",$H94-기준정보!$C$5)</f>
        <v>46388</v>
      </c>
      <c r="J94" s="28" t="n">
        <f aca="false">IF($I94="","",$I94-기준정보!$C$4)</f>
        <v>148</v>
      </c>
      <c r="K94" s="26"/>
      <c r="L94" s="29"/>
      <c r="M94" s="26"/>
      <c r="N94" s="25" t="str">
        <f aca="false">IF($M94="CMT","본사(소재팀)",IF($M94="사입","생산처",""))</f>
        <v/>
      </c>
      <c r="O94" s="30"/>
      <c r="P94" s="30"/>
      <c r="Q94" s="25" t="str">
        <f aca="false">IF($H94="","출고일 미정",IF($K94="X","작지 미등록",IF(AND($L94&lt;&gt;"",$L94&gt;$I94),"소재입고 마감("&amp;TEXT($I94,"MM/DD")&amp;") 초과",IF($K94="","작지 등록여부 확인 필요",IF($L94="","소재 입고일정 확인 필요","정상")))))</f>
        <v>작지 등록여부 확인 필요</v>
      </c>
      <c r="R94" s="23" t="str">
        <f aca="false">IF($H94="","",IF(OR($Q94="작지 미등록",LEFT($Q94,4)="소재입고"),IF(LEFT($E94,1)="S","★ 납기위험(S코드)","◆ 지연주의"),IF($Q94="정상","✓ 정상","? 확인필요")))</f>
        <v>? 확인필요</v>
      </c>
      <c r="S94" s="26"/>
      <c r="T94" s="30"/>
    </row>
    <row r="95" customFormat="false" ht="15" hidden="false" customHeight="false" outlineLevel="0" collapsed="false">
      <c r="A95" s="23" t="n">
        <v>91</v>
      </c>
      <c r="B95" s="24" t="s">
        <v>77</v>
      </c>
      <c r="C95" s="25" t="s">
        <v>251</v>
      </c>
      <c r="D95" s="24" t="s">
        <v>252</v>
      </c>
      <c r="E95" s="23" t="str">
        <f aca="false">IF($C95="","",IF(MID($C95,5,1)="S","S(봄)",IF(MID($C95,5,1)="M","M(여름)",IF(MID($C95,5,1)="X","X(사계절)",MID($C95,5,1)))))</f>
        <v>M(여름)</v>
      </c>
      <c r="F95" s="25"/>
      <c r="G95" s="26"/>
      <c r="H95" s="27" t="str">
        <f aca="false">IF($G95="","",IFERROR(DATE(IF(VALUE(LEFT($G95,FIND("월",$G95)-1))&gt;=9,기준정보!$C$6-1,기준정보!$C$6),VALUE(LEFT($G95,FIND("월",$G95)-1)),1+7*(VALUE(SUBSTITUTE(MID($G95,FIND("월",$G95)+1,5),"주",""))-1)),""))</f>
        <v/>
      </c>
      <c r="I95" s="27" t="str">
        <f aca="false">IF($H95="","",$H95-기준정보!$C$5)</f>
        <v/>
      </c>
      <c r="J95" s="28" t="str">
        <f aca="false">IF($I95="","",$I95-기준정보!$C$4)</f>
        <v/>
      </c>
      <c r="K95" s="26"/>
      <c r="L95" s="29"/>
      <c r="M95" s="26"/>
      <c r="N95" s="25" t="str">
        <f aca="false">IF($M95="CMT","본사(소재팀)",IF($M95="사입","생산처",""))</f>
        <v/>
      </c>
      <c r="O95" s="30"/>
      <c r="P95" s="30"/>
      <c r="Q95" s="25" t="str">
        <f aca="false">IF($H95="","출고일 미정",IF($K95="X","작지 미등록",IF(AND($L95&lt;&gt;"",$L95&gt;$I95),"소재입고 마감("&amp;TEXT($I95,"MM/DD")&amp;") 초과",IF($K95="","작지 등록여부 확인 필요",IF($L95="","소재 입고일정 확인 필요","정상")))))</f>
        <v>출고일 미정</v>
      </c>
      <c r="R95" s="23" t="str">
        <f aca="false">IF($H95="","",IF(OR($Q95="작지 미등록",LEFT($Q95,4)="소재입고"),IF(LEFT($E95,1)="S","★ 납기위험(S코드)","◆ 지연주의"),IF($Q95="정상","✓ 정상","? 확인필요")))</f>
        <v/>
      </c>
      <c r="S95" s="26"/>
      <c r="T95" s="30"/>
    </row>
  </sheetData>
  <autoFilter ref="A4:T95"/>
  <conditionalFormatting sqref="R5:R95">
    <cfRule type="containsText" priority="2" operator="containsText" aboveAverage="0" equalAverage="0" bottom="0" percent="0" rank="0" text="★" dxfId="6">
      <formula>NOT(ISERROR(SEARCH("★",R5)))</formula>
    </cfRule>
    <cfRule type="containsText" priority="3" operator="containsText" aboveAverage="0" equalAverage="0" bottom="0" percent="0" rank="0" text="◆" dxfId="7">
      <formula>NOT(ISERROR(SEARCH("◆",R5)))</formula>
    </cfRule>
    <cfRule type="containsText" priority="4" operator="containsText" aboveAverage="0" equalAverage="0" bottom="0" percent="0" rank="0" text="✓" dxfId="8">
      <formula>NOT(ISERROR(SEARCH("✓",R5)))</formula>
    </cfRule>
    <cfRule type="containsText" priority="5" operator="containsText" aboveAverage="0" equalAverage="0" bottom="0" percent="0" rank="0" text="?" dxfId="9">
      <formula>NOT(ISERROR(SEARCH("?",R5)))</formula>
    </cfRule>
  </conditionalFormatting>
  <dataValidations count="3">
    <dataValidation allowBlank="true" errorStyle="stop" operator="between" showDropDown="false" showErrorMessage="false" showInputMessage="false" sqref="K5:K95" type="list">
      <formula1>"O,X"</formula1>
      <formula2>0</formula2>
    </dataValidation>
    <dataValidation allowBlank="true" errorStyle="stop" operator="between" showDropDown="false" showErrorMessage="false" showInputMessage="false" sqref="M5:M95" type="list">
      <formula1>"CMT,사입"</formula1>
      <formula2>0</formula2>
    </dataValidation>
    <dataValidation allowBlank="true" errorStyle="stop" operator="between" showDropDown="false" showErrorMessage="false" showInputMessage="false" sqref="S5:S95" type="list">
      <formula1>"미조율,조율중,조율완료"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6" min="5" style="0" width="14"/>
    <col collapsed="false" customWidth="true" hidden="false" outlineLevel="0" max="7" min="7" style="0" width="12"/>
  </cols>
  <sheetData>
    <row r="2" customFormat="false" ht="19.4" hidden="false" customHeight="false" outlineLevel="0" collapsed="false">
      <c r="B2" s="16" t="s">
        <v>253</v>
      </c>
    </row>
    <row r="3" customFormat="false" ht="15" hidden="false" customHeight="false" outlineLevel="0" collapsed="false">
      <c r="B3" s="6" t="str">
        <f aca="false">"기준일: "&amp;TEXT(기준정보!$C$4,"YYYY-MM-DD")&amp;"  ·  소재입고 마감 = 출고예정일 − "&amp;기준정보!$C$5&amp;"일"</f>
        <v>기준일: 2026-08-06  ·  소재입고 마감 = 출고예정일 − 90일</v>
      </c>
    </row>
    <row r="5" customFormat="false" ht="15" hidden="false" customHeight="false" outlineLevel="0" collapsed="false">
      <c r="B5" s="17" t="s">
        <v>254</v>
      </c>
      <c r="D5" s="6" t="s">
        <v>255</v>
      </c>
      <c r="F5" s="17" t="s">
        <v>256</v>
      </c>
      <c r="H5" s="6" t="s">
        <v>257</v>
      </c>
      <c r="J5" s="17" t="s">
        <v>258</v>
      </c>
    </row>
    <row r="6" customFormat="false" ht="26.8" hidden="false" customHeight="false" outlineLevel="0" collapsed="false">
      <c r="B6" s="31" t="n">
        <f aca="false">COUNTA('소재역산 트래커'!$C$5:$C$95)</f>
        <v>91</v>
      </c>
      <c r="D6" s="31" t="n">
        <f aca="false">COUNTIF('소재역산 트래커'!$E$5:$E$95,"S(봄)")</f>
        <v>40</v>
      </c>
      <c r="F6" s="32" t="n">
        <f aca="false">COUNTIF('소재역산 트래커'!$R$5:$R$95,"★*")</f>
        <v>0</v>
      </c>
      <c r="H6" s="33" t="n">
        <f aca="false">COUNTIF('소재역산 트래커'!$R$5:$R$95,"?*")</f>
        <v>90</v>
      </c>
      <c r="J6" s="31" t="n">
        <f aca="false">COUNTIF('소재역산 트래커'!$R$5:$R$95,"✓*")</f>
        <v>0</v>
      </c>
    </row>
    <row r="9" customFormat="false" ht="16.4" hidden="false" customHeight="false" outlineLevel="0" collapsed="false">
      <c r="B9" s="34" t="s">
        <v>259</v>
      </c>
    </row>
    <row r="10" customFormat="false" ht="15" hidden="false" customHeight="false" outlineLevel="0" collapsed="false">
      <c r="B10" s="35" t="s">
        <v>36</v>
      </c>
      <c r="C10" s="36" t="s">
        <v>260</v>
      </c>
      <c r="D10" s="35" t="s">
        <v>261</v>
      </c>
      <c r="E10" s="36" t="s">
        <v>256</v>
      </c>
      <c r="F10" s="35" t="s">
        <v>262</v>
      </c>
      <c r="G10" s="36" t="s">
        <v>263</v>
      </c>
    </row>
    <row r="11" customFormat="false" ht="15" hidden="false" customHeight="false" outlineLevel="0" collapsed="false">
      <c r="B11" s="24" t="s">
        <v>153</v>
      </c>
      <c r="C11" s="23" t="n">
        <f aca="false">COUNTIF('소재역산 트래커'!$B$5:$B$95,$B11)</f>
        <v>1</v>
      </c>
      <c r="D11" s="23" t="n">
        <f aca="false">COUNTIFS('소재역산 트래커'!$B$5:$B$95,$B11,'소재역산 트래커'!$E$5:$E$95,"S(봄)")</f>
        <v>0</v>
      </c>
      <c r="E11" s="23" t="n">
        <f aca="false">COUNTIFS('소재역산 트래커'!$B$5:$B$95,$B11,'소재역산 트래커'!$R$5:$R$95,"★*")</f>
        <v>0</v>
      </c>
      <c r="F11" s="23" t="n">
        <f aca="false">COUNTIFS('소재역산 트래커'!$B$5:$B$95,$B11,'소재역산 트래커'!$R$5:$R$95,"?*")</f>
        <v>1</v>
      </c>
      <c r="G11" s="23" t="n">
        <f aca="false">COUNTIFS('소재역산 트래커'!$B$5:$B$95,$B11,'소재역산 트래커'!$S$5:$S$95,"조율완료")</f>
        <v>0</v>
      </c>
    </row>
    <row r="12" customFormat="false" ht="15" hidden="false" customHeight="false" outlineLevel="0" collapsed="false">
      <c r="B12" s="24" t="s">
        <v>124</v>
      </c>
      <c r="C12" s="23" t="n">
        <f aca="false">COUNTIF('소재역산 트래커'!$B$5:$B$95,$B12)</f>
        <v>1</v>
      </c>
      <c r="D12" s="23" t="n">
        <f aca="false">COUNTIFS('소재역산 트래커'!$B$5:$B$95,$B12,'소재역산 트래커'!$E$5:$E$95,"S(봄)")</f>
        <v>1</v>
      </c>
      <c r="E12" s="23" t="n">
        <f aca="false">COUNTIFS('소재역산 트래커'!$B$5:$B$95,$B12,'소재역산 트래커'!$R$5:$R$95,"★*")</f>
        <v>0</v>
      </c>
      <c r="F12" s="23" t="n">
        <f aca="false">COUNTIFS('소재역산 트래커'!$B$5:$B$95,$B12,'소재역산 트래커'!$R$5:$R$95,"?*")</f>
        <v>1</v>
      </c>
      <c r="G12" s="23" t="n">
        <f aca="false">COUNTIFS('소재역산 트래커'!$B$5:$B$95,$B12,'소재역산 트래커'!$S$5:$S$95,"조율완료")</f>
        <v>0</v>
      </c>
    </row>
    <row r="13" customFormat="false" ht="15" hidden="false" customHeight="false" outlineLevel="0" collapsed="false">
      <c r="B13" s="24" t="s">
        <v>166</v>
      </c>
      <c r="C13" s="23" t="n">
        <f aca="false">COUNTIF('소재역산 트래커'!$B$5:$B$95,$B13)</f>
        <v>2</v>
      </c>
      <c r="D13" s="23" t="n">
        <f aca="false">COUNTIFS('소재역산 트래커'!$B$5:$B$95,$B13,'소재역산 트래커'!$E$5:$E$95,"S(봄)")</f>
        <v>0</v>
      </c>
      <c r="E13" s="23" t="n">
        <f aca="false">COUNTIFS('소재역산 트래커'!$B$5:$B$95,$B13,'소재역산 트래커'!$R$5:$R$95,"★*")</f>
        <v>0</v>
      </c>
      <c r="F13" s="23" t="n">
        <f aca="false">COUNTIFS('소재역산 트래커'!$B$5:$B$95,$B13,'소재역산 트래커'!$R$5:$R$95,"?*")</f>
        <v>2</v>
      </c>
      <c r="G13" s="23" t="n">
        <f aca="false">COUNTIFS('소재역산 트래커'!$B$5:$B$95,$B13,'소재역산 트래커'!$S$5:$S$95,"조율완료")</f>
        <v>0</v>
      </c>
    </row>
    <row r="14" customFormat="false" ht="15" hidden="false" customHeight="false" outlineLevel="0" collapsed="false">
      <c r="B14" s="24" t="s">
        <v>208</v>
      </c>
      <c r="C14" s="23" t="n">
        <f aca="false">COUNTIF('소재역산 트래커'!$B$5:$B$95,$B14)</f>
        <v>1</v>
      </c>
      <c r="D14" s="23" t="n">
        <f aca="false">COUNTIFS('소재역산 트래커'!$B$5:$B$95,$B14,'소재역산 트래커'!$E$5:$E$95,"S(봄)")</f>
        <v>0</v>
      </c>
      <c r="E14" s="23" t="n">
        <f aca="false">COUNTIFS('소재역산 트래커'!$B$5:$B$95,$B14,'소재역산 트래커'!$R$5:$R$95,"★*")</f>
        <v>0</v>
      </c>
      <c r="F14" s="23" t="n">
        <f aca="false">COUNTIFS('소재역산 트래커'!$B$5:$B$95,$B14,'소재역산 트래커'!$R$5:$R$95,"?*")</f>
        <v>1</v>
      </c>
      <c r="G14" s="23" t="n">
        <f aca="false">COUNTIFS('소재역산 트래커'!$B$5:$B$95,$B14,'소재역산 트래커'!$S$5:$S$95,"조율완료")</f>
        <v>0</v>
      </c>
    </row>
    <row r="15" customFormat="false" ht="15" hidden="false" customHeight="false" outlineLevel="0" collapsed="false">
      <c r="B15" s="24" t="s">
        <v>62</v>
      </c>
      <c r="C15" s="23" t="n">
        <f aca="false">COUNTIF('소재역산 트래커'!$B$5:$B$95,$B15)</f>
        <v>1</v>
      </c>
      <c r="D15" s="23" t="n">
        <f aca="false">COUNTIFS('소재역산 트래커'!$B$5:$B$95,$B15,'소재역산 트래커'!$E$5:$E$95,"S(봄)")</f>
        <v>1</v>
      </c>
      <c r="E15" s="23" t="n">
        <f aca="false">COUNTIFS('소재역산 트래커'!$B$5:$B$95,$B15,'소재역산 트래커'!$R$5:$R$95,"★*")</f>
        <v>0</v>
      </c>
      <c r="F15" s="23" t="n">
        <f aca="false">COUNTIFS('소재역산 트래커'!$B$5:$B$95,$B15,'소재역산 트래커'!$R$5:$R$95,"?*")</f>
        <v>1</v>
      </c>
      <c r="G15" s="23" t="n">
        <f aca="false">COUNTIFS('소재역산 트래커'!$B$5:$B$95,$B15,'소재역산 트래커'!$S$5:$S$95,"조율완료")</f>
        <v>0</v>
      </c>
    </row>
    <row r="16" customFormat="false" ht="15" hidden="false" customHeight="false" outlineLevel="0" collapsed="false">
      <c r="B16" s="24" t="s">
        <v>66</v>
      </c>
      <c r="C16" s="23" t="n">
        <f aca="false">COUNTIF('소재역산 트래커'!$B$5:$B$95,$B16)</f>
        <v>48</v>
      </c>
      <c r="D16" s="23" t="n">
        <f aca="false">COUNTIFS('소재역산 트래커'!$B$5:$B$95,$B16,'소재역산 트래커'!$E$5:$E$95,"S(봄)")</f>
        <v>22</v>
      </c>
      <c r="E16" s="23" t="n">
        <f aca="false">COUNTIFS('소재역산 트래커'!$B$5:$B$95,$B16,'소재역산 트래커'!$R$5:$R$95,"★*")</f>
        <v>0</v>
      </c>
      <c r="F16" s="23" t="n">
        <f aca="false">COUNTIFS('소재역산 트래커'!$B$5:$B$95,$B16,'소재역산 트래커'!$R$5:$R$95,"?*")</f>
        <v>48</v>
      </c>
      <c r="G16" s="23" t="n">
        <f aca="false">COUNTIFS('소재역산 트래커'!$B$5:$B$95,$B16,'소재역산 트래커'!$S$5:$S$95,"조율완료")</f>
        <v>0</v>
      </c>
    </row>
    <row r="17" customFormat="false" ht="15" hidden="false" customHeight="false" outlineLevel="0" collapsed="false">
      <c r="B17" s="24" t="s">
        <v>77</v>
      </c>
      <c r="C17" s="23" t="n">
        <f aca="false">COUNTIF('소재역산 트래커'!$B$5:$B$95,$B17)</f>
        <v>35</v>
      </c>
      <c r="D17" s="23" t="n">
        <f aca="false">COUNTIFS('소재역산 트래커'!$B$5:$B$95,$B17,'소재역산 트래커'!$E$5:$E$95,"S(봄)")</f>
        <v>15</v>
      </c>
      <c r="E17" s="23" t="n">
        <f aca="false">COUNTIFS('소재역산 트래커'!$B$5:$B$95,$B17,'소재역산 트래커'!$R$5:$R$95,"★*")</f>
        <v>0</v>
      </c>
      <c r="F17" s="23" t="n">
        <f aca="false">COUNTIFS('소재역산 트래커'!$B$5:$B$95,$B17,'소재역산 트래커'!$R$5:$R$95,"?*")</f>
        <v>34</v>
      </c>
      <c r="G17" s="23" t="n">
        <f aca="false">COUNTIFS('소재역산 트래커'!$B$5:$B$95,$B17,'소재역산 트래커'!$S$5:$S$95,"조율완료")</f>
        <v>0</v>
      </c>
    </row>
    <row r="18" customFormat="false" ht="15" hidden="false" customHeight="false" outlineLevel="0" collapsed="false">
      <c r="B18" s="24" t="s">
        <v>55</v>
      </c>
      <c r="C18" s="23" t="n">
        <f aca="false">COUNTIF('소재역산 트래커'!$B$5:$B$95,$B18)</f>
        <v>1</v>
      </c>
      <c r="D18" s="23" t="n">
        <f aca="false">COUNTIFS('소재역산 트래커'!$B$5:$B$95,$B18,'소재역산 트래커'!$E$5:$E$95,"S(봄)")</f>
        <v>1</v>
      </c>
      <c r="E18" s="23" t="n">
        <f aca="false">COUNTIFS('소재역산 트래커'!$B$5:$B$95,$B18,'소재역산 트래커'!$R$5:$R$95,"★*")</f>
        <v>0</v>
      </c>
      <c r="F18" s="23" t="n">
        <f aca="false">COUNTIFS('소재역산 트래커'!$B$5:$B$95,$B18,'소재역산 트래커'!$R$5:$R$95,"?*")</f>
        <v>1</v>
      </c>
      <c r="G18" s="23" t="n">
        <f aca="false">COUNTIFS('소재역산 트래커'!$B$5:$B$95,$B18,'소재역산 트래커'!$S$5:$S$95,"조율완료")</f>
        <v>0</v>
      </c>
    </row>
    <row r="21" customFormat="false" ht="16.4" hidden="false" customHeight="false" outlineLevel="0" collapsed="false">
      <c r="B21" s="13" t="s">
        <v>264</v>
      </c>
    </row>
    <row r="22" customFormat="false" ht="15" hidden="false" customHeight="true" outlineLevel="0" collapsed="false">
      <c r="B22" s="37" t="s">
        <v>265</v>
      </c>
      <c r="C22" s="37"/>
      <c r="D22" s="37"/>
      <c r="E22" s="37"/>
      <c r="F22" s="37"/>
      <c r="G22" s="37"/>
    </row>
    <row r="23" customFormat="false" ht="15" hidden="false" customHeight="false" outlineLevel="0" collapsed="false">
      <c r="B23" s="37"/>
      <c r="C23" s="37"/>
      <c r="D23" s="37"/>
      <c r="E23" s="37"/>
      <c r="F23" s="37"/>
      <c r="G23" s="37"/>
    </row>
    <row r="24" customFormat="false" ht="15" hidden="false" customHeight="false" outlineLevel="0" collapsed="false">
      <c r="B24" s="37"/>
      <c r="C24" s="37"/>
      <c r="D24" s="37"/>
      <c r="E24" s="37"/>
      <c r="F24" s="37"/>
      <c r="G24" s="37"/>
    </row>
    <row r="25" customFormat="false" ht="15" hidden="false" customHeight="false" outlineLevel="0" collapsed="false">
      <c r="B25" s="37"/>
      <c r="C25" s="37"/>
      <c r="D25" s="37"/>
      <c r="E25" s="37"/>
      <c r="F25" s="37"/>
      <c r="G25" s="37"/>
    </row>
    <row r="26" customFormat="false" ht="15" hidden="false" customHeight="false" outlineLevel="0" collapsed="false">
      <c r="B26" s="37"/>
      <c r="C26" s="37"/>
      <c r="D26" s="37"/>
      <c r="E26" s="37"/>
      <c r="F26" s="37"/>
      <c r="G26" s="37"/>
    </row>
  </sheetData>
  <mergeCells count="1">
    <mergeCell ref="B22:G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2026-08-06T14:17:45Z</dcterms:created>
  <dc:creator>openpyxl</dc:creator>
  <dc:description/>
  <dc:language>en-US</dc:language>
  <cp:lastModifiedBy/>
  <dcterms:modified xsi:type="dcterms:W3CDTF">2026-08-06T14:17:45Z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