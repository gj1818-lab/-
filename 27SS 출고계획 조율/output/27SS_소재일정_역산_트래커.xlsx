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리스크 요약" sheetId="4" state="visible" r:id="rId6"/>
  </sheets>
  <definedNames>
    <definedName function="false" hidden="true" localSheetId="2" name="_xlnm._FilterDatabase" vbProcedure="false">'소재역산 트래커'!$A$4:$Z$428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<sst xmlns="http://schemas.openxmlformats.org/spreadsheetml/2006/main" count="5031" uniqueCount="1285">
  <si>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</si>
  <si>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</si>
  <si>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</si>
  <si>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  ← </t>
    </r>
    <r>
      <rPr>
        <sz val="11"/>
        <color rgb="FF212121"/>
        <rFont val="WenQuanYi Zen Hei"/>
        <family val="2"/>
      </rPr>
      <t xml:space="preserve">출고 전 물류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검품 리드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</si>
  <si>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 ← 생산 리드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즉 소재는 출고일 기준 </t>
    </r>
    <r>
      <rPr>
        <sz val="11"/>
        <color rgb="FF212121"/>
        <rFont val="맑은 고딕"/>
        <family val="0"/>
        <charset val="1"/>
      </rPr>
      <t xml:space="preserve">104</t>
    </r>
    <r>
      <rPr>
        <sz val="11"/>
        <color rgb="FF212121"/>
        <rFont val="WenQuanYi Zen Hei"/>
        <family val="2"/>
      </rPr>
      <t xml:space="preserve">일 전까지 입고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</si>
  <si>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</si>
  <si>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</si>
  <si>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</si>
  <si>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): </t>
    </r>
    <r>
      <rPr>
        <sz val="11"/>
        <color rgb="FF212121"/>
        <rFont val="WenQuanYi Zen Hei"/>
        <family val="2"/>
      </rPr>
      <t xml:space="preserve">계획 변경 시 수정하면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판정이 자동 갱신됩니다</t>
    </r>
    <r>
      <rPr>
        <sz val="11"/>
        <color rgb="FF212121"/>
        <rFont val="맑은 고딕"/>
        <family val="0"/>
        <charset val="1"/>
      </rPr>
      <t xml:space="preserve">.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</si>
  <si>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(O/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/X): 0808 </t>
    </r>
    <r>
      <rPr>
        <sz val="11"/>
        <color rgb="FF212121"/>
        <rFont val="WenQuanYi Zen Hei"/>
        <family val="2"/>
      </rPr>
      <t xml:space="preserve">원본 </t>
    </r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' </t>
    </r>
    <r>
      <rPr>
        <sz val="11"/>
        <color rgb="FF212121"/>
        <rFont val="WenQuanYi Zen Hei"/>
        <family val="2"/>
      </rPr>
      <t xml:space="preserve">건수 기준 초기값 — 실제 등록 현황으로 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</si>
  <si>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(O/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/X): </t>
    </r>
    <r>
      <rPr>
        <sz val="11"/>
        <color rgb="FF212121"/>
        <rFont val="WenQuanYi Zen Hei"/>
        <family val="2"/>
      </rPr>
      <t xml:space="preserve">전산 </t>
    </r>
    <r>
      <rPr>
        <sz val="11"/>
        <color rgb="FF212121"/>
        <rFont val="맑은 고딕"/>
        <family val="0"/>
        <charset val="1"/>
      </rPr>
      <t xml:space="preserve">EDW '</t>
    </r>
    <r>
      <rPr>
        <sz val="11"/>
        <color rgb="FF212121"/>
        <rFont val="WenQuanYi Zen Hei"/>
        <family val="2"/>
      </rPr>
      <t xml:space="preserve">생산의뢰서 사양확정 결재일자</t>
    </r>
    <r>
      <rPr>
        <sz val="11"/>
        <color rgb="FF212121"/>
        <rFont val="맑은 고딕"/>
        <family val="0"/>
        <charset val="1"/>
      </rPr>
      <t xml:space="preserve">'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(8/6) — </t>
    </r>
    <r>
      <rPr>
        <sz val="11"/>
        <color rgb="FF212121"/>
        <rFont val="WenQuanYi Zen Hei"/>
        <family val="2"/>
      </rPr>
      <t xml:space="preserve">정보성 컬럼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판정에는 미반영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</si>
  <si>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</si>
  <si>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</si>
  <si>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 집계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</si>
  <si>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23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— </t>
    </r>
    <r>
      <rPr>
        <sz val="10"/>
        <color rgb="FF666666"/>
        <rFont val="WenQuanYi Zen Hei"/>
        <family val="2"/>
      </rPr>
      <t xml:space="preserve">컬러별 발행 건수 ≥</t>
    </r>
    <r>
      <rPr>
        <sz val="10"/>
        <color rgb="FF666666"/>
        <rFont val="맑은 고딕"/>
        <family val="0"/>
        <charset val="1"/>
      </rPr>
      <t xml:space="preserve">1</t>
    </r>
    <r>
      <rPr>
        <sz val="10"/>
        <color rgb="FF666666"/>
        <rFont val="WenQuanYi Zen Hei"/>
        <family val="2"/>
      </rPr>
      <t xml:space="preserve">이면 발행으로 간주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전컬러 </t>
    </r>
    <r>
      <rPr>
        <sz val="10"/>
        <color rgb="FF666666"/>
        <rFont val="맑은 고딕"/>
        <family val="0"/>
        <charset val="1"/>
      </rPr>
      <t xml:space="preserve">O / </t>
    </r>
    <r>
      <rPr>
        <sz val="10"/>
        <color rgb="FF666666"/>
        <rFont val="WenQuanYi Zen Hei"/>
        <family val="2"/>
      </rPr>
      <t xml:space="preserve">일부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부분</t>
    </r>
    <r>
      <rPr>
        <sz val="10"/>
        <color rgb="FF666666"/>
        <rFont val="맑은 고딕"/>
        <family val="0"/>
        <charset val="1"/>
      </rPr>
      <t xml:space="preserve">' / </t>
    </r>
    <r>
      <rPr>
        <sz val="10"/>
        <color rgb="FF666666"/>
        <rFont val="WenQuanYi Zen Hei"/>
        <family val="2"/>
      </rPr>
      <t xml:space="preserve">없음 </t>
    </r>
    <r>
      <rPr>
        <sz val="10"/>
        <color rgb="FF666666"/>
        <rFont val="맑은 고딕"/>
        <family val="0"/>
        <charset val="1"/>
      </rPr>
      <t xml:space="preserve">X)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</si>
  <si>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컬러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코드를 스타일별로 합치고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브랜드 컬러명 매핑</t>
    </r>
    <r>
      <rPr>
        <sz val="10"/>
        <color rgb="FF666666"/>
        <rFont val="맑은 고딕"/>
        <family val="0"/>
        <charset val="1"/>
      </rPr>
      <t xml:space="preserve">(204</t>
    </r>
    <r>
      <rPr>
        <sz val="10"/>
        <color rgb="FF666666"/>
        <rFont val="WenQuanYi Zen Hei"/>
        <family val="2"/>
      </rPr>
      <t xml:space="preserve">개</t>
    </r>
    <r>
      <rPr>
        <sz val="10"/>
        <color rgb="FF666666"/>
        <rFont val="맑은 고딕"/>
        <family val="0"/>
        <charset val="1"/>
      </rPr>
      <t xml:space="preserve">)</t>
    </r>
    <r>
      <rPr>
        <sz val="10"/>
        <color rgb="FF666666"/>
        <rFont val="WenQuanYi Zen Hei"/>
        <family val="2"/>
      </rPr>
      <t xml:space="preserve">으로 이름 병기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</si>
  <si>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'27SS </t>
    </r>
    <r>
      <rPr>
        <sz val="10"/>
        <color rgb="FF666666"/>
        <rFont val="WenQuanYi Zen Hei"/>
        <family val="2"/>
      </rPr>
      <t xml:space="preserve">생산 프로세스 진척현황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자동화</t>
    </r>
    <r>
      <rPr>
        <sz val="10"/>
        <color rgb="FF666666"/>
        <rFont val="맑은 고딕"/>
        <family val="0"/>
        <charset val="1"/>
      </rPr>
      <t xml:space="preserve">)' EDW_RAW</t>
    </r>
    <r>
      <rPr>
        <sz val="10"/>
        <color rgb="FF666666"/>
        <rFont val="WenQuanYi Zen Hei"/>
        <family val="2"/>
      </rPr>
      <t xml:space="preserve">의 사양확정 결재일자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스타일 </t>
    </r>
    <r>
      <rPr>
        <sz val="10"/>
        <color rgb="FF666666"/>
        <rFont val="맑은 고딕"/>
        <family val="0"/>
        <charset val="1"/>
      </rPr>
      <t xml:space="preserve">393</t>
    </r>
    <r>
      <rPr>
        <sz val="10"/>
        <color rgb="FF666666"/>
        <rFont val="WenQuanYi Zen Hei"/>
        <family val="2"/>
      </rPr>
      <t xml:space="preserve">건 매칭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공란 </t>
    </r>
    <r>
      <rPr>
        <sz val="10"/>
        <color rgb="FF666666"/>
        <rFont val="맑은 고딕"/>
        <family val="0"/>
        <charset val="1"/>
      </rPr>
      <t xml:space="preserve">31</t>
    </r>
    <r>
      <rPr>
        <sz val="10"/>
        <color rgb="FF666666"/>
        <rFont val="WenQuanYi Zen Hei"/>
        <family val="2"/>
      </rPr>
      <t xml:space="preserve">건 </t>
    </r>
    <r>
      <rPr>
        <sz val="10"/>
        <color rgb="FF666666"/>
        <rFont val="맑은 고딕"/>
        <family val="0"/>
        <charset val="1"/>
      </rPr>
      <t xml:space="preserve">= </t>
    </r>
    <r>
      <rPr>
        <sz val="10"/>
        <color rgb="FF666666"/>
        <rFont val="WenQuanYi Zen Hei"/>
        <family val="2"/>
      </rPr>
      <t xml:space="preserve">전산 미대사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</si>
  <si>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출고일 주차가 컬러별로 다른 스타일</t>
    </r>
    <r>
      <rPr>
        <sz val="10"/>
        <color rgb="FF666666"/>
        <rFont val="맑은 고딕"/>
        <family val="0"/>
        <charset val="1"/>
      </rPr>
      <t xml:space="preserve">(8UTCM27101: 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</t>
    </r>
    <r>
      <rPr>
        <sz val="10"/>
        <color rgb="FF666666"/>
        <rFont val="WenQuanYi Zen Hei"/>
        <family val="2"/>
      </rPr>
      <t xml:space="preserve">은 다수 값 적용 — 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</si>
  <si>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</si>
  <si>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</si>
  <si>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</si>
  <si>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</si>
  <si>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</si>
  <si>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</si>
  <si>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</si>
  <si>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</si>
  <si>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</si>
  <si>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</si>
  <si>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</si>
  <si>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</si>
  <si>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</si>
  <si>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</si>
  <si>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출고일 −</t>
    </r>
    <r>
      <rPr>
        <b val="true"/>
        <sz val="14"/>
        <color rgb="FFFFFFFF"/>
        <rFont val="맑은 고딕"/>
        <family val="0"/>
        <charset val="1"/>
      </rPr>
      <t xml:space="preserve">2</t>
    </r>
    <r>
      <rPr>
        <b val="true"/>
        <sz val="14"/>
        <color rgb="FFFFFFFF"/>
        <rFont val="WenQuanYi Zen Hei"/>
        <family val="2"/>
      </rPr>
      <t xml:space="preserve">주 </t>
    </r>
    <r>
      <rPr>
        <b val="true"/>
        <sz val="14"/>
        <color rgb="FFFFFFFF"/>
        <rFont val="맑은 고딕"/>
        <family val="0"/>
        <charset val="1"/>
      </rPr>
      <t xml:space="preserve">= </t>
    </r>
    <r>
      <rPr>
        <b val="true"/>
        <sz val="14"/>
        <color rgb="FFFFFFFF"/>
        <rFont val="WenQuanYi Zen Hei"/>
        <family val="2"/>
      </rPr>
      <t xml:space="preserve">제품입고</t>
    </r>
    <r>
      <rPr>
        <b val="true"/>
        <sz val="14"/>
        <color rgb="FFFFFFFF"/>
        <rFont val="맑은 고딕"/>
        <family val="0"/>
        <charset val="1"/>
      </rPr>
      <t xml:space="preserve">, </t>
    </r>
    <r>
      <rPr>
        <b val="true"/>
        <sz val="14"/>
        <color rgb="FFFFFFFF"/>
        <rFont val="WenQuanYi Zen Hei"/>
        <family val="2"/>
      </rPr>
      <t xml:space="preserve">입고 −</t>
    </r>
    <r>
      <rPr>
        <b val="true"/>
        <sz val="14"/>
        <color rgb="FFFFFFFF"/>
        <rFont val="맑은 고딕"/>
        <family val="0"/>
        <charset val="1"/>
      </rPr>
      <t xml:space="preserve">90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맑은 고딕"/>
        <family val="0"/>
        <charset val="1"/>
      </rPr>
      <t xml:space="preserve">= </t>
    </r>
    <r>
      <rPr>
        <b val="true"/>
        <sz val="14"/>
        <color rgb="FFFFFFFF"/>
        <rFont val="WenQuanYi Zen Hei"/>
        <family val="2"/>
      </rPr>
      <t xml:space="preserve">소재마감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</si>
  <si>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</si>
  <si>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</si>
  <si>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/ </t>
    </r>
    <r>
      <rPr>
        <sz val="10"/>
        <color rgb="FFE8474C"/>
        <rFont val="WenQuanYi Zen Hei"/>
        <family val="2"/>
      </rPr>
      <t xml:space="preserve">나머지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자동계산  </t>
    </r>
    <r>
      <rPr>
        <sz val="10"/>
        <color rgb="FFE8474C"/>
        <rFont val="맑은 고딕"/>
        <family val="0"/>
        <charset val="1"/>
      </rPr>
      <t xml:space="preserve">·  ★ </t>
    </r>
    <r>
      <rPr>
        <sz val="10"/>
        <color rgb="FFE8474C"/>
        <rFont val="WenQuanYi Zen Hei"/>
        <family val="2"/>
      </rPr>
      <t xml:space="preserve">납기위험 </t>
    </r>
    <r>
      <rPr>
        <sz val="10"/>
        <color rgb="FFE8474C"/>
        <rFont val="맑은 고딕"/>
        <family val="0"/>
        <charset val="1"/>
      </rPr>
      <t xml:space="preserve">= S</t>
    </r>
    <r>
      <rPr>
        <sz val="10"/>
        <color rgb="FFE8474C"/>
        <rFont val="WenQuanYi Zen Hei"/>
        <family val="2"/>
      </rPr>
      <t xml:space="preserve">코드</t>
    </r>
    <r>
      <rPr>
        <sz val="10"/>
        <color rgb="FFE8474C"/>
        <rFont val="맑은 고딕"/>
        <family val="0"/>
        <charset val="1"/>
      </rPr>
      <t xml:space="preserve">(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) </t>
    </r>
    <r>
      <rPr>
        <sz val="10"/>
        <color rgb="FFE8474C"/>
        <rFont val="WenQuanYi Zen Hei"/>
        <family val="2"/>
      </rPr>
      <t xml:space="preserve">중 작지 미발행 또는 소재마감 초과  </t>
    </r>
    <r>
      <rPr>
        <sz val="10"/>
        <color rgb="FFE8474C"/>
        <rFont val="맑은 고딕"/>
        <family val="0"/>
        <charset val="1"/>
      </rPr>
      <t xml:space="preserve">·  </t>
    </r>
    <r>
      <rPr>
        <sz val="10"/>
        <color rgb="FFE8474C"/>
        <rFont val="WenQuanYi Zen Hei"/>
        <family val="2"/>
      </rPr>
      <t xml:space="preserve">사양확정은 정보성</t>
    </r>
    <r>
      <rPr>
        <sz val="10"/>
        <color rgb="FFE8474C"/>
        <rFont val="맑은 고딕"/>
        <family val="0"/>
        <charset val="1"/>
      </rPr>
      <t xml:space="preserve">(</t>
    </r>
    <r>
      <rPr>
        <sz val="10"/>
        <color rgb="FFE8474C"/>
        <rFont val="WenQuanYi Zen Hei"/>
        <family val="2"/>
      </rPr>
      <t xml:space="preserve">판정 미반영</t>
    </r>
    <r>
      <rPr>
        <sz val="10"/>
        <color rgb="FFE8474C"/>
        <rFont val="맑은 고딕"/>
        <family val="0"/>
        <charset val="1"/>
      </rPr>
      <t xml:space="preserve">)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</si>
  <si>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</si>
  <si>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</si>
  <si>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</si>
  <si>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</si>
  <si>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</si>
  <si>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</si>
  <si>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</si>
  <si>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</si>
  <si>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</si>
  <si>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</si>
  <si>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</si>
  <si>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</si>
  <si>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</si>
  <si>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</si>
  <si>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</si>
  <si>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</si>
  <si>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</si>
  <si>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</si>
  <si>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</si>
  <si>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</si>
  <si>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</si>
  <si>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</si>
  <si>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</si>
  <si>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</si>
  <si>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</si>
  <si>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</si>
  <si>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</si>
  <si>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</si>
  <si>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</si>
  <si>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</si>
  <si>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</si>
  <si>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</si>
  <si>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</si>
  <si>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</si>
  <si>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</si>
  <si>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</si>
  <si>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</si>
  <si>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</si>
  <si>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</si>
  <si>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</si>
  <si>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</si>
  <si>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</si>
  <si>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</si>
  <si>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</si>
  <si>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</si>
  <si>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</si>
  <si>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</si>
  <si>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</si>
  <si>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</si>
  <si>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</si>
  <si>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</si>
  <si>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</si>
  <si>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</si>
  <si>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</si>
  <si>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</si>
  <si>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</si>
  <si>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</si>
  <si>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</si>
  <si>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</si>
  <si>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</si>
  <si>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</si>
  <si>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</si>
  <si>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</si>
  <si>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</si>
  <si>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</si>
  <si>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</si>
  <si>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</si>
  <si>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</si>
  <si>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</si>
  <si>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</si>
  <si>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</si>
  <si>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</si>
  <si>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</si>
  <si>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</si>
  <si>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</si>
  <si>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</si>
  <si>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</si>
  <si>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</si>
  <si>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</si>
  <si>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</si>
  <si>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</si>
  <si>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</si>
  <si>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</si>
  <si>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</si>
  <si>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</si>
  <si>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</si>
  <si>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</si>
  <si>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</si>
  <si>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</si>
  <si>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</si>
  <si>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</si>
  <si>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</si>
  <si>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</si>
  <si>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</si>
  <si>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</si>
  <si>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</si>
  <si>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</si>
  <si>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</si>
  <si>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</si>
  <si>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</si>
  <si>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</si>
  <si>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</si>
  <si>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</si>
  <si>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</si>
  <si>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</si>
  <si>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</si>
  <si>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</si>
  <si>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</si>
  <si>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</si>
  <si>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</si>
  <si>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</si>
  <si>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</si>
  <si>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</si>
  <si>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</si>
  <si>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</si>
  <si>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</si>
  <si>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</si>
  <si>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</si>
  <si>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</si>
  <si>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</si>
  <si>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</si>
  <si>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</si>
  <si>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</si>
  <si>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</si>
  <si>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</si>
  <si>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</si>
  <si>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</si>
  <si>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</si>
  <si>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</si>
  <si>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</si>
  <si>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</si>
  <si>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</si>
  <si>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</si>
  <si>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</si>
  <si>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</si>
  <si>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</si>
  <si>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</si>
  <si>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</si>
  <si>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</si>
  <si>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</si>
  <si>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</si>
  <si>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</si>
  <si>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</si>
  <si>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</si>
  <si>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</si>
  <si>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</si>
  <si>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</si>
  <si>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</si>
  <si>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</si>
  <si>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</si>
  <si>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</si>
  <si>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</si>
  <si>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</si>
  <si>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</si>
  <si>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</si>
  <si>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</si>
  <si>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</si>
  <si>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</si>
  <si>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</si>
  <si>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</si>
  <si>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</si>
  <si>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</si>
  <si>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</si>
  <si>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</si>
  <si>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</si>
  <si>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</si>
  <si>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</si>
  <si>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</si>
  <si>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</si>
  <si>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</si>
  <si>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</si>
  <si>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</si>
  <si>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</si>
  <si>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</si>
  <si>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</si>
  <si>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</si>
  <si>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</si>
  <si>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</si>
  <si>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</si>
  <si>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</si>
  <si>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</si>
  <si>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</si>
  <si>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</si>
  <si>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</si>
  <si>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</si>
  <si>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</si>
  <si>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</si>
  <si>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</si>
  <si>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</si>
  <si>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</si>
  <si>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</si>
  <si>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</si>
  <si>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t xml:space="preserve">JWTBS27111</t>
  </si>
  <si>
    <t xml:space="preserve">남성 하이브리드 긴팔 집업 티셔츠</t>
  </si>
  <si>
    <t xml:space="preserve">BLK(BLACK), GBU(G/BLUE)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</si>
  <si>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</si>
  <si>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</si>
  <si>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</si>
  <si>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</si>
  <si>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</si>
  <si>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</si>
  <si>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</si>
  <si>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</si>
  <si>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</si>
  <si>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</si>
  <si>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</si>
  <si>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</si>
  <si>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</si>
  <si>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</si>
  <si>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</si>
  <si>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</si>
  <si>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</si>
  <si>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</si>
  <si>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</si>
  <si>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</si>
  <si>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</si>
  <si>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</si>
  <si>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</si>
  <si>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</si>
  <si>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</si>
  <si>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</si>
  <si>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</si>
  <si>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</si>
  <si>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</si>
  <si>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</si>
  <si>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</si>
  <si>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</si>
  <si>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</si>
  <si>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</si>
  <si>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</si>
  <si>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</si>
  <si>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</si>
  <si>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</si>
  <si>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</si>
  <si>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</si>
  <si>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</si>
  <si>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</si>
  <si>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</si>
  <si>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</si>
  <si>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</si>
  <si>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</si>
  <si>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</si>
  <si>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</si>
  <si>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</si>
  <si>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</si>
  <si>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</si>
  <si>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</si>
  <si>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</si>
  <si>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</si>
  <si>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</si>
  <si>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</si>
  <si>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</si>
  <si>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</si>
  <si>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</si>
  <si>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</si>
  <si>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</si>
  <si>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</si>
  <si>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</si>
  <si>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</si>
  <si>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</si>
  <si>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</si>
  <si>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</si>
  <si>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</si>
  <si>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</si>
  <si>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</si>
  <si>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</si>
  <si>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</si>
  <si>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</si>
  <si>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</si>
  <si>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</si>
  <si>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</si>
  <si>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</si>
  <si>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</si>
  <si>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</si>
  <si>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</si>
  <si>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</si>
  <si>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</si>
  <si>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</si>
  <si>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</si>
  <si>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</si>
  <si>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</si>
  <si>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</si>
  <si>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</si>
  <si>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</si>
  <si>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</si>
  <si>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</si>
  <si>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</si>
  <si>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</si>
  <si>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</si>
  <si>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WBE, PUR, BLK(BLACK)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</si>
  <si>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</si>
  <si>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</si>
  <si>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</si>
  <si>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</si>
  <si>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</si>
  <si>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</si>
  <si>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</si>
  <si>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</si>
  <si>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</si>
  <si>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</si>
  <si>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</si>
  <si>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</si>
  <si>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</si>
  <si>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</si>
  <si>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</si>
  <si>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</si>
  <si>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</si>
  <si>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</si>
  <si>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</si>
  <si>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</si>
  <si>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</si>
  <si>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</si>
  <si>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</si>
  <si>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</si>
  <si>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</si>
  <si>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</si>
  <si>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</si>
  <si>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</si>
  <si>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</si>
  <si>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</si>
  <si>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</si>
  <si>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</si>
  <si>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</si>
  <si>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</si>
  <si>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</si>
  <si>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</si>
  <si>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</si>
  <si>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</si>
  <si>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</si>
  <si>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</si>
  <si>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LAK(LAKE), DGY-3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</si>
  <si>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</si>
  <si>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</si>
  <si>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</si>
  <si>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</si>
  <si>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</si>
  <si>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</si>
  <si>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</si>
  <si>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</si>
  <si>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</si>
  <si>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</si>
  <si>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</si>
  <si>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</si>
  <si>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</si>
  <si>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</si>
  <si>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</si>
  <si>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</si>
  <si>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</si>
  <si>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</si>
  <si>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</si>
  <si>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</si>
  <si>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</si>
  <si>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</si>
  <si>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</si>
  <si>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</si>
  <si>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</si>
  <si>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</si>
  <si>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</si>
  <si>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GRY-2, MUD</t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</si>
  <si>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</si>
  <si>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</si>
  <si>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</si>
  <si>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</si>
  <si>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</si>
  <si>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</si>
  <si>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</si>
  <si>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</si>
  <si>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</si>
  <si>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</si>
  <si>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</si>
  <si>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</si>
  <si>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</si>
  <si>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</si>
  <si>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</si>
  <si>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</si>
  <si>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</si>
  <si>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</si>
  <si>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</si>
  <si>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</si>
  <si>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</si>
  <si>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</si>
  <si>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TLTBM27501</t>
  </si>
  <si>
    <t xml:space="preserve">남녀공용 베이직 오버핏 긴팔 티셔츠</t>
  </si>
  <si>
    <t xml:space="preserve">CRE-2, BLK(BLACK)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</si>
  <si>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</si>
  <si>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</si>
  <si>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</si>
  <si>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</si>
  <si>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</si>
  <si>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</si>
  <si>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</si>
  <si>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</si>
  <si>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</si>
  <si>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</si>
  <si>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</si>
  <si>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</si>
  <si>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</si>
  <si>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</si>
  <si>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TVTCM27504</t>
  </si>
  <si>
    <t xml:space="preserve">하절 여성 핫멜트 폴로 반팔 티셔츠</t>
  </si>
  <si>
    <t xml:space="preserve">IVO(IVORY), PYL, DNA(D/NAVY)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</si>
  <si>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</si>
  <si>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</si>
  <si>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</si>
  <si>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</si>
  <si>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</si>
  <si>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</si>
  <si>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</si>
  <si>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</si>
  <si>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JKJJM27124</t>
  </si>
  <si>
    <t xml:space="preserve">하절 여성 자카드 풀집업 자켓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</si>
  <si>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</si>
  <si>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</si>
  <si>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</si>
  <si>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</si>
  <si>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</si>
  <si>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</si>
  <si>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</si>
  <si>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</si>
  <si>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</si>
  <si>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</si>
  <si>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</si>
  <si>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t xml:space="preserve">JKTBM27168</t>
  </si>
  <si>
    <t xml:space="preserve">하절 여성 패턴 긴팔 집업 티셔츠</t>
  </si>
  <si>
    <t xml:space="preserve">LSL, MIN, CRE(CREAM)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</si>
  <si>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</si>
  <si>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</si>
  <si>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</si>
  <si>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</si>
  <si>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</si>
  <si>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</si>
  <si>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</si>
  <si>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</si>
  <si>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</si>
  <si>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</si>
  <si>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</si>
  <si>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</si>
  <si>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</si>
  <si>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</si>
  <si>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</si>
  <si>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</si>
  <si>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</si>
  <si>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</si>
  <si>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</si>
  <si>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</si>
  <si>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</si>
  <si>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</si>
  <si>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</si>
  <si>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</si>
  <si>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</si>
  <si>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</si>
  <si>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</si>
  <si>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</si>
  <si>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</si>
  <si>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</si>
  <si>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</si>
  <si>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</si>
  <si>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</si>
  <si>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</si>
  <si>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TLPNM27541</t>
  </si>
  <si>
    <t xml:space="preserve">하절 남성 나일론 레귤러핏 테이퍼드 팬츠</t>
  </si>
  <si>
    <t xml:space="preserve">m2</t>
  </si>
  <si>
    <t xml:space="preserve">부분</t>
  </si>
  <si>
    <t xml:space="preserve">TLSXM27521</t>
  </si>
  <si>
    <t xml:space="preserve">하절 남성 체크 긴팔 셔츠</t>
  </si>
  <si>
    <t xml:space="preserve">픽스처</t>
  </si>
  <si>
    <t xml:space="preserve">TLSXM27551</t>
  </si>
  <si>
    <t xml:space="preserve">하절 남성 시어서커 긴팔 셔츠</t>
  </si>
  <si>
    <t xml:space="preserve">IVO(IVORY), GBU-4</t>
  </si>
  <si>
    <t xml:space="preserve">3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</si>
  <si>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</si>
  <si>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</si>
  <si>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</si>
  <si>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TLTCM27561</t>
  </si>
  <si>
    <t xml:space="preserve">하절 남성 헨리넥 레귤러핏 반팔 티셔츠</t>
  </si>
  <si>
    <t xml:space="preserve">DNA(D/NAVY), LGY(L/GRAY)</t>
  </si>
  <si>
    <t xml:space="preserve">TVJJM27502</t>
  </si>
  <si>
    <t xml:space="preserve">하절 여성 스탠드넥 벤틸레이션 방풍 재킷</t>
  </si>
  <si>
    <t xml:space="preserve">LGI(L/GREIGE), GBU(G/BLUE)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</si>
  <si>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</si>
  <si>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</si>
  <si>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</si>
  <si>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</si>
  <si>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</si>
  <si>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</si>
  <si>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</si>
  <si>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</si>
  <si>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</si>
  <si>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</si>
  <si>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</si>
  <si>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</si>
  <si>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</si>
  <si>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</si>
  <si>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</si>
  <si>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JKJJM27172</t>
  </si>
  <si>
    <t xml:space="preserve">하절 여성 제노아 경량 인후드 방풍 재킷</t>
  </si>
  <si>
    <t xml:space="preserve">MIN, CRE(CREAM), LSL, WBE</t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</si>
  <si>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</si>
  <si>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</si>
  <si>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</si>
  <si>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</si>
  <si>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</si>
  <si>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</si>
  <si>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</si>
  <si>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</si>
  <si>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JWTCM27127</t>
  </si>
  <si>
    <t xml:space="preserve">남녀공용 소로나 릴렉스핏 그래픽 티셔츠</t>
  </si>
  <si>
    <t xml:space="preserve">JWTCM27147</t>
  </si>
  <si>
    <t xml:space="preserve">OWH, BLK(BLACK)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</si>
  <si>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</si>
  <si>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</si>
  <si>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</si>
  <si>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</si>
  <si>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</si>
  <si>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</si>
  <si>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</si>
  <si>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</si>
  <si>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</si>
  <si>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</si>
  <si>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</si>
  <si>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</si>
  <si>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</si>
  <si>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TLJJM27703</t>
  </si>
  <si>
    <t xml:space="preserve">남성 트레일러닝 패커블 초경량 방풍 자켓</t>
  </si>
  <si>
    <t xml:space="preserve">DBE(DARK BEIGE)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</si>
  <si>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</si>
  <si>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</si>
  <si>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</si>
  <si>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</si>
  <si>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</si>
  <si>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</si>
  <si>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</si>
  <si>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</si>
  <si>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</si>
  <si>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</si>
  <si>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</si>
  <si>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TLTCM27721</t>
  </si>
  <si>
    <t xml:space="preserve">남성 트레일러닝 자카드 라운드 슬리브리스</t>
  </si>
  <si>
    <t xml:space="preserve">DGY(D/GRAY)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</si>
  <si>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</si>
  <si>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</si>
  <si>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</si>
  <si>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</si>
  <si>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</si>
  <si>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</si>
  <si>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</si>
  <si>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</si>
  <si>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</si>
  <si>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</si>
  <si>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</si>
  <si>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</si>
  <si>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</si>
  <si>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</si>
  <si>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</si>
  <si>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</si>
  <si>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</si>
  <si>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</si>
  <si>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</si>
  <si>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</si>
  <si>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</si>
  <si>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</si>
  <si>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</si>
  <si>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</si>
  <si>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</si>
  <si>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</si>
  <si>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</si>
  <si>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</si>
  <si>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</si>
  <si>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</si>
  <si>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</si>
  <si>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</si>
  <si>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</si>
  <si>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</si>
  <si>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</si>
  <si>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</si>
  <si>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</si>
  <si>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</si>
  <si>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</si>
  <si>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</si>
  <si>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JKJJM27156</t>
  </si>
  <si>
    <t xml:space="preserve">하절 여성 고강력사 방풍 재킷</t>
  </si>
  <si>
    <t xml:space="preserve">BLK(BLACK), DMI(D/MINT)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</si>
  <si>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</si>
  <si>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</si>
  <si>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</si>
  <si>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</si>
  <si>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</si>
  <si>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</si>
  <si>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</si>
  <si>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</si>
  <si>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</si>
  <si>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</si>
  <si>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</si>
  <si>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</si>
  <si>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</si>
  <si>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</si>
  <si>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</si>
  <si>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</si>
  <si>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</si>
  <si>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JKTCM27182</t>
  </si>
  <si>
    <t xml:space="preserve">하절 여성 에어도트 반팔 집업 티셔츠</t>
  </si>
  <si>
    <t xml:space="preserve">MIN, CRE(CREAM),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</si>
  <si>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</si>
  <si>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</si>
  <si>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</si>
  <si>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</si>
  <si>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</si>
  <si>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</si>
  <si>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</si>
  <si>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</si>
  <si>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</si>
  <si>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</si>
  <si>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</si>
  <si>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</si>
  <si>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</si>
  <si>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</si>
  <si>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</si>
  <si>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</si>
  <si>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</si>
  <si>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</si>
  <si>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</si>
  <si>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</si>
  <si>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</si>
  <si>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</si>
  <si>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</si>
  <si>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JWPNM27171</t>
  </si>
  <si>
    <t xml:space="preserve">하절 남성 루즈핏 파라슈트 팬츠</t>
  </si>
  <si>
    <t xml:space="preserve">WGY, DBU-2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</si>
  <si>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</si>
  <si>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</si>
  <si>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</si>
  <si>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</si>
  <si>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</si>
  <si>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</si>
  <si>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</si>
  <si>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</si>
  <si>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</si>
  <si>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</si>
  <si>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</si>
  <si>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</si>
  <si>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</si>
  <si>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</si>
  <si>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</si>
  <si>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</si>
  <si>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</si>
  <si>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</si>
  <si>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</si>
  <si>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</si>
  <si>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</si>
  <si>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JWVAM27101</t>
  </si>
  <si>
    <t xml:space="preserve">남성 에센셜 경량 베스트</t>
  </si>
  <si>
    <t xml:space="preserve">WBE, DBU(D/BLUE), DGY(D/GRAY)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</si>
  <si>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</si>
  <si>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</si>
  <si>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</si>
  <si>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</si>
  <si>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</si>
  <si>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</si>
  <si>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</si>
  <si>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</si>
  <si>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</si>
  <si>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</si>
  <si>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</si>
  <si>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</si>
  <si>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</si>
  <si>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</si>
  <si>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BLK(BLACK), LBL(L/BLUE)</t>
  </si>
  <si>
    <t xml:space="preserve">QERFM27402</t>
  </si>
  <si>
    <t xml:space="preserve">여성 롱와이드 버킷햇</t>
  </si>
  <si>
    <t xml:space="preserve">CPI(C/PINK), PYL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</si>
  <si>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</si>
  <si>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</si>
  <si>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</si>
  <si>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</si>
  <si>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</si>
  <si>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</si>
  <si>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</si>
  <si>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</si>
  <si>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</si>
  <si>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</si>
  <si>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</si>
  <si>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TLSCM27511</t>
  </si>
  <si>
    <t xml:space="preserve">하절 남성 체크 반팔 셔츠</t>
  </si>
  <si>
    <t xml:space="preserve">NAY, DGY(D/GRAY)</t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</si>
  <si>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</si>
  <si>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</si>
  <si>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</si>
  <si>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</si>
  <si>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</si>
  <si>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</si>
  <si>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</si>
  <si>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</si>
  <si>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</si>
  <si>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</si>
  <si>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</si>
  <si>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</si>
  <si>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</si>
  <si>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TLTCM27505</t>
  </si>
  <si>
    <t xml:space="preserve">하절 남성 시어서커 폴로 반팔 티셔츠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</si>
  <si>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</si>
  <si>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</si>
  <si>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</si>
  <si>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</si>
  <si>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</si>
  <si>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</si>
  <si>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</si>
  <si>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</si>
  <si>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</si>
  <si>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</si>
  <si>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</si>
  <si>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TVJJM27512</t>
  </si>
  <si>
    <t xml:space="preserve">하절 여성 메쉬 하이브리드 라운드넥 재킷</t>
  </si>
  <si>
    <t xml:space="preserve">LGI(L/GREIGE), BLK(BLACK)</t>
  </si>
  <si>
    <t xml:space="preserve">TVJJM27522</t>
  </si>
  <si>
    <t xml:space="preserve">하절 여성 중기장 후디드 방풍 재킷</t>
  </si>
  <si>
    <t xml:space="preserve">LPI, PIS</t>
  </si>
  <si>
    <t xml:space="preserve">TVJJM27552</t>
  </si>
  <si>
    <t xml:space="preserve">하절 여성 메쉬 하이브리드 크롭 후디드 재킷</t>
  </si>
  <si>
    <t xml:space="preserve">LGI(L/GREIGE), LPI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</si>
  <si>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</si>
  <si>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</si>
  <si>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</si>
  <si>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</si>
  <si>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</si>
  <si>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</si>
  <si>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</si>
  <si>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</si>
  <si>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</si>
  <si>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</si>
  <si>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</si>
  <si>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</si>
  <si>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</si>
  <si>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</si>
  <si>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</si>
  <si>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</si>
  <si>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TVTCM27538</t>
  </si>
  <si>
    <t xml:space="preserve">하절 여성 시어서커 반팔 폴로 티셔츠</t>
  </si>
  <si>
    <t xml:space="preserve">CRE(CREAM), LPI, PIS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</si>
  <si>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</si>
  <si>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</si>
  <si>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</si>
  <si>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</si>
  <si>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</si>
  <si>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</si>
  <si>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</si>
  <si>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</si>
  <si>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</si>
  <si>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TVVAM27562</t>
  </si>
  <si>
    <t xml:space="preserve">하절 여성 경량 방풍 베스트</t>
  </si>
  <si>
    <t xml:space="preserve">LPI, GNA(G/NAVY)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</si>
  <si>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</si>
  <si>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</si>
  <si>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</si>
  <si>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</si>
  <si>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</si>
  <si>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</si>
  <si>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t xml:space="preserve">CRE-1, AQU(AQUA),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</si>
  <si>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</si>
  <si>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JKJJM27374</t>
  </si>
  <si>
    <t xml:space="preserve">여성 에그라이트 방수 재킷</t>
  </si>
  <si>
    <t xml:space="preserve">LLI, BLK(BLACK)</t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</si>
  <si>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</si>
  <si>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</si>
  <si>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</si>
  <si>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</si>
  <si>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</si>
  <si>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</si>
  <si>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</si>
  <si>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</si>
  <si>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</si>
  <si>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</si>
  <si>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</si>
  <si>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</si>
  <si>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</si>
  <si>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</si>
  <si>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</si>
  <si>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</si>
  <si>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</si>
  <si>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</si>
  <si>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</si>
  <si>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</si>
  <si>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</si>
  <si>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JKTBM27312</t>
  </si>
  <si>
    <t xml:space="preserve">여성 패커블 그래픽 긴팔 티셔츠</t>
  </si>
  <si>
    <t xml:space="preserve">BLK(BLACK), CRE-1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</si>
  <si>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</si>
  <si>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</si>
  <si>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</si>
  <si>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t xml:space="preserve">JKTCM27312</t>
  </si>
  <si>
    <t xml:space="preserve">여성 슬리브리스</t>
  </si>
  <si>
    <t xml:space="preserve">IVO(IVORY), BLK(BLACK)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</si>
  <si>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</si>
  <si>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</si>
  <si>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</si>
  <si>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</si>
  <si>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</si>
  <si>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</si>
  <si>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</si>
  <si>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</si>
  <si>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</si>
  <si>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</si>
  <si>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</si>
  <si>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</si>
  <si>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</si>
  <si>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</si>
  <si>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</si>
  <si>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</si>
  <si>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</si>
  <si>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</si>
  <si>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</si>
  <si>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</si>
  <si>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</si>
  <si>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</si>
  <si>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</si>
  <si>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</si>
  <si>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</si>
  <si>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</si>
  <si>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</si>
  <si>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</si>
  <si>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</si>
  <si>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</si>
  <si>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</si>
  <si>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</si>
  <si>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</si>
  <si>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</si>
  <si>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</si>
  <si>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</si>
  <si>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</si>
  <si>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</si>
  <si>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</si>
  <si>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</si>
  <si>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</si>
  <si>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</si>
  <si>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</si>
  <si>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</si>
  <si>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</si>
  <si>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</si>
  <si>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</si>
  <si>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</si>
  <si>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</si>
  <si>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</si>
  <si>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</si>
  <si>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</si>
  <si>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</si>
  <si>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</si>
  <si>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</si>
  <si>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</si>
  <si>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</si>
  <si>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</si>
  <si>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</si>
  <si>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</si>
  <si>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</si>
  <si>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</si>
  <si>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</si>
  <si>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</si>
  <si>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</si>
  <si>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</si>
  <si>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</si>
  <si>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</si>
  <si>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</si>
  <si>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</si>
  <si>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</si>
  <si>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</si>
  <si>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</si>
  <si>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</si>
  <si>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</si>
  <si>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</si>
  <si>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</si>
  <si>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</si>
  <si>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</si>
  <si>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</si>
  <si>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</si>
  <si>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</si>
  <si>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GRI(GREIGE), LKH, BLK(BLACK)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</si>
  <si>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</si>
  <si>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</si>
  <si>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</si>
  <si>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</si>
  <si>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</si>
  <si>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</si>
  <si>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</si>
  <si>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DKH(D/KHAKI), DNA(D/NAVY)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</si>
  <si>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</si>
  <si>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</si>
  <si>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TLPOM27531</t>
  </si>
  <si>
    <t xml:space="preserve">하절 남성 나일론 버뮤다 쇼츠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</si>
  <si>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</si>
  <si>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</si>
  <si>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</si>
  <si>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</si>
  <si>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</si>
  <si>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</si>
  <si>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</si>
  <si>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</si>
  <si>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</si>
  <si>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</si>
  <si>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</si>
  <si>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</si>
  <si>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</si>
  <si>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</si>
  <si>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</si>
  <si>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</si>
  <si>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</si>
  <si>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</si>
  <si>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RBU, BLK(BLACK)</t>
  </si>
  <si>
    <t xml:space="preserve">TVPNM27694</t>
  </si>
  <si>
    <t xml:space="preserve">하절 여성 데이팩 루즈 팬츠</t>
  </si>
  <si>
    <t xml:space="preserve">DNA(D/NAVY), LKH</t>
  </si>
  <si>
    <t xml:space="preserve">TVPOM27512</t>
  </si>
  <si>
    <t xml:space="preserve">하절 여성 버뮤다 팬츠</t>
  </si>
  <si>
    <t xml:space="preserve">DGY-1, GRI(GREIGE)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</si>
  <si>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</si>
  <si>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</si>
  <si>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</si>
  <si>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</si>
  <si>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</si>
  <si>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</si>
  <si>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</si>
  <si>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</si>
  <si>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</si>
  <si>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</si>
  <si>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</si>
  <si>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</si>
  <si>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</si>
  <si>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TVTCM27512</t>
  </si>
  <si>
    <t xml:space="preserve">하절 여성 리노쿨 피케 크롭 폴로 티셔츠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</si>
  <si>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</si>
  <si>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</si>
  <si>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</si>
  <si>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TVTCM27564</t>
  </si>
  <si>
    <t xml:space="preserve">하절 여성 우븐 하이브리드 크롭 반팔 티셔츠</t>
  </si>
  <si>
    <t xml:space="preserve">LGY-1, GBU-3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</si>
  <si>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</si>
  <si>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</si>
  <si>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</si>
  <si>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</si>
  <si>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</si>
  <si>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</si>
  <si>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</si>
  <si>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</si>
  <si>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</si>
  <si>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</si>
  <si>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</si>
  <si>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</si>
  <si>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</si>
  <si>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</si>
  <si>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</si>
  <si>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</si>
  <si>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</si>
  <si>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</si>
  <si>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</si>
  <si>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</si>
  <si>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</si>
  <si>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</si>
  <si>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</si>
  <si>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</si>
  <si>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</si>
  <si>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</si>
  <si>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</si>
  <si>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</si>
  <si>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</si>
  <si>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</si>
  <si>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</si>
  <si>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</si>
  <si>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</si>
  <si>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</si>
  <si>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</si>
  <si>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</si>
  <si>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</si>
  <si>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</si>
  <si>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</si>
  <si>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</si>
  <si>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</si>
  <si>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</si>
  <si>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</si>
  <si>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</si>
  <si>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</si>
  <si>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</si>
  <si>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</si>
  <si>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</si>
  <si>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</si>
  <si>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</si>
  <si>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</si>
  <si>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</si>
  <si>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</si>
  <si>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</si>
  <si>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</si>
  <si>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</si>
  <si>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</si>
  <si>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</si>
  <si>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</si>
  <si>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</si>
  <si>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</si>
  <si>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</si>
  <si>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</si>
  <si>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</si>
  <si>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</si>
  <si>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</si>
  <si>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</si>
  <si>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</si>
  <si>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</si>
  <si>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</si>
  <si>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</si>
  <si>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</si>
  <si>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</si>
  <si>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</si>
  <si>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</si>
  <si>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</si>
  <si>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</si>
  <si>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</si>
  <si>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</si>
  <si>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</si>
  <si>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</si>
  <si>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</si>
  <si>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</si>
  <si>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</si>
  <si>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</si>
  <si>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</si>
  <si>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</si>
  <si>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</si>
  <si>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</si>
  <si>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</si>
  <si>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</si>
  <si>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</si>
  <si>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</si>
  <si>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</si>
  <si>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</si>
  <si>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</si>
  <si>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</si>
  <si>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</si>
  <si>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</si>
  <si>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</si>
  <si>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</si>
  <si>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</si>
  <si>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</si>
  <si>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</si>
  <si>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</si>
  <si>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</si>
  <si>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</si>
  <si>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</si>
  <si>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</si>
  <si>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</si>
  <si>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</si>
  <si>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</si>
  <si>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</si>
  <si>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</si>
  <si>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</si>
  <si>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</si>
  <si>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</si>
  <si>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</si>
  <si>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</si>
  <si>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</si>
  <si>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</si>
  <si>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</si>
  <si>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</si>
  <si>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</si>
  <si>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</si>
  <si>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</si>
  <si>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</si>
  <si>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</si>
  <si>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</si>
  <si>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</si>
  <si>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</si>
  <si>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</si>
  <si>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</si>
  <si>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</si>
  <si>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</si>
  <si>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</si>
  <si>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</si>
  <si>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</si>
  <si>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</si>
  <si>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</si>
  <si>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</si>
  <si>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</si>
  <si>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</si>
  <si>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</si>
  <si>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</si>
  <si>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</si>
  <si>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</si>
  <si>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</si>
  <si>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</si>
  <si>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</si>
  <si>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</si>
  <si>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</si>
  <si>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</si>
  <si>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</si>
  <si>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</si>
  <si>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</si>
  <si>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</si>
  <si>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</si>
  <si>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</si>
  <si>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</si>
  <si>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</si>
  <si>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</si>
  <si>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</si>
  <si>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</si>
  <si>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</si>
  <si>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</si>
  <si>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</si>
  <si>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</si>
  <si>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</si>
  <si>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</si>
  <si>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</si>
  <si>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</si>
  <si>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</si>
  <si>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</si>
  <si>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</si>
  <si>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</si>
  <si>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</si>
  <si>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</si>
  <si>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</si>
  <si>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</si>
  <si>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</si>
  <si>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</si>
  <si>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</si>
  <si>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</si>
  <si>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</si>
  <si>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</si>
  <si>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</si>
  <si>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</si>
  <si>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</si>
  <si>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</si>
  <si>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</si>
  <si>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</si>
  <si>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</si>
  <si>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</si>
  <si>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</si>
  <si>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</si>
  <si>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</si>
  <si>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</si>
  <si>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</si>
  <si>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</si>
  <si>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</si>
  <si>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</si>
  <si>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</si>
  <si>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</si>
  <si>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</si>
  <si>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</si>
  <si>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</si>
  <si>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</si>
  <si>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</si>
  <si>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</si>
  <si>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</si>
  <si>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</si>
  <si>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</si>
  <si>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</si>
  <si>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</si>
  <si>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</si>
  <si>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</si>
  <si>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</si>
  <si>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</si>
  <si>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</si>
  <si>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</si>
  <si>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</si>
  <si>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</si>
  <si>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</si>
  <si>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</si>
  <si>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</si>
  <si>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</si>
  <si>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</si>
  <si>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</si>
  <si>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</si>
  <si>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</si>
  <si>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</si>
  <si>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</si>
  <si>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</si>
  <si>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</si>
  <si>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</si>
  <si>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</si>
  <si>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</si>
  <si>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</si>
  <si>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</si>
  <si>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</si>
  <si>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</si>
  <si>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</si>
  <si>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</si>
  <si>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</si>
  <si>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</si>
  <si>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</si>
  <si>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</si>
  <si>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</si>
  <si>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</si>
  <si>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</si>
  <si>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</si>
  <si>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</si>
  <si>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</si>
  <si>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</si>
  <si>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</si>
  <si>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</si>
  <si>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</si>
  <si>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</si>
  <si>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</si>
  <si>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</si>
  <si>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</si>
  <si>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</si>
  <si>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</si>
  <si>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</si>
  <si>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</si>
  <si>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</si>
  <si>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</si>
  <si>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</si>
  <si>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</si>
  <si>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</si>
  <si>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</si>
  <si>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</si>
  <si>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</si>
  <si>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</si>
  <si>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</si>
  <si>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</si>
  <si>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</si>
  <si>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</si>
  <si>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</si>
  <si>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</si>
  <si>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</si>
  <si>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</si>
  <si>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</si>
  <si>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</si>
  <si>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</si>
  <si>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</si>
  <si>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</si>
  <si>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</si>
  <si>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</si>
  <si>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</si>
  <si>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</si>
  <si>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</si>
  <si>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</si>
  <si>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</si>
  <si>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</si>
  <si>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</si>
  <si>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</si>
  <si>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</si>
  <si>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</si>
  <si>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</si>
  <si>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기준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</si>
  <si>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</si>
  <si>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</si>
  <si>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</si>
  <si>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</si>
  <si>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사양확정 완료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</si>
  <si>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</si>
  <si>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</si>
  <si>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</si>
  <si>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</si>
  <si>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</si>
  <si>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</si>
  <si>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</si>
  <si>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t xml:space="preserve">합계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</si>
  <si>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</si>
  <si>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즉 출고일 기준 </t>
    </r>
    <r>
      <rPr>
        <sz val="11"/>
        <rFont val="맑은 고딕"/>
        <family val="0"/>
        <charset val="1"/>
      </rPr>
      <t xml:space="preserve">104</t>
    </r>
    <r>
      <rPr>
        <sz val="11"/>
        <rFont val="WenQuanYi Zen Hei"/>
        <family val="2"/>
      </rPr>
      <t xml:space="preserve">일 전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바라며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마감 초과가 예상되는 스타일은 출고차순 조정 등 사전조율을 요청드립니다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</si>
</sst>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;[RED]\-0"/>
    <numFmt numFmtId="167" formatCode="#,##0"/>
    <numFmt numFmtId="168" formatCode="General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5F2D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C5F2D"/>
      <rgbColor rgb="FF9C5700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2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1" customFormat="false" ht="16.4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5" t="s">
        <v>12</v>
      </c>
    </row>
    <row r="18" customFormat="false" ht="15" hidden="false" customHeight="false" outlineLevel="0" collapsed="false">
      <c r="B18" s="6" t="s">
        <v>13</v>
      </c>
    </row>
    <row r="19" customFormat="false" ht="15" hidden="false" customHeight="false" outlineLevel="0" collapsed="false">
      <c r="B19" s="6" t="s">
        <v>14</v>
      </c>
    </row>
    <row r="20" customFormat="false" ht="15" hidden="false" customHeight="false" outlineLevel="0" collapsed="false">
      <c r="B20" s="6" t="s">
        <v>15</v>
      </c>
    </row>
    <row r="21" customFormat="false" ht="15" hidden="false" customHeight="false" outlineLevel="0" collapsed="false">
      <c r="B21" s="6" t="s">
        <v>16</v>
      </c>
    </row>
    <row r="22" customFormat="false" ht="15" hidden="false" customHeight="false" outlineLevel="0" collapsed="false">
      <c r="B22" s="6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18</v>
      </c>
    </row>
    <row r="4" customFormat="false" ht="15" hidden="false" customHeight="false" outlineLevel="0" collapsed="false">
      <c r="B4" s="8" t="s">
        <v>19</v>
      </c>
      <c r="C4" s="9" t="n">
        <f aca="true">TODAY()</f>
        <v>46242</v>
      </c>
      <c r="D4" s="10" t="s">
        <v>20</v>
      </c>
    </row>
    <row r="5" customFormat="false" ht="15" hidden="false" customHeight="false" outlineLevel="0" collapsed="false">
      <c r="B5" s="8" t="s">
        <v>21</v>
      </c>
      <c r="C5" s="11" t="n">
        <v>14</v>
      </c>
      <c r="D5" s="10" t="s">
        <v>22</v>
      </c>
    </row>
    <row r="6" customFormat="false" ht="15" hidden="false" customHeight="false" outlineLevel="0" collapsed="false">
      <c r="B6" s="8" t="s">
        <v>23</v>
      </c>
      <c r="C6" s="11" t="n">
        <v>90</v>
      </c>
      <c r="D6" s="10" t="s">
        <v>24</v>
      </c>
    </row>
    <row r="7" customFormat="false" ht="15" hidden="false" customHeight="false" outlineLevel="0" collapsed="false">
      <c r="B7" s="8" t="s">
        <v>25</v>
      </c>
      <c r="C7" s="11" t="n">
        <v>2027</v>
      </c>
      <c r="D7" s="12" t="s">
        <v>26</v>
      </c>
    </row>
    <row r="9" customFormat="false" ht="16.4" hidden="false" customHeight="false" outlineLevel="0" collapsed="false">
      <c r="B9" s="13" t="s">
        <v>27</v>
      </c>
    </row>
    <row r="10" customFormat="false" ht="15" hidden="false" customHeight="false" outlineLevel="0" collapsed="false">
      <c r="B10" s="14" t="s">
        <v>28</v>
      </c>
      <c r="C10" s="15" t="s">
        <v>29</v>
      </c>
    </row>
    <row r="11" customFormat="false" ht="15" hidden="false" customHeight="false" outlineLevel="0" collapsed="false">
      <c r="B11" s="16" t="s">
        <v>30</v>
      </c>
      <c r="C11" s="1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8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3" min="12" style="0" width="13"/>
    <col collapsed="false" customWidth="true" hidden="false" outlineLevel="0" max="15" min="14" style="0" width="9"/>
    <col collapsed="false" customWidth="true" hidden="false" outlineLevel="0" max="16" min="16" style="0" width="11"/>
    <col collapsed="false" customWidth="true" hidden="false" outlineLevel="0" max="18" min="17" style="0" width="13"/>
    <col collapsed="false" customWidth="true" hidden="false" outlineLevel="0" max="19" min="19" style="0" width="12"/>
    <col collapsed="false" customWidth="true" hidden="false" outlineLevel="0" max="20" min="20" style="0" width="10"/>
    <col collapsed="false" customWidth="true" hidden="false" outlineLevel="0" max="21" min="21" style="0" width="9"/>
    <col collapsed="false" customWidth="true" hidden="false" outlineLevel="0" max="22" min="22" style="0" width="13"/>
    <col collapsed="false" customWidth="true" hidden="false" outlineLevel="0" max="23" min="23" style="0" width="26"/>
    <col collapsed="false" customWidth="true" hidden="false" outlineLevel="0" max="24" min="24" style="0" width="15"/>
    <col collapsed="false" customWidth="true" hidden="false" outlineLevel="0" max="25" min="25" style="0" width="9"/>
    <col collapsed="false" customWidth="true" hidden="false" outlineLevel="0" max="26" min="26" style="0" width="24"/>
  </cols>
  <sheetData>
    <row r="1" customFormat="false" ht="19.4" hidden="false" customHeight="false" outlineLevel="0" collapsed="false">
      <c r="A1" s="17" t="s">
        <v>32</v>
      </c>
    </row>
    <row r="2" customFormat="false" ht="15" hidden="false" customHeight="false" outlineLevel="0" collapsed="false">
      <c r="A2" s="18" t="s">
        <v>33</v>
      </c>
      <c r="B2" s="19" t="n">
        <f aca="false">기준정보!$C$4</f>
        <v>46242</v>
      </c>
      <c r="C2" s="18" t="s">
        <v>34</v>
      </c>
      <c r="D2" s="20" t="str">
        <f aca="false">"입고 "&amp;기준정보!$C$5&amp;"일 + 소재 "&amp;기준정보!$C$6&amp;"일"</f>
        <v>입고 14일 + 소재 90일</v>
      </c>
      <c r="G2" s="21" t="s">
        <v>35</v>
      </c>
    </row>
    <row r="4" customFormat="false" ht="39.55" hidden="false" customHeight="false" outlineLevel="0" collapsed="false">
      <c r="A4" s="22" t="s">
        <v>36</v>
      </c>
      <c r="B4" s="22" t="s">
        <v>37</v>
      </c>
      <c r="C4" s="22" t="s">
        <v>38</v>
      </c>
      <c r="D4" s="22" t="s">
        <v>39</v>
      </c>
      <c r="E4" s="23" t="s">
        <v>40</v>
      </c>
      <c r="F4" s="23" t="s">
        <v>41</v>
      </c>
      <c r="G4" s="23" t="s">
        <v>42</v>
      </c>
      <c r="H4" s="23" t="s">
        <v>43</v>
      </c>
      <c r="I4" s="23" t="s">
        <v>44</v>
      </c>
      <c r="J4" s="23" t="s">
        <v>45</v>
      </c>
      <c r="K4" s="23" t="s">
        <v>46</v>
      </c>
      <c r="L4" s="23" t="s">
        <v>47</v>
      </c>
      <c r="M4" s="23" t="s">
        <v>48</v>
      </c>
      <c r="N4" s="23" t="s">
        <v>49</v>
      </c>
      <c r="O4" s="23" t="s">
        <v>50</v>
      </c>
      <c r="P4" s="23" t="s">
        <v>51</v>
      </c>
      <c r="Q4" s="23" t="s">
        <v>52</v>
      </c>
      <c r="R4" s="23" t="s">
        <v>53</v>
      </c>
      <c r="S4" s="23" t="s">
        <v>54</v>
      </c>
      <c r="T4" s="23" t="s">
        <v>55</v>
      </c>
      <c r="U4" s="23" t="s">
        <v>56</v>
      </c>
      <c r="V4" s="23" t="s">
        <v>57</v>
      </c>
      <c r="W4" s="23" t="s">
        <v>58</v>
      </c>
      <c r="X4" s="23" t="s">
        <v>59</v>
      </c>
      <c r="Y4" s="23" t="s">
        <v>60</v>
      </c>
      <c r="Z4" s="23" t="s">
        <v>61</v>
      </c>
    </row>
    <row r="5" customFormat="false" ht="15" hidden="false" customHeight="false" outlineLevel="0" collapsed="false">
      <c r="A5" s="24" t="n">
        <v>1</v>
      </c>
      <c r="B5" s="25" t="s">
        <v>62</v>
      </c>
      <c r="C5" s="25" t="s">
        <v>63</v>
      </c>
      <c r="D5" s="26" t="s">
        <v>64</v>
      </c>
      <c r="E5" s="25" t="s">
        <v>65</v>
      </c>
      <c r="F5" s="26" t="s">
        <v>66</v>
      </c>
      <c r="G5" s="24" t="str">
        <f aca="false">IF($D5="","",IF(MID($D5,5,1)="S","S(봄)",IF(MID($D5,5,1)="M","M(여름)",IF(MID($D5,5,1)="X","X(사계절)",MID($D5,5,1)))))</f>
        <v>S(봄)</v>
      </c>
      <c r="H5" s="25" t="s">
        <v>67</v>
      </c>
      <c r="I5" s="24" t="s">
        <v>68</v>
      </c>
      <c r="J5" s="27" t="s">
        <v>69</v>
      </c>
      <c r="K5" s="28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8" t="n">
        <f aca="false">IF($K5="","",$K5-기준정보!$C$5)</f>
        <v>46381</v>
      </c>
      <c r="M5" s="28" t="n">
        <f aca="false">IF($L5="","",$L5-기준정보!$C$6)</f>
        <v>46291</v>
      </c>
      <c r="N5" s="29" t="n">
        <f aca="false">IF($M5="","",$M5-기준정보!$C$4)</f>
        <v>49</v>
      </c>
      <c r="O5" s="27" t="s">
        <v>70</v>
      </c>
      <c r="P5" s="27" t="s">
        <v>71</v>
      </c>
      <c r="Q5" s="30"/>
      <c r="R5" s="26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S5" s="25" t="s">
        <v>72</v>
      </c>
      <c r="T5" s="25" t="s">
        <v>73</v>
      </c>
      <c r="U5" s="31" t="n">
        <v>190</v>
      </c>
      <c r="V5" s="26"/>
      <c r="W5" s="26" t="str">
        <f aca="false">IF($K5="","출고일 미정",IF($O5="X","작지 미발행",IF($O5="부분","작지 일부 미발행",IF(AND($Q5&lt;&gt;"",$Q5&gt;$M5),"소재입고 마감("&amp;TEXT($M5,"MM/DD")&amp;") 초과",IF($O5="","발행여부 확인 필요",IF($Q5="","소재 입고일정 확인 필요","정상"))))))</f>
        <v>소재 입고일정 확인 필요</v>
      </c>
      <c r="X5" s="24" t="str">
        <f aca="false">IF($K5="","",IF(OR(LEFT($W5,2)="작지",LEFT($W5,4)="소재입고"),IF(LEFT($G5,1)="S","★ 납기위험(S코드)","◆ 지연주의"),IF($W5="정상","✓ 정상","? 확인필요")))</f>
        <v>? 확인필요</v>
      </c>
      <c r="Y5" s="27"/>
      <c r="Z5" s="32"/>
    </row>
    <row r="6" customFormat="false" ht="15" hidden="false" customHeight="false" outlineLevel="0" collapsed="false">
      <c r="A6" s="24" t="n">
        <v>2</v>
      </c>
      <c r="B6" s="25" t="s">
        <v>62</v>
      </c>
      <c r="C6" s="25" t="s">
        <v>63</v>
      </c>
      <c r="D6" s="26" t="s">
        <v>74</v>
      </c>
      <c r="E6" s="25" t="s">
        <v>75</v>
      </c>
      <c r="F6" s="26" t="s">
        <v>76</v>
      </c>
      <c r="G6" s="24" t="str">
        <f aca="false">IF($D6="","",IF(MID($D6,5,1)="S","S(봄)",IF(MID($D6,5,1)="M","M(여름)",IF(MID($D6,5,1)="X","X(사계절)",MID($D6,5,1)))))</f>
        <v>S(봄)</v>
      </c>
      <c r="H6" s="25" t="s">
        <v>67</v>
      </c>
      <c r="I6" s="24" t="s">
        <v>68</v>
      </c>
      <c r="J6" s="27" t="s">
        <v>69</v>
      </c>
      <c r="K6" s="28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8" t="n">
        <f aca="false">IF($K6="","",$K6-기준정보!$C$5)</f>
        <v>46381</v>
      </c>
      <c r="M6" s="28" t="n">
        <f aca="false">IF($L6="","",$L6-기준정보!$C$6)</f>
        <v>46291</v>
      </c>
      <c r="N6" s="29" t="n">
        <f aca="false">IF($M6="","",$M6-기준정보!$C$4)</f>
        <v>49</v>
      </c>
      <c r="O6" s="27" t="s">
        <v>70</v>
      </c>
      <c r="P6" s="27" t="s">
        <v>71</v>
      </c>
      <c r="Q6" s="30"/>
      <c r="R6" s="26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S6" s="25" t="s">
        <v>77</v>
      </c>
      <c r="T6" s="25" t="s">
        <v>78</v>
      </c>
      <c r="U6" s="31" t="n">
        <v>550</v>
      </c>
      <c r="V6" s="26"/>
      <c r="W6" s="26" t="str">
        <f aca="false">IF($K6="","출고일 미정",IF($O6="X","작지 미발행",IF($O6="부분","작지 일부 미발행",IF(AND($Q6&lt;&gt;"",$Q6&gt;$M6),"소재입고 마감("&amp;TEXT($M6,"MM/DD")&amp;") 초과",IF($O6="","발행여부 확인 필요",IF($Q6="","소재 입고일정 확인 필요","정상"))))))</f>
        <v>소재 입고일정 확인 필요</v>
      </c>
      <c r="X6" s="24" t="str">
        <f aca="false">IF($K6="","",IF(OR(LEFT($W6,2)="작지",LEFT($W6,4)="소재입고"),IF(LEFT($G6,1)="S","★ 납기위험(S코드)","◆ 지연주의"),IF($W6="정상","✓ 정상","? 확인필요")))</f>
        <v>? 확인필요</v>
      </c>
      <c r="Y6" s="27"/>
      <c r="Z6" s="32"/>
    </row>
    <row r="7" customFormat="false" ht="15" hidden="false" customHeight="false" outlineLevel="0" collapsed="false">
      <c r="A7" s="24" t="n">
        <v>3</v>
      </c>
      <c r="B7" s="25" t="s">
        <v>62</v>
      </c>
      <c r="C7" s="25" t="s">
        <v>63</v>
      </c>
      <c r="D7" s="26" t="s">
        <v>79</v>
      </c>
      <c r="E7" s="25" t="s">
        <v>80</v>
      </c>
      <c r="F7" s="26" t="s">
        <v>66</v>
      </c>
      <c r="G7" s="24" t="str">
        <f aca="false">IF($D7="","",IF(MID($D7,5,1)="S","S(봄)",IF(MID($D7,5,1)="M","M(여름)",IF(MID($D7,5,1)="X","X(사계절)",MID($D7,5,1)))))</f>
        <v>S(봄)</v>
      </c>
      <c r="H7" s="25" t="s">
        <v>67</v>
      </c>
      <c r="I7" s="24" t="s">
        <v>68</v>
      </c>
      <c r="J7" s="27" t="s">
        <v>69</v>
      </c>
      <c r="K7" s="28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8" t="n">
        <f aca="false">IF($K7="","",$K7-기준정보!$C$5)</f>
        <v>46381</v>
      </c>
      <c r="M7" s="28" t="n">
        <f aca="false">IF($L7="","",$L7-기준정보!$C$6)</f>
        <v>46291</v>
      </c>
      <c r="N7" s="29" t="n">
        <f aca="false">IF($M7="","",$M7-기준정보!$C$4)</f>
        <v>49</v>
      </c>
      <c r="O7" s="27" t="s">
        <v>70</v>
      </c>
      <c r="P7" s="27" t="s">
        <v>71</v>
      </c>
      <c r="Q7" s="30"/>
      <c r="R7" s="26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S7" s="25" t="s">
        <v>77</v>
      </c>
      <c r="T7" s="25" t="s">
        <v>78</v>
      </c>
      <c r="U7" s="31" t="n">
        <v>600</v>
      </c>
      <c r="V7" s="26"/>
      <c r="W7" s="26" t="str">
        <f aca="false">IF($K7="","출고일 미정",IF($O7="X","작지 미발행",IF($O7="부분","작지 일부 미발행",IF(AND($Q7&lt;&gt;"",$Q7&gt;$M7),"소재입고 마감("&amp;TEXT($M7,"MM/DD")&amp;") 초과",IF($O7="","발행여부 확인 필요",IF($Q7="","소재 입고일정 확인 필요","정상"))))))</f>
        <v>소재 입고일정 확인 필요</v>
      </c>
      <c r="X7" s="24" t="str">
        <f aca="false">IF($K7="","",IF(OR(LEFT($W7,2)="작지",LEFT($W7,4)="소재입고"),IF(LEFT($G7,1)="S","★ 납기위험(S코드)","◆ 지연주의"),IF($W7="정상","✓ 정상","? 확인필요")))</f>
        <v>? 확인필요</v>
      </c>
      <c r="Y7" s="27"/>
      <c r="Z7" s="32"/>
    </row>
    <row r="8" customFormat="false" ht="15" hidden="false" customHeight="false" outlineLevel="0" collapsed="false">
      <c r="A8" s="24" t="n">
        <v>4</v>
      </c>
      <c r="B8" s="25" t="s">
        <v>62</v>
      </c>
      <c r="C8" s="25" t="s">
        <v>81</v>
      </c>
      <c r="D8" s="26" t="s">
        <v>82</v>
      </c>
      <c r="E8" s="25" t="s">
        <v>83</v>
      </c>
      <c r="F8" s="26" t="s">
        <v>84</v>
      </c>
      <c r="G8" s="24" t="str">
        <f aca="false">IF($D8="","",IF(MID($D8,5,1)="S","S(봄)",IF(MID($D8,5,1)="M","M(여름)",IF(MID($D8,5,1)="X","X(사계절)",MID($D8,5,1)))))</f>
        <v>S(봄)</v>
      </c>
      <c r="H8" s="25" t="s">
        <v>67</v>
      </c>
      <c r="I8" s="24" t="s">
        <v>68</v>
      </c>
      <c r="J8" s="27" t="s">
        <v>69</v>
      </c>
      <c r="K8" s="28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8" t="n">
        <f aca="false">IF($K8="","",$K8-기준정보!$C$5)</f>
        <v>46381</v>
      </c>
      <c r="M8" s="28" t="n">
        <f aca="false">IF($L8="","",$L8-기준정보!$C$6)</f>
        <v>46291</v>
      </c>
      <c r="N8" s="29" t="n">
        <f aca="false">IF($M8="","",$M8-기준정보!$C$4)</f>
        <v>49</v>
      </c>
      <c r="O8" s="27" t="s">
        <v>70</v>
      </c>
      <c r="P8" s="27" t="s">
        <v>70</v>
      </c>
      <c r="Q8" s="30"/>
      <c r="R8" s="26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S8" s="25" t="s">
        <v>77</v>
      </c>
      <c r="T8" s="25" t="s">
        <v>78</v>
      </c>
      <c r="U8" s="31" t="n">
        <v>400</v>
      </c>
      <c r="V8" s="26"/>
      <c r="W8" s="26" t="str">
        <f aca="false">IF($K8="","출고일 미정",IF($O8="X","작지 미발행",IF($O8="부분","작지 일부 미발행",IF(AND($Q8&lt;&gt;"",$Q8&gt;$M8),"소재입고 마감("&amp;TEXT($M8,"MM/DD")&amp;") 초과",IF($O8="","발행여부 확인 필요",IF($Q8="","소재 입고일정 확인 필요","정상"))))))</f>
        <v>소재 입고일정 확인 필요</v>
      </c>
      <c r="X8" s="24" t="str">
        <f aca="false">IF($K8="","",IF(OR(LEFT($W8,2)="작지",LEFT($W8,4)="소재입고"),IF(LEFT($G8,1)="S","★ 납기위험(S코드)","◆ 지연주의"),IF($W8="정상","✓ 정상","? 확인필요")))</f>
        <v>? 확인필요</v>
      </c>
      <c r="Y8" s="27"/>
      <c r="Z8" s="32"/>
    </row>
    <row r="9" customFormat="false" ht="15" hidden="false" customHeight="false" outlineLevel="0" collapsed="false">
      <c r="A9" s="24" t="n">
        <v>5</v>
      </c>
      <c r="B9" s="25" t="s">
        <v>62</v>
      </c>
      <c r="C9" s="25" t="s">
        <v>81</v>
      </c>
      <c r="D9" s="26" t="s">
        <v>85</v>
      </c>
      <c r="E9" s="25" t="s">
        <v>86</v>
      </c>
      <c r="F9" s="26" t="s">
        <v>76</v>
      </c>
      <c r="G9" s="24" t="str">
        <f aca="false">IF($D9="","",IF(MID($D9,5,1)="S","S(봄)",IF(MID($D9,5,1)="M","M(여름)",IF(MID($D9,5,1)="X","X(사계절)",MID($D9,5,1)))))</f>
        <v>S(봄)</v>
      </c>
      <c r="H9" s="25" t="s">
        <v>67</v>
      </c>
      <c r="I9" s="24" t="s">
        <v>68</v>
      </c>
      <c r="J9" s="27" t="s">
        <v>69</v>
      </c>
      <c r="K9" s="28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8" t="n">
        <f aca="false">IF($K9="","",$K9-기준정보!$C$5)</f>
        <v>46381</v>
      </c>
      <c r="M9" s="28" t="n">
        <f aca="false">IF($L9="","",$L9-기준정보!$C$6)</f>
        <v>46291</v>
      </c>
      <c r="N9" s="29" t="n">
        <f aca="false">IF($M9="","",$M9-기준정보!$C$4)</f>
        <v>49</v>
      </c>
      <c r="O9" s="27" t="s">
        <v>70</v>
      </c>
      <c r="P9" s="27" t="s">
        <v>71</v>
      </c>
      <c r="Q9" s="30"/>
      <c r="R9" s="26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S9" s="25" t="s">
        <v>87</v>
      </c>
      <c r="T9" s="25" t="s">
        <v>73</v>
      </c>
      <c r="U9" s="31" t="n">
        <v>350</v>
      </c>
      <c r="V9" s="26"/>
      <c r="W9" s="26" t="str">
        <f aca="false">IF($K9="","출고일 미정",IF($O9="X","작지 미발행",IF($O9="부분","작지 일부 미발행",IF(AND($Q9&lt;&gt;"",$Q9&gt;$M9),"소재입고 마감("&amp;TEXT($M9,"MM/DD")&amp;") 초과",IF($O9="","발행여부 확인 필요",IF($Q9="","소재 입고일정 확인 필요","정상"))))))</f>
        <v>소재 입고일정 확인 필요</v>
      </c>
      <c r="X9" s="24" t="str">
        <f aca="false">IF($K9="","",IF(OR(LEFT($W9,2)="작지",LEFT($W9,4)="소재입고"),IF(LEFT($G9,1)="S","★ 납기위험(S코드)","◆ 지연주의"),IF($W9="정상","✓ 정상","? 확인필요")))</f>
        <v>? 확인필요</v>
      </c>
      <c r="Y9" s="27"/>
      <c r="Z9" s="32"/>
    </row>
    <row r="10" customFormat="false" ht="15" hidden="false" customHeight="false" outlineLevel="0" collapsed="false">
      <c r="A10" s="24" t="n">
        <v>6</v>
      </c>
      <c r="B10" s="25" t="s">
        <v>62</v>
      </c>
      <c r="C10" s="25" t="s">
        <v>81</v>
      </c>
      <c r="D10" s="26" t="s">
        <v>88</v>
      </c>
      <c r="E10" s="25" t="s">
        <v>89</v>
      </c>
      <c r="F10" s="26" t="s">
        <v>90</v>
      </c>
      <c r="G10" s="24" t="str">
        <f aca="false">IF($D10="","",IF(MID($D10,5,1)="S","S(봄)",IF(MID($D10,5,1)="M","M(여름)",IF(MID($D10,5,1)="X","X(사계절)",MID($D10,5,1)))))</f>
        <v>S(봄)</v>
      </c>
      <c r="H10" s="25" t="s">
        <v>67</v>
      </c>
      <c r="I10" s="24" t="s">
        <v>68</v>
      </c>
      <c r="J10" s="27" t="s">
        <v>69</v>
      </c>
      <c r="K10" s="28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8" t="n">
        <f aca="false">IF($K10="","",$K10-기준정보!$C$5)</f>
        <v>46381</v>
      </c>
      <c r="M10" s="28" t="n">
        <f aca="false">IF($L10="","",$L10-기준정보!$C$6)</f>
        <v>46291</v>
      </c>
      <c r="N10" s="29" t="n">
        <f aca="false">IF($M10="","",$M10-기준정보!$C$4)</f>
        <v>49</v>
      </c>
      <c r="O10" s="27" t="s">
        <v>70</v>
      </c>
      <c r="P10" s="27" t="s">
        <v>71</v>
      </c>
      <c r="Q10" s="30"/>
      <c r="R10" s="26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S10" s="25" t="s">
        <v>87</v>
      </c>
      <c r="T10" s="25" t="s">
        <v>73</v>
      </c>
      <c r="U10" s="31" t="n">
        <v>200</v>
      </c>
      <c r="V10" s="26"/>
      <c r="W10" s="26" t="str">
        <f aca="false">IF($K10="","출고일 미정",IF($O10="X","작지 미발행",IF($O10="부분","작지 일부 미발행",IF(AND($Q10&lt;&gt;"",$Q10&gt;$M10),"소재입고 마감("&amp;TEXT($M10,"MM/DD")&amp;") 초과",IF($O10="","발행여부 확인 필요",IF($Q10="","소재 입고일정 확인 필요","정상"))))))</f>
        <v>소재 입고일정 확인 필요</v>
      </c>
      <c r="X10" s="24" t="str">
        <f aca="false">IF($K10="","",IF(OR(LEFT($W10,2)="작지",LEFT($W10,4)="소재입고"),IF(LEFT($G10,1)="S","★ 납기위험(S코드)","◆ 지연주의"),IF($W10="정상","✓ 정상","? 확인필요")))</f>
        <v>? 확인필요</v>
      </c>
      <c r="Y10" s="27"/>
      <c r="Z10" s="32"/>
    </row>
    <row r="11" customFormat="false" ht="15" hidden="false" customHeight="false" outlineLevel="0" collapsed="false">
      <c r="A11" s="24" t="n">
        <v>7</v>
      </c>
      <c r="B11" s="25" t="s">
        <v>62</v>
      </c>
      <c r="C11" s="25" t="s">
        <v>81</v>
      </c>
      <c r="D11" s="26" t="s">
        <v>91</v>
      </c>
      <c r="E11" s="25" t="s">
        <v>92</v>
      </c>
      <c r="F11" s="26" t="s">
        <v>93</v>
      </c>
      <c r="G11" s="24" t="str">
        <f aca="false">IF($D11="","",IF(MID($D11,5,1)="S","S(봄)",IF(MID($D11,5,1)="M","M(여름)",IF(MID($D11,5,1)="X","X(사계절)",MID($D11,5,1)))))</f>
        <v>S(봄)</v>
      </c>
      <c r="H11" s="25" t="s">
        <v>67</v>
      </c>
      <c r="I11" s="24" t="s">
        <v>68</v>
      </c>
      <c r="J11" s="27" t="s">
        <v>69</v>
      </c>
      <c r="K11" s="28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8" t="n">
        <f aca="false">IF($K11="","",$K11-기준정보!$C$5)</f>
        <v>46381</v>
      </c>
      <c r="M11" s="28" t="n">
        <f aca="false">IF($L11="","",$L11-기준정보!$C$6)</f>
        <v>46291</v>
      </c>
      <c r="N11" s="29" t="n">
        <f aca="false">IF($M11="","",$M11-기준정보!$C$4)</f>
        <v>49</v>
      </c>
      <c r="O11" s="27" t="s">
        <v>70</v>
      </c>
      <c r="P11" s="27" t="s">
        <v>71</v>
      </c>
      <c r="Q11" s="30"/>
      <c r="R11" s="26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S11" s="25" t="s">
        <v>94</v>
      </c>
      <c r="T11" s="25" t="s">
        <v>73</v>
      </c>
      <c r="U11" s="31" t="n">
        <v>180</v>
      </c>
      <c r="V11" s="26"/>
      <c r="W11" s="26" t="str">
        <f aca="false">IF($K11="","출고일 미정",IF($O11="X","작지 미발행",IF($O11="부분","작지 일부 미발행",IF(AND($Q11&lt;&gt;"",$Q11&gt;$M11),"소재입고 마감("&amp;TEXT($M11,"MM/DD")&amp;") 초과",IF($O11="","발행여부 확인 필요",IF($Q11="","소재 입고일정 확인 필요","정상"))))))</f>
        <v>소재 입고일정 확인 필요</v>
      </c>
      <c r="X11" s="24" t="str">
        <f aca="false">IF($K11="","",IF(OR(LEFT($W11,2)="작지",LEFT($W11,4)="소재입고"),IF(LEFT($G11,1)="S","★ 납기위험(S코드)","◆ 지연주의"),IF($W11="정상","✓ 정상","? 확인필요")))</f>
        <v>? 확인필요</v>
      </c>
      <c r="Y11" s="27"/>
      <c r="Z11" s="32"/>
    </row>
    <row r="12" customFormat="false" ht="15" hidden="false" customHeight="false" outlineLevel="0" collapsed="false">
      <c r="A12" s="24" t="n">
        <v>8</v>
      </c>
      <c r="B12" s="25" t="s">
        <v>62</v>
      </c>
      <c r="C12" s="25" t="s">
        <v>63</v>
      </c>
      <c r="D12" s="26" t="s">
        <v>95</v>
      </c>
      <c r="E12" s="25" t="s">
        <v>96</v>
      </c>
      <c r="F12" s="26" t="s">
        <v>97</v>
      </c>
      <c r="G12" s="24" t="str">
        <f aca="false">IF($D12="","",IF(MID($D12,5,1)="S","S(봄)",IF(MID($D12,5,1)="M","M(여름)",IF(MID($D12,5,1)="X","X(사계절)",MID($D12,5,1)))))</f>
        <v>S(봄)</v>
      </c>
      <c r="H12" s="25" t="s">
        <v>67</v>
      </c>
      <c r="I12" s="24" t="s">
        <v>68</v>
      </c>
      <c r="J12" s="27" t="s">
        <v>69</v>
      </c>
      <c r="K12" s="28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8" t="n">
        <f aca="false">IF($K12="","",$K12-기준정보!$C$5)</f>
        <v>46381</v>
      </c>
      <c r="M12" s="28" t="n">
        <f aca="false">IF($L12="","",$L12-기준정보!$C$6)</f>
        <v>46291</v>
      </c>
      <c r="N12" s="29" t="n">
        <f aca="false">IF($M12="","",$M12-기준정보!$C$4)</f>
        <v>49</v>
      </c>
      <c r="O12" s="27" t="s">
        <v>70</v>
      </c>
      <c r="P12" s="27" t="s">
        <v>71</v>
      </c>
      <c r="Q12" s="30"/>
      <c r="R12" s="26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S12" s="25" t="s">
        <v>72</v>
      </c>
      <c r="T12" s="25" t="s">
        <v>73</v>
      </c>
      <c r="U12" s="31" t="n">
        <v>250</v>
      </c>
      <c r="V12" s="26"/>
      <c r="W12" s="26" t="str">
        <f aca="false">IF($K12="","출고일 미정",IF($O12="X","작지 미발행",IF($O12="부분","작지 일부 미발행",IF(AND($Q12&lt;&gt;"",$Q12&gt;$M12),"소재입고 마감("&amp;TEXT($M12,"MM/DD")&amp;") 초과",IF($O12="","발행여부 확인 필요",IF($Q12="","소재 입고일정 확인 필요","정상"))))))</f>
        <v>소재 입고일정 확인 필요</v>
      </c>
      <c r="X12" s="24" t="str">
        <f aca="false">IF($K12="","",IF(OR(LEFT($W12,2)="작지",LEFT($W12,4)="소재입고"),IF(LEFT($G12,1)="S","★ 납기위험(S코드)","◆ 지연주의"),IF($W12="정상","✓ 정상","? 확인필요")))</f>
        <v>? 확인필요</v>
      </c>
      <c r="Y12" s="27"/>
      <c r="Z12" s="32"/>
    </row>
    <row r="13" customFormat="false" ht="15" hidden="false" customHeight="false" outlineLevel="0" collapsed="false">
      <c r="A13" s="24" t="n">
        <v>9</v>
      </c>
      <c r="B13" s="25" t="s">
        <v>62</v>
      </c>
      <c r="C13" s="25" t="s">
        <v>63</v>
      </c>
      <c r="D13" s="26" t="s">
        <v>98</v>
      </c>
      <c r="E13" s="25" t="s">
        <v>99</v>
      </c>
      <c r="F13" s="26" t="s">
        <v>90</v>
      </c>
      <c r="G13" s="24" t="str">
        <f aca="false">IF($D13="","",IF(MID($D13,5,1)="S","S(봄)",IF(MID($D13,5,1)="M","M(여름)",IF(MID($D13,5,1)="X","X(사계절)",MID($D13,5,1)))))</f>
        <v>S(봄)</v>
      </c>
      <c r="H13" s="25" t="s">
        <v>67</v>
      </c>
      <c r="I13" s="24" t="s">
        <v>68</v>
      </c>
      <c r="J13" s="27" t="s">
        <v>69</v>
      </c>
      <c r="K13" s="28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8" t="n">
        <f aca="false">IF($K13="","",$K13-기준정보!$C$5)</f>
        <v>46381</v>
      </c>
      <c r="M13" s="28" t="n">
        <f aca="false">IF($L13="","",$L13-기준정보!$C$6)</f>
        <v>46291</v>
      </c>
      <c r="N13" s="29" t="n">
        <f aca="false">IF($M13="","",$M13-기준정보!$C$4)</f>
        <v>49</v>
      </c>
      <c r="O13" s="27" t="s">
        <v>70</v>
      </c>
      <c r="P13" s="27" t="s">
        <v>71</v>
      </c>
      <c r="Q13" s="30"/>
      <c r="R13" s="26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S13" s="25" t="s">
        <v>77</v>
      </c>
      <c r="T13" s="25" t="s">
        <v>78</v>
      </c>
      <c r="U13" s="31" t="n">
        <v>2350</v>
      </c>
      <c r="V13" s="26"/>
      <c r="W13" s="26" t="str">
        <f aca="false">IF($K13="","출고일 미정",IF($O13="X","작지 미발행",IF($O13="부분","작지 일부 미발행",IF(AND($Q13&lt;&gt;"",$Q13&gt;$M13),"소재입고 마감("&amp;TEXT($M13,"MM/DD")&amp;") 초과",IF($O13="","발행여부 확인 필요",IF($Q13="","소재 입고일정 확인 필요","정상"))))))</f>
        <v>소재 입고일정 확인 필요</v>
      </c>
      <c r="X13" s="24" t="str">
        <f aca="false">IF($K13="","",IF(OR(LEFT($W13,2)="작지",LEFT($W13,4)="소재입고"),IF(LEFT($G13,1)="S","★ 납기위험(S코드)","◆ 지연주의"),IF($W13="정상","✓ 정상","? 확인필요")))</f>
        <v>? 확인필요</v>
      </c>
      <c r="Y13" s="27"/>
      <c r="Z13" s="32"/>
    </row>
    <row r="14" customFormat="false" ht="15" hidden="false" customHeight="false" outlineLevel="0" collapsed="false">
      <c r="A14" s="24" t="n">
        <v>10</v>
      </c>
      <c r="B14" s="25" t="s">
        <v>62</v>
      </c>
      <c r="C14" s="25" t="s">
        <v>63</v>
      </c>
      <c r="D14" s="26" t="s">
        <v>100</v>
      </c>
      <c r="E14" s="25" t="s">
        <v>101</v>
      </c>
      <c r="F14" s="26" t="s">
        <v>102</v>
      </c>
      <c r="G14" s="24" t="str">
        <f aca="false">IF($D14="","",IF(MID($D14,5,1)="S","S(봄)",IF(MID($D14,5,1)="M","M(여름)",IF(MID($D14,5,1)="X","X(사계절)",MID($D14,5,1)))))</f>
        <v>S(봄)</v>
      </c>
      <c r="H14" s="25" t="s">
        <v>67</v>
      </c>
      <c r="I14" s="24" t="s">
        <v>68</v>
      </c>
      <c r="J14" s="27" t="s">
        <v>69</v>
      </c>
      <c r="K14" s="28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8" t="n">
        <f aca="false">IF($K14="","",$K14-기준정보!$C$5)</f>
        <v>46381</v>
      </c>
      <c r="M14" s="28" t="n">
        <f aca="false">IF($L14="","",$L14-기준정보!$C$6)</f>
        <v>46291</v>
      </c>
      <c r="N14" s="29" t="n">
        <f aca="false">IF($M14="","",$M14-기준정보!$C$4)</f>
        <v>49</v>
      </c>
      <c r="O14" s="27" t="s">
        <v>70</v>
      </c>
      <c r="P14" s="27" t="s">
        <v>71</v>
      </c>
      <c r="Q14" s="30"/>
      <c r="R14" s="26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S14" s="25" t="s">
        <v>77</v>
      </c>
      <c r="T14" s="25" t="s">
        <v>78</v>
      </c>
      <c r="U14" s="31" t="n">
        <v>2250</v>
      </c>
      <c r="V14" s="26"/>
      <c r="W14" s="26" t="str">
        <f aca="false">IF($K14="","출고일 미정",IF($O14="X","작지 미발행",IF($O14="부분","작지 일부 미발행",IF(AND($Q14&lt;&gt;"",$Q14&gt;$M14),"소재입고 마감("&amp;TEXT($M14,"MM/DD")&amp;") 초과",IF($O14="","발행여부 확인 필요",IF($Q14="","소재 입고일정 확인 필요","정상"))))))</f>
        <v>소재 입고일정 확인 필요</v>
      </c>
      <c r="X14" s="24" t="str">
        <f aca="false">IF($K14="","",IF(OR(LEFT($W14,2)="작지",LEFT($W14,4)="소재입고"),IF(LEFT($G14,1)="S","★ 납기위험(S코드)","◆ 지연주의"),IF($W14="정상","✓ 정상","? 확인필요")))</f>
        <v>? 확인필요</v>
      </c>
      <c r="Y14" s="27"/>
      <c r="Z14" s="32"/>
    </row>
    <row r="15" customFormat="false" ht="15" hidden="false" customHeight="false" outlineLevel="0" collapsed="false">
      <c r="A15" s="24" t="n">
        <v>11</v>
      </c>
      <c r="B15" s="25" t="s">
        <v>62</v>
      </c>
      <c r="C15" s="25" t="s">
        <v>81</v>
      </c>
      <c r="D15" s="26" t="s">
        <v>103</v>
      </c>
      <c r="E15" s="25" t="s">
        <v>104</v>
      </c>
      <c r="F15" s="26" t="s">
        <v>102</v>
      </c>
      <c r="G15" s="24" t="str">
        <f aca="false">IF($D15="","",IF(MID($D15,5,1)="S","S(봄)",IF(MID($D15,5,1)="M","M(여름)",IF(MID($D15,5,1)="X","X(사계절)",MID($D15,5,1)))))</f>
        <v>S(봄)</v>
      </c>
      <c r="H15" s="25" t="s">
        <v>67</v>
      </c>
      <c r="I15" s="24" t="s">
        <v>68</v>
      </c>
      <c r="J15" s="27" t="s">
        <v>69</v>
      </c>
      <c r="K15" s="28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8" t="n">
        <f aca="false">IF($K15="","",$K15-기준정보!$C$5)</f>
        <v>46381</v>
      </c>
      <c r="M15" s="28" t="n">
        <f aca="false">IF($L15="","",$L15-기준정보!$C$6)</f>
        <v>46291</v>
      </c>
      <c r="N15" s="29" t="n">
        <f aca="false">IF($M15="","",$M15-기준정보!$C$4)</f>
        <v>49</v>
      </c>
      <c r="O15" s="27" t="s">
        <v>70</v>
      </c>
      <c r="P15" s="27" t="s">
        <v>71</v>
      </c>
      <c r="Q15" s="30"/>
      <c r="R15" s="26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S15" s="25" t="s">
        <v>77</v>
      </c>
      <c r="T15" s="25" t="s">
        <v>78</v>
      </c>
      <c r="U15" s="31" t="n">
        <v>3000</v>
      </c>
      <c r="V15" s="26"/>
      <c r="W15" s="26" t="str">
        <f aca="false">IF($K15="","출고일 미정",IF($O15="X","작지 미발행",IF($O15="부분","작지 일부 미발행",IF(AND($Q15&lt;&gt;"",$Q15&gt;$M15),"소재입고 마감("&amp;TEXT($M15,"MM/DD")&amp;") 초과",IF($O15="","발행여부 확인 필요",IF($Q15="","소재 입고일정 확인 필요","정상"))))))</f>
        <v>소재 입고일정 확인 필요</v>
      </c>
      <c r="X15" s="24" t="str">
        <f aca="false">IF($K15="","",IF(OR(LEFT($W15,2)="작지",LEFT($W15,4)="소재입고"),IF(LEFT($G15,1)="S","★ 납기위험(S코드)","◆ 지연주의"),IF($W15="정상","✓ 정상","? 확인필요")))</f>
        <v>? 확인필요</v>
      </c>
      <c r="Y15" s="27"/>
      <c r="Z15" s="32"/>
    </row>
    <row r="16" customFormat="false" ht="15" hidden="false" customHeight="false" outlineLevel="0" collapsed="false">
      <c r="A16" s="24" t="n">
        <v>12</v>
      </c>
      <c r="B16" s="25" t="s">
        <v>62</v>
      </c>
      <c r="C16" s="25" t="s">
        <v>81</v>
      </c>
      <c r="D16" s="26" t="s">
        <v>105</v>
      </c>
      <c r="E16" s="25" t="s">
        <v>106</v>
      </c>
      <c r="F16" s="26" t="s">
        <v>107</v>
      </c>
      <c r="G16" s="24" t="str">
        <f aca="false">IF($D16="","",IF(MID($D16,5,1)="S","S(봄)",IF(MID($D16,5,1)="M","M(여름)",IF(MID($D16,5,1)="X","X(사계절)",MID($D16,5,1)))))</f>
        <v>S(봄)</v>
      </c>
      <c r="H16" s="25" t="s">
        <v>67</v>
      </c>
      <c r="I16" s="24" t="s">
        <v>68</v>
      </c>
      <c r="J16" s="27" t="s">
        <v>69</v>
      </c>
      <c r="K16" s="28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8" t="n">
        <f aca="false">IF($K16="","",$K16-기준정보!$C$5)</f>
        <v>46381</v>
      </c>
      <c r="M16" s="28" t="n">
        <f aca="false">IF($L16="","",$L16-기준정보!$C$6)</f>
        <v>46291</v>
      </c>
      <c r="N16" s="29" t="n">
        <f aca="false">IF($M16="","",$M16-기준정보!$C$4)</f>
        <v>49</v>
      </c>
      <c r="O16" s="27" t="s">
        <v>70</v>
      </c>
      <c r="P16" s="27" t="s">
        <v>71</v>
      </c>
      <c r="Q16" s="30"/>
      <c r="R16" s="26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S16" s="25" t="s">
        <v>87</v>
      </c>
      <c r="T16" s="25" t="s">
        <v>73</v>
      </c>
      <c r="U16" s="31" t="n">
        <v>1100</v>
      </c>
      <c r="V16" s="26"/>
      <c r="W16" s="26" t="str">
        <f aca="false">IF($K16="","출고일 미정",IF($O16="X","작지 미발행",IF($O16="부분","작지 일부 미발행",IF(AND($Q16&lt;&gt;"",$Q16&gt;$M16),"소재입고 마감("&amp;TEXT($M16,"MM/DD")&amp;") 초과",IF($O16="","발행여부 확인 필요",IF($Q16="","소재 입고일정 확인 필요","정상"))))))</f>
        <v>소재 입고일정 확인 필요</v>
      </c>
      <c r="X16" s="24" t="str">
        <f aca="false">IF($K16="","",IF(OR(LEFT($W16,2)="작지",LEFT($W16,4)="소재입고"),IF(LEFT($G16,1)="S","★ 납기위험(S코드)","◆ 지연주의"),IF($W16="정상","✓ 정상","? 확인필요")))</f>
        <v>? 확인필요</v>
      </c>
      <c r="Y16" s="27"/>
      <c r="Z16" s="32"/>
    </row>
    <row r="17" customFormat="false" ht="15" hidden="false" customHeight="false" outlineLevel="0" collapsed="false">
      <c r="A17" s="24" t="n">
        <v>13</v>
      </c>
      <c r="B17" s="25" t="s">
        <v>62</v>
      </c>
      <c r="C17" s="25" t="s">
        <v>81</v>
      </c>
      <c r="D17" s="26" t="s">
        <v>108</v>
      </c>
      <c r="E17" s="25" t="s">
        <v>109</v>
      </c>
      <c r="F17" s="26" t="s">
        <v>93</v>
      </c>
      <c r="G17" s="24" t="str">
        <f aca="false">IF($D17="","",IF(MID($D17,5,1)="S","S(봄)",IF(MID($D17,5,1)="M","M(여름)",IF(MID($D17,5,1)="X","X(사계절)",MID($D17,5,1)))))</f>
        <v>S(봄)</v>
      </c>
      <c r="H17" s="25" t="s">
        <v>67</v>
      </c>
      <c r="I17" s="24" t="s">
        <v>68</v>
      </c>
      <c r="J17" s="27" t="s">
        <v>69</v>
      </c>
      <c r="K17" s="28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8" t="n">
        <f aca="false">IF($K17="","",$K17-기준정보!$C$5)</f>
        <v>46381</v>
      </c>
      <c r="M17" s="28" t="n">
        <f aca="false">IF($L17="","",$L17-기준정보!$C$6)</f>
        <v>46291</v>
      </c>
      <c r="N17" s="29" t="n">
        <f aca="false">IF($M17="","",$M17-기준정보!$C$4)</f>
        <v>49</v>
      </c>
      <c r="O17" s="27" t="s">
        <v>70</v>
      </c>
      <c r="P17" s="27" t="s">
        <v>71</v>
      </c>
      <c r="Q17" s="30"/>
      <c r="R17" s="26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S17" s="25" t="s">
        <v>87</v>
      </c>
      <c r="T17" s="25" t="s">
        <v>73</v>
      </c>
      <c r="U17" s="31" t="n">
        <v>300</v>
      </c>
      <c r="V17" s="26"/>
      <c r="W17" s="26" t="str">
        <f aca="false">IF($K17="","출고일 미정",IF($O17="X","작지 미발행",IF($O17="부분","작지 일부 미발행",IF(AND($Q17&lt;&gt;"",$Q17&gt;$M17),"소재입고 마감("&amp;TEXT($M17,"MM/DD")&amp;") 초과",IF($O17="","발행여부 확인 필요",IF($Q17="","소재 입고일정 확인 필요","정상"))))))</f>
        <v>소재 입고일정 확인 필요</v>
      </c>
      <c r="X17" s="24" t="str">
        <f aca="false">IF($K17="","",IF(OR(LEFT($W17,2)="작지",LEFT($W17,4)="소재입고"),IF(LEFT($G17,1)="S","★ 납기위험(S코드)","◆ 지연주의"),IF($W17="정상","✓ 정상","? 확인필요")))</f>
        <v>? 확인필요</v>
      </c>
      <c r="Y17" s="27"/>
      <c r="Z17" s="32"/>
    </row>
    <row r="18" customFormat="false" ht="15" hidden="false" customHeight="false" outlineLevel="0" collapsed="false">
      <c r="A18" s="24" t="n">
        <v>14</v>
      </c>
      <c r="B18" s="25" t="s">
        <v>62</v>
      </c>
      <c r="C18" s="25" t="s">
        <v>81</v>
      </c>
      <c r="D18" s="26" t="s">
        <v>110</v>
      </c>
      <c r="E18" s="25" t="s">
        <v>111</v>
      </c>
      <c r="F18" s="26" t="s">
        <v>102</v>
      </c>
      <c r="G18" s="24" t="str">
        <f aca="false">IF($D18="","",IF(MID($D18,5,1)="S","S(봄)",IF(MID($D18,5,1)="M","M(여름)",IF(MID($D18,5,1)="X","X(사계절)",MID($D18,5,1)))))</f>
        <v>S(봄)</v>
      </c>
      <c r="H18" s="25" t="s">
        <v>67</v>
      </c>
      <c r="I18" s="24" t="s">
        <v>68</v>
      </c>
      <c r="J18" s="27" t="s">
        <v>69</v>
      </c>
      <c r="K18" s="28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8" t="n">
        <f aca="false">IF($K18="","",$K18-기준정보!$C$5)</f>
        <v>46381</v>
      </c>
      <c r="M18" s="28" t="n">
        <f aca="false">IF($L18="","",$L18-기준정보!$C$6)</f>
        <v>46291</v>
      </c>
      <c r="N18" s="29" t="n">
        <f aca="false">IF($M18="","",$M18-기준정보!$C$4)</f>
        <v>49</v>
      </c>
      <c r="O18" s="27" t="s">
        <v>70</v>
      </c>
      <c r="P18" s="27" t="s">
        <v>71</v>
      </c>
      <c r="Q18" s="30"/>
      <c r="R18" s="26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S18" s="25" t="s">
        <v>94</v>
      </c>
      <c r="T18" s="25" t="s">
        <v>73</v>
      </c>
      <c r="U18" s="31" t="n">
        <v>300</v>
      </c>
      <c r="V18" s="26"/>
      <c r="W18" s="26" t="str">
        <f aca="false">IF($K18="","출고일 미정",IF($O18="X","작지 미발행",IF($O18="부분","작지 일부 미발행",IF(AND($Q18&lt;&gt;"",$Q18&gt;$M18),"소재입고 마감("&amp;TEXT($M18,"MM/DD")&amp;") 초과",IF($O18="","발행여부 확인 필요",IF($Q18="","소재 입고일정 확인 필요","정상"))))))</f>
        <v>소재 입고일정 확인 필요</v>
      </c>
      <c r="X18" s="24" t="str">
        <f aca="false">IF($K18="","",IF(OR(LEFT($W18,2)="작지",LEFT($W18,4)="소재입고"),IF(LEFT($G18,1)="S","★ 납기위험(S코드)","◆ 지연주의"),IF($W18="정상","✓ 정상","? 확인필요")))</f>
        <v>? 확인필요</v>
      </c>
      <c r="Y18" s="27"/>
      <c r="Z18" s="32"/>
    </row>
    <row r="19" customFormat="false" ht="15" hidden="false" customHeight="false" outlineLevel="0" collapsed="false">
      <c r="A19" s="24" t="n">
        <v>15</v>
      </c>
      <c r="B19" s="25" t="s">
        <v>112</v>
      </c>
      <c r="C19" s="25" t="s">
        <v>113</v>
      </c>
      <c r="D19" s="26" t="s">
        <v>114</v>
      </c>
      <c r="E19" s="25" t="s">
        <v>115</v>
      </c>
      <c r="F19" s="26" t="s">
        <v>116</v>
      </c>
      <c r="G19" s="24" t="str">
        <f aca="false">IF($D19="","",IF(MID($D19,5,1)="S","S(봄)",IF(MID($D19,5,1)="M","M(여름)",IF(MID($D19,5,1)="X","X(사계절)",MID($D19,5,1)))))</f>
        <v>S(봄)</v>
      </c>
      <c r="H19" s="26" t="s">
        <v>117</v>
      </c>
      <c r="I19" s="24"/>
      <c r="J19" s="27" t="s">
        <v>69</v>
      </c>
      <c r="K19" s="28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8" t="n">
        <f aca="false">IF($K19="","",$K19-기준정보!$C$5)</f>
        <v>46381</v>
      </c>
      <c r="M19" s="28" t="n">
        <f aca="false">IF($L19="","",$L19-기준정보!$C$6)</f>
        <v>46291</v>
      </c>
      <c r="N19" s="29" t="n">
        <f aca="false">IF($M19="","",$M19-기준정보!$C$4)</f>
        <v>49</v>
      </c>
      <c r="O19" s="27" t="s">
        <v>70</v>
      </c>
      <c r="P19" s="27" t="s">
        <v>71</v>
      </c>
      <c r="Q19" s="30"/>
      <c r="R19" s="26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S19" s="26" t="s">
        <v>118</v>
      </c>
      <c r="T19" s="25" t="s">
        <v>119</v>
      </c>
      <c r="U19" s="31" t="n">
        <v>8000</v>
      </c>
      <c r="V19" s="26"/>
      <c r="W19" s="26" t="str">
        <f aca="false">IF($K19="","출고일 미정",IF($O19="X","작지 미발행",IF($O19="부분","작지 일부 미발행",IF(AND($Q19&lt;&gt;"",$Q19&gt;$M19),"소재입고 마감("&amp;TEXT($M19,"MM/DD")&amp;") 초과",IF($O19="","발행여부 확인 필요",IF($Q19="","소재 입고일정 확인 필요","정상"))))))</f>
        <v>소재 입고일정 확인 필요</v>
      </c>
      <c r="X19" s="24" t="str">
        <f aca="false">IF($K19="","",IF(OR(LEFT($W19,2)="작지",LEFT($W19,4)="소재입고"),IF(LEFT($G19,1)="S","★ 납기위험(S코드)","◆ 지연주의"),IF($W19="정상","✓ 정상","? 확인필요")))</f>
        <v>? 확인필요</v>
      </c>
      <c r="Y19" s="27"/>
      <c r="Z19" s="32"/>
    </row>
    <row r="20" customFormat="false" ht="15" hidden="false" customHeight="false" outlineLevel="0" collapsed="false">
      <c r="A20" s="24" t="n">
        <v>16</v>
      </c>
      <c r="B20" s="25" t="s">
        <v>112</v>
      </c>
      <c r="C20" s="25" t="s">
        <v>113</v>
      </c>
      <c r="D20" s="26" t="s">
        <v>120</v>
      </c>
      <c r="E20" s="25" t="s">
        <v>121</v>
      </c>
      <c r="F20" s="26" t="s">
        <v>122</v>
      </c>
      <c r="G20" s="24" t="str">
        <f aca="false">IF($D20="","",IF(MID($D20,5,1)="S","S(봄)",IF(MID($D20,5,1)="M","M(여름)",IF(MID($D20,5,1)="X","X(사계절)",MID($D20,5,1)))))</f>
        <v>S(봄)</v>
      </c>
      <c r="H20" s="25" t="s">
        <v>67</v>
      </c>
      <c r="I20" s="24"/>
      <c r="J20" s="27" t="s">
        <v>69</v>
      </c>
      <c r="K20" s="28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8" t="n">
        <f aca="false">IF($K20="","",$K20-기준정보!$C$5)</f>
        <v>46381</v>
      </c>
      <c r="M20" s="28" t="n">
        <f aca="false">IF($L20="","",$L20-기준정보!$C$6)</f>
        <v>46291</v>
      </c>
      <c r="N20" s="29" t="n">
        <f aca="false">IF($M20="","",$M20-기준정보!$C$4)</f>
        <v>49</v>
      </c>
      <c r="O20" s="27" t="s">
        <v>70</v>
      </c>
      <c r="P20" s="27" t="s">
        <v>71</v>
      </c>
      <c r="Q20" s="30"/>
      <c r="R20" s="26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S20" s="25" t="s">
        <v>123</v>
      </c>
      <c r="T20" s="25" t="s">
        <v>73</v>
      </c>
      <c r="U20" s="31" t="n">
        <v>2000</v>
      </c>
      <c r="V20" s="26" t="s">
        <v>69</v>
      </c>
      <c r="W20" s="26" t="str">
        <f aca="false">IF($K20="","출고일 미정",IF($O20="X","작지 미발행",IF($O20="부분","작지 일부 미발행",IF(AND($Q20&lt;&gt;"",$Q20&gt;$M20),"소재입고 마감("&amp;TEXT($M20,"MM/DD")&amp;") 초과",IF($O20="","발행여부 확인 필요",IF($Q20="","소재 입고일정 확인 필요","정상"))))))</f>
        <v>소재 입고일정 확인 필요</v>
      </c>
      <c r="X20" s="24" t="str">
        <f aca="false">IF($K20="","",IF(OR(LEFT($W20,2)="작지",LEFT($W20,4)="소재입고"),IF(LEFT($G20,1)="S","★ 납기위험(S코드)","◆ 지연주의"),IF($W20="정상","✓ 정상","? 확인필요")))</f>
        <v>? 확인필요</v>
      </c>
      <c r="Y20" s="27"/>
      <c r="Z20" s="32"/>
    </row>
    <row r="21" customFormat="false" ht="15" hidden="false" customHeight="false" outlineLevel="0" collapsed="false">
      <c r="A21" s="24" t="n">
        <v>17</v>
      </c>
      <c r="B21" s="25" t="s">
        <v>112</v>
      </c>
      <c r="C21" s="25" t="s">
        <v>113</v>
      </c>
      <c r="D21" s="26" t="s">
        <v>124</v>
      </c>
      <c r="E21" s="25" t="s">
        <v>125</v>
      </c>
      <c r="F21" s="26" t="s">
        <v>126</v>
      </c>
      <c r="G21" s="24" t="str">
        <f aca="false">IF($D21="","",IF(MID($D21,5,1)="S","S(봄)",IF(MID($D21,5,1)="M","M(여름)",IF(MID($D21,5,1)="X","X(사계절)",MID($D21,5,1)))))</f>
        <v>S(봄)</v>
      </c>
      <c r="H21" s="26" t="s">
        <v>117</v>
      </c>
      <c r="I21" s="24"/>
      <c r="J21" s="27" t="s">
        <v>69</v>
      </c>
      <c r="K21" s="28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8" t="n">
        <f aca="false">IF($K21="","",$K21-기준정보!$C$5)</f>
        <v>46381</v>
      </c>
      <c r="M21" s="28" t="n">
        <f aca="false">IF($L21="","",$L21-기준정보!$C$6)</f>
        <v>46291</v>
      </c>
      <c r="N21" s="29" t="n">
        <f aca="false">IF($M21="","",$M21-기준정보!$C$4)</f>
        <v>49</v>
      </c>
      <c r="O21" s="27" t="s">
        <v>70</v>
      </c>
      <c r="P21" s="27" t="s">
        <v>71</v>
      </c>
      <c r="Q21" s="30"/>
      <c r="R21" s="26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S21" s="26" t="s">
        <v>118</v>
      </c>
      <c r="T21" s="25" t="s">
        <v>73</v>
      </c>
      <c r="U21" s="31" t="n">
        <v>3700</v>
      </c>
      <c r="V21" s="26"/>
      <c r="W21" s="26" t="str">
        <f aca="false">IF($K21="","출고일 미정",IF($O21="X","작지 미발행",IF($O21="부분","작지 일부 미발행",IF(AND($Q21&lt;&gt;"",$Q21&gt;$M21),"소재입고 마감("&amp;TEXT($M21,"MM/DD")&amp;") 초과",IF($O21="","발행여부 확인 필요",IF($Q21="","소재 입고일정 확인 필요","정상"))))))</f>
        <v>소재 입고일정 확인 필요</v>
      </c>
      <c r="X21" s="24" t="str">
        <f aca="false">IF($K21="","",IF(OR(LEFT($W21,2)="작지",LEFT($W21,4)="소재입고"),IF(LEFT($G21,1)="S","★ 납기위험(S코드)","◆ 지연주의"),IF($W21="정상","✓ 정상","? 확인필요")))</f>
        <v>? 확인필요</v>
      </c>
      <c r="Y21" s="27"/>
      <c r="Z21" s="32"/>
    </row>
    <row r="22" customFormat="false" ht="15" hidden="false" customHeight="false" outlineLevel="0" collapsed="false">
      <c r="A22" s="24" t="n">
        <v>18</v>
      </c>
      <c r="B22" s="25" t="s">
        <v>112</v>
      </c>
      <c r="C22" s="25" t="s">
        <v>113</v>
      </c>
      <c r="D22" s="26" t="s">
        <v>127</v>
      </c>
      <c r="E22" s="25" t="s">
        <v>128</v>
      </c>
      <c r="F22" s="26" t="s">
        <v>129</v>
      </c>
      <c r="G22" s="24" t="str">
        <f aca="false">IF($D22="","",IF(MID($D22,5,1)="S","S(봄)",IF(MID($D22,5,1)="M","M(여름)",IF(MID($D22,5,1)="X","X(사계절)",MID($D22,5,1)))))</f>
        <v>S(봄)</v>
      </c>
      <c r="H22" s="25" t="s">
        <v>67</v>
      </c>
      <c r="I22" s="24"/>
      <c r="J22" s="27" t="s">
        <v>69</v>
      </c>
      <c r="K22" s="28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8" t="n">
        <f aca="false">IF($K22="","",$K22-기준정보!$C$5)</f>
        <v>46381</v>
      </c>
      <c r="M22" s="28" t="n">
        <f aca="false">IF($L22="","",$L22-기준정보!$C$6)</f>
        <v>46291</v>
      </c>
      <c r="N22" s="29" t="n">
        <f aca="false">IF($M22="","",$M22-기준정보!$C$4)</f>
        <v>49</v>
      </c>
      <c r="O22" s="27" t="s">
        <v>70</v>
      </c>
      <c r="P22" s="27" t="s">
        <v>71</v>
      </c>
      <c r="Q22" s="30"/>
      <c r="R22" s="26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S22" s="25" t="s">
        <v>123</v>
      </c>
      <c r="T22" s="25" t="s">
        <v>73</v>
      </c>
      <c r="U22" s="31" t="n">
        <v>1200</v>
      </c>
      <c r="V22" s="26" t="s">
        <v>69</v>
      </c>
      <c r="W22" s="26" t="str">
        <f aca="false">IF($K22="","출고일 미정",IF($O22="X","작지 미발행",IF($O22="부분","작지 일부 미발행",IF(AND($Q22&lt;&gt;"",$Q22&gt;$M22),"소재입고 마감("&amp;TEXT($M22,"MM/DD")&amp;") 초과",IF($O22="","발행여부 확인 필요",IF($Q22="","소재 입고일정 확인 필요","정상"))))))</f>
        <v>소재 입고일정 확인 필요</v>
      </c>
      <c r="X22" s="24" t="str">
        <f aca="false">IF($K22="","",IF(OR(LEFT($W22,2)="작지",LEFT($W22,4)="소재입고"),IF(LEFT($G22,1)="S","★ 납기위험(S코드)","◆ 지연주의"),IF($W22="정상","✓ 정상","? 확인필요")))</f>
        <v>? 확인필요</v>
      </c>
      <c r="Y22" s="27"/>
      <c r="Z22" s="32"/>
    </row>
    <row r="23" customFormat="false" ht="15" hidden="false" customHeight="false" outlineLevel="0" collapsed="false">
      <c r="A23" s="24" t="n">
        <v>19</v>
      </c>
      <c r="B23" s="25" t="s">
        <v>130</v>
      </c>
      <c r="C23" s="25" t="s">
        <v>131</v>
      </c>
      <c r="D23" s="26" t="s">
        <v>132</v>
      </c>
      <c r="E23" s="26" t="s">
        <v>133</v>
      </c>
      <c r="F23" s="26" t="s">
        <v>134</v>
      </c>
      <c r="G23" s="24" t="str">
        <f aca="false">IF($D23="","",IF(MID($D23,5,1)="S","S(봄)",IF(MID($D23,5,1)="M","M(여름)",IF(MID($D23,5,1)="X","X(사계절)",MID($D23,5,1)))))</f>
        <v>S(봄)</v>
      </c>
      <c r="H23" s="25" t="s">
        <v>67</v>
      </c>
      <c r="I23" s="24" t="s">
        <v>135</v>
      </c>
      <c r="J23" s="27" t="s">
        <v>136</v>
      </c>
      <c r="K23" s="28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8" t="n">
        <f aca="false">IF($K23="","",$K23-기준정보!$C$5)</f>
        <v>46388</v>
      </c>
      <c r="M23" s="28" t="n">
        <f aca="false">IF($L23="","",$L23-기준정보!$C$6)</f>
        <v>46298</v>
      </c>
      <c r="N23" s="29" t="n">
        <f aca="false">IF($M23="","",$M23-기준정보!$C$4)</f>
        <v>56</v>
      </c>
      <c r="O23" s="27" t="s">
        <v>71</v>
      </c>
      <c r="P23" s="27" t="s">
        <v>71</v>
      </c>
      <c r="Q23" s="30"/>
      <c r="R23" s="26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S23" s="26" t="s">
        <v>137</v>
      </c>
      <c r="T23" s="25" t="s">
        <v>73</v>
      </c>
      <c r="U23" s="31" t="n">
        <v>0</v>
      </c>
      <c r="V23" s="26"/>
      <c r="W23" s="26" t="str">
        <f aca="false">IF($K23="","출고일 미정",IF($O23="X","작지 미발행",IF($O23="부분","작지 일부 미발행",IF(AND($Q23&lt;&gt;"",$Q23&gt;$M23),"소재입고 마감("&amp;TEXT($M23,"MM/DD")&amp;") 초과",IF($O23="","발행여부 확인 필요",IF($Q23="","소재 입고일정 확인 필요","정상"))))))</f>
        <v>작지 미발행</v>
      </c>
      <c r="X23" s="24" t="str">
        <f aca="false">IF($K23="","",IF(OR(LEFT($W23,2)="작지",LEFT($W23,4)="소재입고"),IF(LEFT($G23,1)="S","★ 납기위험(S코드)","◆ 지연주의"),IF($W23="정상","✓ 정상","? 확인필요")))</f>
        <v>★ 납기위험(S코드)</v>
      </c>
      <c r="Y23" s="27"/>
      <c r="Z23" s="32"/>
    </row>
    <row r="24" customFormat="false" ht="15" hidden="false" customHeight="false" outlineLevel="0" collapsed="false">
      <c r="A24" s="24" t="n">
        <v>20</v>
      </c>
      <c r="B24" s="25" t="s">
        <v>130</v>
      </c>
      <c r="C24" s="25" t="s">
        <v>131</v>
      </c>
      <c r="D24" s="26" t="s">
        <v>138</v>
      </c>
      <c r="E24" s="26" t="s">
        <v>139</v>
      </c>
      <c r="F24" s="26" t="s">
        <v>134</v>
      </c>
      <c r="G24" s="24" t="str">
        <f aca="false">IF($D24="","",IF(MID($D24,5,1)="S","S(봄)",IF(MID($D24,5,1)="M","M(여름)",IF(MID($D24,5,1)="X","X(사계절)",MID($D24,5,1)))))</f>
        <v>S(봄)</v>
      </c>
      <c r="H24" s="25" t="s">
        <v>67</v>
      </c>
      <c r="I24" s="24" t="s">
        <v>135</v>
      </c>
      <c r="J24" s="27" t="s">
        <v>136</v>
      </c>
      <c r="K24" s="28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8" t="n">
        <f aca="false">IF($K24="","",$K24-기준정보!$C$5)</f>
        <v>46388</v>
      </c>
      <c r="M24" s="28" t="n">
        <f aca="false">IF($L24="","",$L24-기준정보!$C$6)</f>
        <v>46298</v>
      </c>
      <c r="N24" s="29" t="n">
        <f aca="false">IF($M24="","",$M24-기준정보!$C$4)</f>
        <v>56</v>
      </c>
      <c r="O24" s="27" t="s">
        <v>71</v>
      </c>
      <c r="P24" s="27" t="s">
        <v>71</v>
      </c>
      <c r="Q24" s="30"/>
      <c r="R24" s="26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S24" s="26" t="s">
        <v>137</v>
      </c>
      <c r="T24" s="25" t="s">
        <v>73</v>
      </c>
      <c r="U24" s="31" t="n">
        <v>0</v>
      </c>
      <c r="V24" s="26"/>
      <c r="W24" s="26" t="str">
        <f aca="false">IF($K24="","출고일 미정",IF($O24="X","작지 미발행",IF($O24="부분","작지 일부 미발행",IF(AND($Q24&lt;&gt;"",$Q24&gt;$M24),"소재입고 마감("&amp;TEXT($M24,"MM/DD")&amp;") 초과",IF($O24="","발행여부 확인 필요",IF($Q24="","소재 입고일정 확인 필요","정상"))))))</f>
        <v>작지 미발행</v>
      </c>
      <c r="X24" s="24" t="str">
        <f aca="false">IF($K24="","",IF(OR(LEFT($W24,2)="작지",LEFT($W24,4)="소재입고"),IF(LEFT($G24,1)="S","★ 납기위험(S코드)","◆ 지연주의"),IF($W24="정상","✓ 정상","? 확인필요")))</f>
        <v>★ 납기위험(S코드)</v>
      </c>
      <c r="Y24" s="27"/>
      <c r="Z24" s="32"/>
    </row>
    <row r="25" customFormat="false" ht="15" hidden="false" customHeight="false" outlineLevel="0" collapsed="false">
      <c r="A25" s="24" t="n">
        <v>21</v>
      </c>
      <c r="B25" s="25" t="s">
        <v>130</v>
      </c>
      <c r="C25" s="25" t="s">
        <v>140</v>
      </c>
      <c r="D25" s="26" t="s">
        <v>141</v>
      </c>
      <c r="E25" s="26" t="s">
        <v>142</v>
      </c>
      <c r="F25" s="26" t="s">
        <v>143</v>
      </c>
      <c r="G25" s="24" t="str">
        <f aca="false">IF($D25="","",IF(MID($D25,5,1)="S","S(봄)",IF(MID($D25,5,1)="M","M(여름)",IF(MID($D25,5,1)="X","X(사계절)",MID($D25,5,1)))))</f>
        <v>S(봄)</v>
      </c>
      <c r="H25" s="25" t="s">
        <v>67</v>
      </c>
      <c r="I25" s="24" t="s">
        <v>135</v>
      </c>
      <c r="J25" s="27" t="s">
        <v>136</v>
      </c>
      <c r="K25" s="28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8" t="n">
        <f aca="false">IF($K25="","",$K25-기준정보!$C$5)</f>
        <v>46388</v>
      </c>
      <c r="M25" s="28" t="n">
        <f aca="false">IF($L25="","",$L25-기준정보!$C$6)</f>
        <v>46298</v>
      </c>
      <c r="N25" s="29" t="n">
        <f aca="false">IF($M25="","",$M25-기준정보!$C$4)</f>
        <v>56</v>
      </c>
      <c r="O25" s="27" t="s">
        <v>71</v>
      </c>
      <c r="P25" s="27" t="s">
        <v>71</v>
      </c>
      <c r="Q25" s="30"/>
      <c r="R25" s="26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S25" s="26" t="s">
        <v>137</v>
      </c>
      <c r="T25" s="25" t="s">
        <v>73</v>
      </c>
      <c r="U25" s="31" t="n">
        <v>0</v>
      </c>
      <c r="V25" s="26"/>
      <c r="W25" s="26" t="str">
        <f aca="false">IF($K25="","출고일 미정",IF($O25="X","작지 미발행",IF($O25="부분","작지 일부 미발행",IF(AND($Q25&lt;&gt;"",$Q25&gt;$M25),"소재입고 마감("&amp;TEXT($M25,"MM/DD")&amp;") 초과",IF($O25="","발행여부 확인 필요",IF($Q25="","소재 입고일정 확인 필요","정상"))))))</f>
        <v>작지 미발행</v>
      </c>
      <c r="X25" s="24" t="str">
        <f aca="false">IF($K25="","",IF(OR(LEFT($W25,2)="작지",LEFT($W25,4)="소재입고"),IF(LEFT($G25,1)="S","★ 납기위험(S코드)","◆ 지연주의"),IF($W25="정상","✓ 정상","? 확인필요")))</f>
        <v>★ 납기위험(S코드)</v>
      </c>
      <c r="Y25" s="27"/>
      <c r="Z25" s="32"/>
    </row>
    <row r="26" customFormat="false" ht="15" hidden="false" customHeight="false" outlineLevel="0" collapsed="false">
      <c r="A26" s="24" t="n">
        <v>22</v>
      </c>
      <c r="B26" s="25" t="s">
        <v>130</v>
      </c>
      <c r="C26" s="25" t="s">
        <v>140</v>
      </c>
      <c r="D26" s="26" t="s">
        <v>144</v>
      </c>
      <c r="E26" s="26" t="s">
        <v>145</v>
      </c>
      <c r="F26" s="26" t="s">
        <v>143</v>
      </c>
      <c r="G26" s="24" t="str">
        <f aca="false">IF($D26="","",IF(MID($D26,5,1)="S","S(봄)",IF(MID($D26,5,1)="M","M(여름)",IF(MID($D26,5,1)="X","X(사계절)",MID($D26,5,1)))))</f>
        <v>S(봄)</v>
      </c>
      <c r="H26" s="25" t="s">
        <v>67</v>
      </c>
      <c r="I26" s="24" t="s">
        <v>135</v>
      </c>
      <c r="J26" s="27" t="s">
        <v>136</v>
      </c>
      <c r="K26" s="28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8" t="n">
        <f aca="false">IF($K26="","",$K26-기준정보!$C$5)</f>
        <v>46388</v>
      </c>
      <c r="M26" s="28" t="n">
        <f aca="false">IF($L26="","",$L26-기준정보!$C$6)</f>
        <v>46298</v>
      </c>
      <c r="N26" s="29" t="n">
        <f aca="false">IF($M26="","",$M26-기준정보!$C$4)</f>
        <v>56</v>
      </c>
      <c r="O26" s="27" t="s">
        <v>71</v>
      </c>
      <c r="P26" s="27" t="s">
        <v>71</v>
      </c>
      <c r="Q26" s="30"/>
      <c r="R26" s="26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S26" s="26" t="s">
        <v>137</v>
      </c>
      <c r="T26" s="25" t="s">
        <v>73</v>
      </c>
      <c r="U26" s="31" t="n">
        <v>0</v>
      </c>
      <c r="V26" s="26"/>
      <c r="W26" s="26" t="str">
        <f aca="false">IF($K26="","출고일 미정",IF($O26="X","작지 미발행",IF($O26="부분","작지 일부 미발행",IF(AND($Q26&lt;&gt;"",$Q26&gt;$M26),"소재입고 마감("&amp;TEXT($M26,"MM/DD")&amp;") 초과",IF($O26="","발행여부 확인 필요",IF($Q26="","소재 입고일정 확인 필요","정상"))))))</f>
        <v>작지 미발행</v>
      </c>
      <c r="X26" s="24" t="str">
        <f aca="false">IF($K26="","",IF(OR(LEFT($W26,2)="작지",LEFT($W26,4)="소재입고"),IF(LEFT($G26,1)="S","★ 납기위험(S코드)","◆ 지연주의"),IF($W26="정상","✓ 정상","? 확인필요")))</f>
        <v>★ 납기위험(S코드)</v>
      </c>
      <c r="Y26" s="27"/>
      <c r="Z26" s="32"/>
    </row>
    <row r="27" customFormat="false" ht="15" hidden="false" customHeight="false" outlineLevel="0" collapsed="false">
      <c r="A27" s="24" t="n">
        <v>23</v>
      </c>
      <c r="B27" s="25" t="s">
        <v>130</v>
      </c>
      <c r="C27" s="25" t="s">
        <v>131</v>
      </c>
      <c r="D27" s="26" t="s">
        <v>146</v>
      </c>
      <c r="E27" s="26" t="s">
        <v>147</v>
      </c>
      <c r="F27" s="26" t="s">
        <v>148</v>
      </c>
      <c r="G27" s="24" t="str">
        <f aca="false">IF($D27="","",IF(MID($D27,5,1)="S","S(봄)",IF(MID($D27,5,1)="M","M(여름)",IF(MID($D27,5,1)="X","X(사계절)",MID($D27,5,1)))))</f>
        <v>S(봄)</v>
      </c>
      <c r="H27" s="25" t="s">
        <v>67</v>
      </c>
      <c r="I27" s="24" t="s">
        <v>135</v>
      </c>
      <c r="J27" s="27" t="s">
        <v>136</v>
      </c>
      <c r="K27" s="28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8" t="n">
        <f aca="false">IF($K27="","",$K27-기준정보!$C$5)</f>
        <v>46388</v>
      </c>
      <c r="M27" s="28" t="n">
        <f aca="false">IF($L27="","",$L27-기준정보!$C$6)</f>
        <v>46298</v>
      </c>
      <c r="N27" s="29" t="n">
        <f aca="false">IF($M27="","",$M27-기준정보!$C$4)</f>
        <v>56</v>
      </c>
      <c r="O27" s="27" t="s">
        <v>71</v>
      </c>
      <c r="P27" s="27" t="s">
        <v>71</v>
      </c>
      <c r="Q27" s="30"/>
      <c r="R27" s="26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S27" s="25" t="s">
        <v>149</v>
      </c>
      <c r="T27" s="25" t="s">
        <v>73</v>
      </c>
      <c r="U27" s="31" t="n">
        <v>0</v>
      </c>
      <c r="V27" s="26"/>
      <c r="W27" s="26" t="str">
        <f aca="false">IF($K27="","출고일 미정",IF($O27="X","작지 미발행",IF($O27="부분","작지 일부 미발행",IF(AND($Q27&lt;&gt;"",$Q27&gt;$M27),"소재입고 마감("&amp;TEXT($M27,"MM/DD")&amp;") 초과",IF($O27="","발행여부 확인 필요",IF($Q27="","소재 입고일정 확인 필요","정상"))))))</f>
        <v>작지 미발행</v>
      </c>
      <c r="X27" s="24" t="str">
        <f aca="false">IF($K27="","",IF(OR(LEFT($W27,2)="작지",LEFT($W27,4)="소재입고"),IF(LEFT($G27,1)="S","★ 납기위험(S코드)","◆ 지연주의"),IF($W27="정상","✓ 정상","? 확인필요")))</f>
        <v>★ 납기위험(S코드)</v>
      </c>
      <c r="Y27" s="27"/>
      <c r="Z27" s="32"/>
    </row>
    <row r="28" customFormat="false" ht="15" hidden="false" customHeight="false" outlineLevel="0" collapsed="false">
      <c r="A28" s="24" t="n">
        <v>24</v>
      </c>
      <c r="B28" s="25" t="s">
        <v>130</v>
      </c>
      <c r="C28" s="25" t="s">
        <v>140</v>
      </c>
      <c r="D28" s="26" t="s">
        <v>150</v>
      </c>
      <c r="E28" s="26" t="s">
        <v>151</v>
      </c>
      <c r="F28" s="26" t="s">
        <v>152</v>
      </c>
      <c r="G28" s="24" t="str">
        <f aca="false">IF($D28="","",IF(MID($D28,5,1)="S","S(봄)",IF(MID($D28,5,1)="M","M(여름)",IF(MID($D28,5,1)="X","X(사계절)",MID($D28,5,1)))))</f>
        <v>S(봄)</v>
      </c>
      <c r="H28" s="25" t="s">
        <v>67</v>
      </c>
      <c r="I28" s="24" t="s">
        <v>135</v>
      </c>
      <c r="J28" s="27" t="s">
        <v>136</v>
      </c>
      <c r="K28" s="28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8" t="n">
        <f aca="false">IF($K28="","",$K28-기준정보!$C$5)</f>
        <v>46388</v>
      </c>
      <c r="M28" s="28" t="n">
        <f aca="false">IF($L28="","",$L28-기준정보!$C$6)</f>
        <v>46298</v>
      </c>
      <c r="N28" s="29" t="n">
        <f aca="false">IF($M28="","",$M28-기준정보!$C$4)</f>
        <v>56</v>
      </c>
      <c r="O28" s="27" t="s">
        <v>71</v>
      </c>
      <c r="P28" s="27" t="s">
        <v>71</v>
      </c>
      <c r="Q28" s="30"/>
      <c r="R28" s="26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S28" s="25" t="s">
        <v>153</v>
      </c>
      <c r="T28" s="25" t="s">
        <v>154</v>
      </c>
      <c r="U28" s="31" t="n">
        <v>0</v>
      </c>
      <c r="V28" s="26"/>
      <c r="W28" s="26" t="str">
        <f aca="false">IF($K28="","출고일 미정",IF($O28="X","작지 미발행",IF($O28="부분","작지 일부 미발행",IF(AND($Q28&lt;&gt;"",$Q28&gt;$M28),"소재입고 마감("&amp;TEXT($M28,"MM/DD")&amp;") 초과",IF($O28="","발행여부 확인 필요",IF($Q28="","소재 입고일정 확인 필요","정상"))))))</f>
        <v>작지 미발행</v>
      </c>
      <c r="X28" s="24" t="str">
        <f aca="false">IF($K28="","",IF(OR(LEFT($W28,2)="작지",LEFT($W28,4)="소재입고"),IF(LEFT($G28,1)="S","★ 납기위험(S코드)","◆ 지연주의"),IF($W28="정상","✓ 정상","? 확인필요")))</f>
        <v>★ 납기위험(S코드)</v>
      </c>
      <c r="Y28" s="27"/>
      <c r="Z28" s="32"/>
    </row>
    <row r="29" customFormat="false" ht="15" hidden="false" customHeight="false" outlineLevel="0" collapsed="false">
      <c r="A29" s="24" t="n">
        <v>25</v>
      </c>
      <c r="B29" s="25" t="s">
        <v>130</v>
      </c>
      <c r="C29" s="25" t="s">
        <v>140</v>
      </c>
      <c r="D29" s="26" t="s">
        <v>155</v>
      </c>
      <c r="E29" s="26" t="s">
        <v>156</v>
      </c>
      <c r="F29" s="26" t="s">
        <v>157</v>
      </c>
      <c r="G29" s="24" t="str">
        <f aca="false">IF($D29="","",IF(MID($D29,5,1)="S","S(봄)",IF(MID($D29,5,1)="M","M(여름)",IF(MID($D29,5,1)="X","X(사계절)",MID($D29,5,1)))))</f>
        <v>S(봄)</v>
      </c>
      <c r="H29" s="25" t="s">
        <v>67</v>
      </c>
      <c r="I29" s="24" t="s">
        <v>135</v>
      </c>
      <c r="J29" s="27" t="s">
        <v>136</v>
      </c>
      <c r="K29" s="28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8" t="n">
        <f aca="false">IF($K29="","",$K29-기준정보!$C$5)</f>
        <v>46388</v>
      </c>
      <c r="M29" s="28" t="n">
        <f aca="false">IF($L29="","",$L29-기준정보!$C$6)</f>
        <v>46298</v>
      </c>
      <c r="N29" s="29" t="n">
        <f aca="false">IF($M29="","",$M29-기준정보!$C$4)</f>
        <v>56</v>
      </c>
      <c r="O29" s="27" t="s">
        <v>71</v>
      </c>
      <c r="P29" s="27" t="s">
        <v>71</v>
      </c>
      <c r="Q29" s="30"/>
      <c r="R29" s="26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S29" s="25" t="s">
        <v>158</v>
      </c>
      <c r="T29" s="25" t="s">
        <v>73</v>
      </c>
      <c r="U29" s="31" t="n">
        <v>0</v>
      </c>
      <c r="V29" s="26"/>
      <c r="W29" s="26" t="str">
        <f aca="false">IF($K29="","출고일 미정",IF($O29="X","작지 미발행",IF($O29="부분","작지 일부 미발행",IF(AND($Q29&lt;&gt;"",$Q29&gt;$M29),"소재입고 마감("&amp;TEXT($M29,"MM/DD")&amp;") 초과",IF($O29="","발행여부 확인 필요",IF($Q29="","소재 입고일정 확인 필요","정상"))))))</f>
        <v>작지 미발행</v>
      </c>
      <c r="X29" s="24" t="str">
        <f aca="false">IF($K29="","",IF(OR(LEFT($W29,2)="작지",LEFT($W29,4)="소재입고"),IF(LEFT($G29,1)="S","★ 납기위험(S코드)","◆ 지연주의"),IF($W29="정상","✓ 정상","? 확인필요")))</f>
        <v>★ 납기위험(S코드)</v>
      </c>
      <c r="Y29" s="27"/>
      <c r="Z29" s="32"/>
    </row>
    <row r="30" customFormat="false" ht="15" hidden="false" customHeight="false" outlineLevel="0" collapsed="false">
      <c r="A30" s="24" t="n">
        <v>26</v>
      </c>
      <c r="B30" s="25" t="s">
        <v>130</v>
      </c>
      <c r="C30" s="25" t="s">
        <v>140</v>
      </c>
      <c r="D30" s="26" t="s">
        <v>159</v>
      </c>
      <c r="E30" s="26" t="s">
        <v>160</v>
      </c>
      <c r="F30" s="26" t="s">
        <v>161</v>
      </c>
      <c r="G30" s="24" t="str">
        <f aca="false">IF($D30="","",IF(MID($D30,5,1)="S","S(봄)",IF(MID($D30,5,1)="M","M(여름)",IF(MID($D30,5,1)="X","X(사계절)",MID($D30,5,1)))))</f>
        <v>S(봄)</v>
      </c>
      <c r="H30" s="25" t="s">
        <v>67</v>
      </c>
      <c r="I30" s="24" t="s">
        <v>135</v>
      </c>
      <c r="J30" s="27" t="s">
        <v>136</v>
      </c>
      <c r="K30" s="28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8" t="n">
        <f aca="false">IF($K30="","",$K30-기준정보!$C$5)</f>
        <v>46388</v>
      </c>
      <c r="M30" s="28" t="n">
        <f aca="false">IF($L30="","",$L30-기준정보!$C$6)</f>
        <v>46298</v>
      </c>
      <c r="N30" s="29" t="n">
        <f aca="false">IF($M30="","",$M30-기준정보!$C$4)</f>
        <v>56</v>
      </c>
      <c r="O30" s="27" t="s">
        <v>71</v>
      </c>
      <c r="P30" s="27" t="s">
        <v>71</v>
      </c>
      <c r="Q30" s="30"/>
      <c r="R30" s="26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S30" s="25" t="s">
        <v>158</v>
      </c>
      <c r="T30" s="25" t="s">
        <v>73</v>
      </c>
      <c r="U30" s="31" t="n">
        <v>0</v>
      </c>
      <c r="V30" s="26"/>
      <c r="W30" s="26" t="str">
        <f aca="false">IF($K30="","출고일 미정",IF($O30="X","작지 미발행",IF($O30="부분","작지 일부 미발행",IF(AND($Q30&lt;&gt;"",$Q30&gt;$M30),"소재입고 마감("&amp;TEXT($M30,"MM/DD")&amp;") 초과",IF($O30="","발행여부 확인 필요",IF($Q30="","소재 입고일정 확인 필요","정상"))))))</f>
        <v>작지 미발행</v>
      </c>
      <c r="X30" s="24" t="str">
        <f aca="false">IF($K30="","",IF(OR(LEFT($W30,2)="작지",LEFT($W30,4)="소재입고"),IF(LEFT($G30,1)="S","★ 납기위험(S코드)","◆ 지연주의"),IF($W30="정상","✓ 정상","? 확인필요")))</f>
        <v>★ 납기위험(S코드)</v>
      </c>
      <c r="Y30" s="27"/>
      <c r="Z30" s="32"/>
    </row>
    <row r="31" customFormat="false" ht="15" hidden="false" customHeight="false" outlineLevel="0" collapsed="false">
      <c r="A31" s="24" t="n">
        <v>27</v>
      </c>
      <c r="B31" s="25" t="s">
        <v>130</v>
      </c>
      <c r="C31" s="25" t="s">
        <v>140</v>
      </c>
      <c r="D31" s="26" t="s">
        <v>162</v>
      </c>
      <c r="E31" s="26" t="s">
        <v>163</v>
      </c>
      <c r="F31" s="26" t="s">
        <v>164</v>
      </c>
      <c r="G31" s="24" t="str">
        <f aca="false">IF($D31="","",IF(MID($D31,5,1)="S","S(봄)",IF(MID($D31,5,1)="M","M(여름)",IF(MID($D31,5,1)="X","X(사계절)",MID($D31,5,1)))))</f>
        <v>S(봄)</v>
      </c>
      <c r="H31" s="25" t="s">
        <v>67</v>
      </c>
      <c r="I31" s="24" t="s">
        <v>135</v>
      </c>
      <c r="J31" s="27" t="s">
        <v>136</v>
      </c>
      <c r="K31" s="28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8" t="n">
        <f aca="false">IF($K31="","",$K31-기준정보!$C$5)</f>
        <v>46388</v>
      </c>
      <c r="M31" s="28" t="n">
        <f aca="false">IF($L31="","",$L31-기준정보!$C$6)</f>
        <v>46298</v>
      </c>
      <c r="N31" s="29" t="n">
        <f aca="false">IF($M31="","",$M31-기준정보!$C$4)</f>
        <v>56</v>
      </c>
      <c r="O31" s="27" t="s">
        <v>71</v>
      </c>
      <c r="P31" s="27" t="s">
        <v>71</v>
      </c>
      <c r="Q31" s="30"/>
      <c r="R31" s="26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S31" s="25" t="s">
        <v>158</v>
      </c>
      <c r="T31" s="25" t="s">
        <v>73</v>
      </c>
      <c r="U31" s="31" t="n">
        <v>0</v>
      </c>
      <c r="V31" s="26"/>
      <c r="W31" s="26" t="str">
        <f aca="false">IF($K31="","출고일 미정",IF($O31="X","작지 미발행",IF($O31="부분","작지 일부 미발행",IF(AND($Q31&lt;&gt;"",$Q31&gt;$M31),"소재입고 마감("&amp;TEXT($M31,"MM/DD")&amp;") 초과",IF($O31="","발행여부 확인 필요",IF($Q31="","소재 입고일정 확인 필요","정상"))))))</f>
        <v>작지 미발행</v>
      </c>
      <c r="X31" s="24" t="str">
        <f aca="false">IF($K31="","",IF(OR(LEFT($W31,2)="작지",LEFT($W31,4)="소재입고"),IF(LEFT($G31,1)="S","★ 납기위험(S코드)","◆ 지연주의"),IF($W31="정상","✓ 정상","? 확인필요")))</f>
        <v>★ 납기위험(S코드)</v>
      </c>
      <c r="Y31" s="27"/>
      <c r="Z31" s="32"/>
    </row>
    <row r="32" customFormat="false" ht="15" hidden="false" customHeight="false" outlineLevel="0" collapsed="false">
      <c r="A32" s="24" t="n">
        <v>28</v>
      </c>
      <c r="B32" s="25" t="s">
        <v>130</v>
      </c>
      <c r="C32" s="25" t="s">
        <v>131</v>
      </c>
      <c r="D32" s="26" t="s">
        <v>165</v>
      </c>
      <c r="E32" s="26" t="s">
        <v>166</v>
      </c>
      <c r="F32" s="26" t="s">
        <v>167</v>
      </c>
      <c r="G32" s="24" t="str">
        <f aca="false">IF($D32="","",IF(MID($D32,5,1)="S","S(봄)",IF(MID($D32,5,1)="M","M(여름)",IF(MID($D32,5,1)="X","X(사계절)",MID($D32,5,1)))))</f>
        <v>S(봄)</v>
      </c>
      <c r="H32" s="25" t="s">
        <v>67</v>
      </c>
      <c r="I32" s="24" t="s">
        <v>135</v>
      </c>
      <c r="J32" s="27" t="s">
        <v>136</v>
      </c>
      <c r="K32" s="28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8" t="n">
        <f aca="false">IF($K32="","",$K32-기준정보!$C$5)</f>
        <v>46388</v>
      </c>
      <c r="M32" s="28" t="n">
        <f aca="false">IF($L32="","",$L32-기준정보!$C$6)</f>
        <v>46298</v>
      </c>
      <c r="N32" s="29" t="n">
        <f aca="false">IF($M32="","",$M32-기준정보!$C$4)</f>
        <v>56</v>
      </c>
      <c r="O32" s="27" t="s">
        <v>71</v>
      </c>
      <c r="P32" s="27" t="s">
        <v>71</v>
      </c>
      <c r="Q32" s="30"/>
      <c r="R32" s="26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S32" s="25" t="s">
        <v>158</v>
      </c>
      <c r="T32" s="25" t="s">
        <v>73</v>
      </c>
      <c r="U32" s="31" t="n">
        <v>0</v>
      </c>
      <c r="V32" s="26"/>
      <c r="W32" s="26" t="str">
        <f aca="false">IF($K32="","출고일 미정",IF($O32="X","작지 미발행",IF($O32="부분","작지 일부 미발행",IF(AND($Q32&lt;&gt;"",$Q32&gt;$M32),"소재입고 마감("&amp;TEXT($M32,"MM/DD")&amp;") 초과",IF($O32="","발행여부 확인 필요",IF($Q32="","소재 입고일정 확인 필요","정상"))))))</f>
        <v>작지 미발행</v>
      </c>
      <c r="X32" s="24" t="str">
        <f aca="false">IF($K32="","",IF(OR(LEFT($W32,2)="작지",LEFT($W32,4)="소재입고"),IF(LEFT($G32,1)="S","★ 납기위험(S코드)","◆ 지연주의"),IF($W32="정상","✓ 정상","? 확인필요")))</f>
        <v>★ 납기위험(S코드)</v>
      </c>
      <c r="Y32" s="27"/>
      <c r="Z32" s="32"/>
    </row>
    <row r="33" customFormat="false" ht="15" hidden="false" customHeight="false" outlineLevel="0" collapsed="false">
      <c r="A33" s="24" t="n">
        <v>29</v>
      </c>
      <c r="B33" s="25" t="s">
        <v>130</v>
      </c>
      <c r="C33" s="25" t="s">
        <v>140</v>
      </c>
      <c r="D33" s="26" t="s">
        <v>168</v>
      </c>
      <c r="E33" s="26" t="s">
        <v>169</v>
      </c>
      <c r="F33" s="26" t="s">
        <v>148</v>
      </c>
      <c r="G33" s="24" t="str">
        <f aca="false">IF($D33="","",IF(MID($D33,5,1)="S","S(봄)",IF(MID($D33,5,1)="M","M(여름)",IF(MID($D33,5,1)="X","X(사계절)",MID($D33,5,1)))))</f>
        <v>S(봄)</v>
      </c>
      <c r="H33" s="25" t="s">
        <v>67</v>
      </c>
      <c r="I33" s="24" t="s">
        <v>135</v>
      </c>
      <c r="J33" s="27" t="s">
        <v>136</v>
      </c>
      <c r="K33" s="28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8" t="n">
        <f aca="false">IF($K33="","",$K33-기준정보!$C$5)</f>
        <v>46388</v>
      </c>
      <c r="M33" s="28" t="n">
        <f aca="false">IF($L33="","",$L33-기준정보!$C$6)</f>
        <v>46298</v>
      </c>
      <c r="N33" s="29" t="n">
        <f aca="false">IF($M33="","",$M33-기준정보!$C$4)</f>
        <v>56</v>
      </c>
      <c r="O33" s="27" t="s">
        <v>71</v>
      </c>
      <c r="P33" s="27"/>
      <c r="Q33" s="30"/>
      <c r="R33" s="26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S33" s="25" t="s">
        <v>77</v>
      </c>
      <c r="T33" s="25" t="s">
        <v>73</v>
      </c>
      <c r="U33" s="31" t="n">
        <v>0</v>
      </c>
      <c r="V33" s="26"/>
      <c r="W33" s="26" t="str">
        <f aca="false">IF($K33="","출고일 미정",IF($O33="X","작지 미발행",IF($O33="부분","작지 일부 미발행",IF(AND($Q33&lt;&gt;"",$Q33&gt;$M33),"소재입고 마감("&amp;TEXT($M33,"MM/DD")&amp;") 초과",IF($O33="","발행여부 확인 필요",IF($Q33="","소재 입고일정 확인 필요","정상"))))))</f>
        <v>작지 미발행</v>
      </c>
      <c r="X33" s="24" t="str">
        <f aca="false">IF($K33="","",IF(OR(LEFT($W33,2)="작지",LEFT($W33,4)="소재입고"),IF(LEFT($G33,1)="S","★ 납기위험(S코드)","◆ 지연주의"),IF($W33="정상","✓ 정상","? 확인필요")))</f>
        <v>★ 납기위험(S코드)</v>
      </c>
      <c r="Y33" s="27"/>
      <c r="Z33" s="32"/>
    </row>
    <row r="34" customFormat="false" ht="15" hidden="false" customHeight="false" outlineLevel="0" collapsed="false">
      <c r="A34" s="24" t="n">
        <v>30</v>
      </c>
      <c r="B34" s="25" t="s">
        <v>130</v>
      </c>
      <c r="C34" s="25" t="s">
        <v>140</v>
      </c>
      <c r="D34" s="26" t="s">
        <v>170</v>
      </c>
      <c r="E34" s="26" t="s">
        <v>171</v>
      </c>
      <c r="F34" s="26" t="s">
        <v>157</v>
      </c>
      <c r="G34" s="24" t="str">
        <f aca="false">IF($D34="","",IF(MID($D34,5,1)="S","S(봄)",IF(MID($D34,5,1)="M","M(여름)",IF(MID($D34,5,1)="X","X(사계절)",MID($D34,5,1)))))</f>
        <v>S(봄)</v>
      </c>
      <c r="H34" s="25" t="s">
        <v>67</v>
      </c>
      <c r="I34" s="24" t="s">
        <v>135</v>
      </c>
      <c r="J34" s="27" t="s">
        <v>136</v>
      </c>
      <c r="K34" s="28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8" t="n">
        <f aca="false">IF($K34="","",$K34-기준정보!$C$5)</f>
        <v>46388</v>
      </c>
      <c r="M34" s="28" t="n">
        <f aca="false">IF($L34="","",$L34-기준정보!$C$6)</f>
        <v>46298</v>
      </c>
      <c r="N34" s="29" t="n">
        <f aca="false">IF($M34="","",$M34-기준정보!$C$4)</f>
        <v>56</v>
      </c>
      <c r="O34" s="27" t="s">
        <v>71</v>
      </c>
      <c r="P34" s="27" t="s">
        <v>71</v>
      </c>
      <c r="Q34" s="30"/>
      <c r="R34" s="26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S34" s="25" t="s">
        <v>77</v>
      </c>
      <c r="T34" s="25" t="s">
        <v>73</v>
      </c>
      <c r="U34" s="31" t="n">
        <v>0</v>
      </c>
      <c r="V34" s="26"/>
      <c r="W34" s="26" t="str">
        <f aca="false">IF($K34="","출고일 미정",IF($O34="X","작지 미발행",IF($O34="부분","작지 일부 미발행",IF(AND($Q34&lt;&gt;"",$Q34&gt;$M34),"소재입고 마감("&amp;TEXT($M34,"MM/DD")&amp;") 초과",IF($O34="","발행여부 확인 필요",IF($Q34="","소재 입고일정 확인 필요","정상"))))))</f>
        <v>작지 미발행</v>
      </c>
      <c r="X34" s="24" t="str">
        <f aca="false">IF($K34="","",IF(OR(LEFT($W34,2)="작지",LEFT($W34,4)="소재입고"),IF(LEFT($G34,1)="S","★ 납기위험(S코드)","◆ 지연주의"),IF($W34="정상","✓ 정상","? 확인필요")))</f>
        <v>★ 납기위험(S코드)</v>
      </c>
      <c r="Y34" s="27"/>
      <c r="Z34" s="32"/>
    </row>
    <row r="35" customFormat="false" ht="15" hidden="false" customHeight="false" outlineLevel="0" collapsed="false">
      <c r="A35" s="24" t="n">
        <v>31</v>
      </c>
      <c r="B35" s="25" t="s">
        <v>130</v>
      </c>
      <c r="C35" s="25" t="s">
        <v>140</v>
      </c>
      <c r="D35" s="26" t="s">
        <v>172</v>
      </c>
      <c r="E35" s="26" t="s">
        <v>173</v>
      </c>
      <c r="F35" s="26" t="s">
        <v>174</v>
      </c>
      <c r="G35" s="24" t="str">
        <f aca="false">IF($D35="","",IF(MID($D35,5,1)="S","S(봄)",IF(MID($D35,5,1)="M","M(여름)",IF(MID($D35,5,1)="X","X(사계절)",MID($D35,5,1)))))</f>
        <v>S(봄)</v>
      </c>
      <c r="H35" s="25" t="s">
        <v>67</v>
      </c>
      <c r="I35" s="24" t="s">
        <v>135</v>
      </c>
      <c r="J35" s="27" t="s">
        <v>136</v>
      </c>
      <c r="K35" s="28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8" t="n">
        <f aca="false">IF($K35="","",$K35-기준정보!$C$5)</f>
        <v>46388</v>
      </c>
      <c r="M35" s="28" t="n">
        <f aca="false">IF($L35="","",$L35-기준정보!$C$6)</f>
        <v>46298</v>
      </c>
      <c r="N35" s="29" t="n">
        <f aca="false">IF($M35="","",$M35-기준정보!$C$4)</f>
        <v>56</v>
      </c>
      <c r="O35" s="27" t="s">
        <v>71</v>
      </c>
      <c r="P35" s="27" t="s">
        <v>71</v>
      </c>
      <c r="Q35" s="30"/>
      <c r="R35" s="26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S35" s="25" t="s">
        <v>77</v>
      </c>
      <c r="T35" s="25" t="s">
        <v>73</v>
      </c>
      <c r="U35" s="31" t="n">
        <v>0</v>
      </c>
      <c r="V35" s="26"/>
      <c r="W35" s="26" t="str">
        <f aca="false">IF($K35="","출고일 미정",IF($O35="X","작지 미발행",IF($O35="부분","작지 일부 미발행",IF(AND($Q35&lt;&gt;"",$Q35&gt;$M35),"소재입고 마감("&amp;TEXT($M35,"MM/DD")&amp;") 초과",IF($O35="","발행여부 확인 필요",IF($Q35="","소재 입고일정 확인 필요","정상"))))))</f>
        <v>작지 미발행</v>
      </c>
      <c r="X35" s="24" t="str">
        <f aca="false">IF($K35="","",IF(OR(LEFT($W35,2)="작지",LEFT($W35,4)="소재입고"),IF(LEFT($G35,1)="S","★ 납기위험(S코드)","◆ 지연주의"),IF($W35="정상","✓ 정상","? 확인필요")))</f>
        <v>★ 납기위험(S코드)</v>
      </c>
      <c r="Y35" s="27"/>
      <c r="Z35" s="32"/>
    </row>
    <row r="36" customFormat="false" ht="15" hidden="false" customHeight="false" outlineLevel="0" collapsed="false">
      <c r="A36" s="24" t="n">
        <v>32</v>
      </c>
      <c r="B36" s="25" t="s">
        <v>130</v>
      </c>
      <c r="C36" s="25" t="s">
        <v>140</v>
      </c>
      <c r="D36" s="26" t="s">
        <v>175</v>
      </c>
      <c r="E36" s="26" t="s">
        <v>176</v>
      </c>
      <c r="F36" s="26" t="s">
        <v>177</v>
      </c>
      <c r="G36" s="24" t="str">
        <f aca="false">IF($D36="","",IF(MID($D36,5,1)="S","S(봄)",IF(MID($D36,5,1)="M","M(여름)",IF(MID($D36,5,1)="X","X(사계절)",MID($D36,5,1)))))</f>
        <v>S(봄)</v>
      </c>
      <c r="H36" s="25" t="s">
        <v>67</v>
      </c>
      <c r="I36" s="24" t="s">
        <v>135</v>
      </c>
      <c r="J36" s="27" t="s">
        <v>136</v>
      </c>
      <c r="K36" s="28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8" t="n">
        <f aca="false">IF($K36="","",$K36-기준정보!$C$5)</f>
        <v>46388</v>
      </c>
      <c r="M36" s="28" t="n">
        <f aca="false">IF($L36="","",$L36-기준정보!$C$6)</f>
        <v>46298</v>
      </c>
      <c r="N36" s="29" t="n">
        <f aca="false">IF($M36="","",$M36-기준정보!$C$4)</f>
        <v>56</v>
      </c>
      <c r="O36" s="27" t="s">
        <v>71</v>
      </c>
      <c r="P36" s="27"/>
      <c r="Q36" s="30"/>
      <c r="R36" s="26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S36" s="25" t="s">
        <v>77</v>
      </c>
      <c r="T36" s="25" t="s">
        <v>73</v>
      </c>
      <c r="U36" s="31" t="n">
        <v>0</v>
      </c>
      <c r="V36" s="26"/>
      <c r="W36" s="26" t="str">
        <f aca="false">IF($K36="","출고일 미정",IF($O36="X","작지 미발행",IF($O36="부분","작지 일부 미발행",IF(AND($Q36&lt;&gt;"",$Q36&gt;$M36),"소재입고 마감("&amp;TEXT($M36,"MM/DD")&amp;") 초과",IF($O36="","발행여부 확인 필요",IF($Q36="","소재 입고일정 확인 필요","정상"))))))</f>
        <v>작지 미발행</v>
      </c>
      <c r="X36" s="24" t="str">
        <f aca="false">IF($K36="","",IF(OR(LEFT($W36,2)="작지",LEFT($W36,4)="소재입고"),IF(LEFT($G36,1)="S","★ 납기위험(S코드)","◆ 지연주의"),IF($W36="정상","✓ 정상","? 확인필요")))</f>
        <v>★ 납기위험(S코드)</v>
      </c>
      <c r="Y36" s="27"/>
      <c r="Z36" s="32"/>
    </row>
    <row r="37" customFormat="false" ht="15" hidden="false" customHeight="false" outlineLevel="0" collapsed="false">
      <c r="A37" s="24" t="n">
        <v>33</v>
      </c>
      <c r="B37" s="25" t="s">
        <v>130</v>
      </c>
      <c r="C37" s="25" t="s">
        <v>140</v>
      </c>
      <c r="D37" s="26" t="s">
        <v>178</v>
      </c>
      <c r="E37" s="26" t="s">
        <v>179</v>
      </c>
      <c r="F37" s="26" t="s">
        <v>174</v>
      </c>
      <c r="G37" s="24" t="str">
        <f aca="false">IF($D37="","",IF(MID($D37,5,1)="S","S(봄)",IF(MID($D37,5,1)="M","M(여름)",IF(MID($D37,5,1)="X","X(사계절)",MID($D37,5,1)))))</f>
        <v>S(봄)</v>
      </c>
      <c r="H37" s="25" t="s">
        <v>67</v>
      </c>
      <c r="I37" s="24" t="s">
        <v>135</v>
      </c>
      <c r="J37" s="27" t="s">
        <v>136</v>
      </c>
      <c r="K37" s="28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8" t="n">
        <f aca="false">IF($K37="","",$K37-기준정보!$C$5)</f>
        <v>46388</v>
      </c>
      <c r="M37" s="28" t="n">
        <f aca="false">IF($L37="","",$L37-기준정보!$C$6)</f>
        <v>46298</v>
      </c>
      <c r="N37" s="29" t="n">
        <f aca="false">IF($M37="","",$M37-기준정보!$C$4)</f>
        <v>56</v>
      </c>
      <c r="O37" s="27" t="s">
        <v>71</v>
      </c>
      <c r="P37" s="27" t="s">
        <v>71</v>
      </c>
      <c r="Q37" s="30"/>
      <c r="R37" s="26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S37" s="25" t="s">
        <v>77</v>
      </c>
      <c r="T37" s="25" t="s">
        <v>73</v>
      </c>
      <c r="U37" s="31" t="n">
        <v>0</v>
      </c>
      <c r="V37" s="26"/>
      <c r="W37" s="26" t="str">
        <f aca="false">IF($K37="","출고일 미정",IF($O37="X","작지 미발행",IF($O37="부분","작지 일부 미발행",IF(AND($Q37&lt;&gt;"",$Q37&gt;$M37),"소재입고 마감("&amp;TEXT($M37,"MM/DD")&amp;") 초과",IF($O37="","발행여부 확인 필요",IF($Q37="","소재 입고일정 확인 필요","정상"))))))</f>
        <v>작지 미발행</v>
      </c>
      <c r="X37" s="24" t="str">
        <f aca="false">IF($K37="","",IF(OR(LEFT($W37,2)="작지",LEFT($W37,4)="소재입고"),IF(LEFT($G37,1)="S","★ 납기위험(S코드)","◆ 지연주의"),IF($W37="정상","✓ 정상","? 확인필요")))</f>
        <v>★ 납기위험(S코드)</v>
      </c>
      <c r="Y37" s="27"/>
      <c r="Z37" s="32"/>
    </row>
    <row r="38" customFormat="false" ht="15" hidden="false" customHeight="false" outlineLevel="0" collapsed="false">
      <c r="A38" s="24" t="n">
        <v>34</v>
      </c>
      <c r="B38" s="25" t="s">
        <v>130</v>
      </c>
      <c r="C38" s="25" t="s">
        <v>131</v>
      </c>
      <c r="D38" s="26" t="s">
        <v>180</v>
      </c>
      <c r="E38" s="26" t="s">
        <v>181</v>
      </c>
      <c r="F38" s="26" t="s">
        <v>182</v>
      </c>
      <c r="G38" s="24" t="str">
        <f aca="false">IF($D38="","",IF(MID($D38,5,1)="S","S(봄)",IF(MID($D38,5,1)="M","M(여름)",IF(MID($D38,5,1)="X","X(사계절)",MID($D38,5,1)))))</f>
        <v>S(봄)</v>
      </c>
      <c r="H38" s="25" t="s">
        <v>67</v>
      </c>
      <c r="I38" s="24" t="s">
        <v>135</v>
      </c>
      <c r="J38" s="27" t="s">
        <v>136</v>
      </c>
      <c r="K38" s="28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8" t="n">
        <f aca="false">IF($K38="","",$K38-기준정보!$C$5)</f>
        <v>46388</v>
      </c>
      <c r="M38" s="28" t="n">
        <f aca="false">IF($L38="","",$L38-기준정보!$C$6)</f>
        <v>46298</v>
      </c>
      <c r="N38" s="29" t="n">
        <f aca="false">IF($M38="","",$M38-기준정보!$C$4)</f>
        <v>56</v>
      </c>
      <c r="O38" s="27" t="s">
        <v>71</v>
      </c>
      <c r="P38" s="27" t="s">
        <v>71</v>
      </c>
      <c r="Q38" s="30"/>
      <c r="R38" s="26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S38" s="25" t="s">
        <v>183</v>
      </c>
      <c r="T38" s="25" t="s">
        <v>73</v>
      </c>
      <c r="U38" s="31" t="n">
        <v>0</v>
      </c>
      <c r="V38" s="26"/>
      <c r="W38" s="26" t="str">
        <f aca="false">IF($K38="","출고일 미정",IF($O38="X","작지 미발행",IF($O38="부분","작지 일부 미발행",IF(AND($Q38&lt;&gt;"",$Q38&gt;$M38),"소재입고 마감("&amp;TEXT($M38,"MM/DD")&amp;") 초과",IF($O38="","발행여부 확인 필요",IF($Q38="","소재 입고일정 확인 필요","정상"))))))</f>
        <v>작지 미발행</v>
      </c>
      <c r="X38" s="24" t="str">
        <f aca="false">IF($K38="","",IF(OR(LEFT($W38,2)="작지",LEFT($W38,4)="소재입고"),IF(LEFT($G38,1)="S","★ 납기위험(S코드)","◆ 지연주의"),IF($W38="정상","✓ 정상","? 확인필요")))</f>
        <v>★ 납기위험(S코드)</v>
      </c>
      <c r="Y38" s="27"/>
      <c r="Z38" s="32"/>
    </row>
    <row r="39" customFormat="false" ht="15" hidden="false" customHeight="false" outlineLevel="0" collapsed="false">
      <c r="A39" s="24" t="n">
        <v>35</v>
      </c>
      <c r="B39" s="25" t="s">
        <v>130</v>
      </c>
      <c r="C39" s="25" t="s">
        <v>140</v>
      </c>
      <c r="D39" s="26" t="s">
        <v>184</v>
      </c>
      <c r="E39" s="26" t="s">
        <v>185</v>
      </c>
      <c r="F39" s="26" t="s">
        <v>186</v>
      </c>
      <c r="G39" s="24" t="str">
        <f aca="false">IF($D39="","",IF(MID($D39,5,1)="S","S(봄)",IF(MID($D39,5,1)="M","M(여름)",IF(MID($D39,5,1)="X","X(사계절)",MID($D39,5,1)))))</f>
        <v>S(봄)</v>
      </c>
      <c r="H39" s="25" t="s">
        <v>67</v>
      </c>
      <c r="I39" s="24" t="s">
        <v>135</v>
      </c>
      <c r="J39" s="27" t="s">
        <v>136</v>
      </c>
      <c r="K39" s="28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8" t="n">
        <f aca="false">IF($K39="","",$K39-기준정보!$C$5)</f>
        <v>46388</v>
      </c>
      <c r="M39" s="28" t="n">
        <f aca="false">IF($L39="","",$L39-기준정보!$C$6)</f>
        <v>46298</v>
      </c>
      <c r="N39" s="29" t="n">
        <f aca="false">IF($M39="","",$M39-기준정보!$C$4)</f>
        <v>56</v>
      </c>
      <c r="O39" s="27" t="s">
        <v>71</v>
      </c>
      <c r="P39" s="27" t="s">
        <v>71</v>
      </c>
      <c r="Q39" s="30"/>
      <c r="R39" s="26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S39" s="25" t="s">
        <v>183</v>
      </c>
      <c r="T39" s="25" t="s">
        <v>119</v>
      </c>
      <c r="U39" s="31" t="n">
        <v>0</v>
      </c>
      <c r="V39" s="26"/>
      <c r="W39" s="26" t="str">
        <f aca="false">IF($K39="","출고일 미정",IF($O39="X","작지 미발행",IF($O39="부분","작지 일부 미발행",IF(AND($Q39&lt;&gt;"",$Q39&gt;$M39),"소재입고 마감("&amp;TEXT($M39,"MM/DD")&amp;") 초과",IF($O39="","발행여부 확인 필요",IF($Q39="","소재 입고일정 확인 필요","정상"))))))</f>
        <v>작지 미발행</v>
      </c>
      <c r="X39" s="24" t="str">
        <f aca="false">IF($K39="","",IF(OR(LEFT($W39,2)="작지",LEFT($W39,4)="소재입고"),IF(LEFT($G39,1)="S","★ 납기위험(S코드)","◆ 지연주의"),IF($W39="정상","✓ 정상","? 확인필요")))</f>
        <v>★ 납기위험(S코드)</v>
      </c>
      <c r="Y39" s="27"/>
      <c r="Z39" s="32"/>
    </row>
    <row r="40" customFormat="false" ht="15" hidden="false" customHeight="false" outlineLevel="0" collapsed="false">
      <c r="A40" s="24" t="n">
        <v>36</v>
      </c>
      <c r="B40" s="25" t="s">
        <v>187</v>
      </c>
      <c r="C40" s="25" t="s">
        <v>188</v>
      </c>
      <c r="D40" s="26" t="s">
        <v>189</v>
      </c>
      <c r="E40" s="25" t="s">
        <v>190</v>
      </c>
      <c r="F40" s="26" t="s">
        <v>191</v>
      </c>
      <c r="G40" s="24" t="str">
        <f aca="false">IF($D40="","",IF(MID($D40,5,1)="S","S(봄)",IF(MID($D40,5,1)="M","M(여름)",IF(MID($D40,5,1)="X","X(사계절)",MID($D40,5,1)))))</f>
        <v>S(봄)</v>
      </c>
      <c r="H40" s="25" t="s">
        <v>67</v>
      </c>
      <c r="I40" s="24"/>
      <c r="J40" s="27" t="s">
        <v>136</v>
      </c>
      <c r="K40" s="28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8" t="n">
        <f aca="false">IF($K40="","",$K40-기준정보!$C$5)</f>
        <v>46388</v>
      </c>
      <c r="M40" s="28" t="n">
        <f aca="false">IF($L40="","",$L40-기준정보!$C$6)</f>
        <v>46298</v>
      </c>
      <c r="N40" s="29" t="n">
        <f aca="false">IF($M40="","",$M40-기준정보!$C$4)</f>
        <v>56</v>
      </c>
      <c r="O40" s="27" t="s">
        <v>70</v>
      </c>
      <c r="P40" s="27" t="s">
        <v>71</v>
      </c>
      <c r="Q40" s="30"/>
      <c r="R40" s="26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S40" s="25" t="s">
        <v>77</v>
      </c>
      <c r="T40" s="26"/>
      <c r="U40" s="31" t="n">
        <v>2000</v>
      </c>
      <c r="V40" s="26" t="s">
        <v>136</v>
      </c>
      <c r="W40" s="26" t="str">
        <f aca="false">IF($K40="","출고일 미정",IF($O40="X","작지 미발행",IF($O40="부분","작지 일부 미발행",IF(AND($Q40&lt;&gt;"",$Q40&gt;$M40),"소재입고 마감("&amp;TEXT($M40,"MM/DD")&amp;") 초과",IF($O40="","발행여부 확인 필요",IF($Q40="","소재 입고일정 확인 필요","정상"))))))</f>
        <v>소재 입고일정 확인 필요</v>
      </c>
      <c r="X40" s="24" t="str">
        <f aca="false">IF($K40="","",IF(OR(LEFT($W40,2)="작지",LEFT($W40,4)="소재입고"),IF(LEFT($G40,1)="S","★ 납기위험(S코드)","◆ 지연주의"),IF($W40="정상","✓ 정상","? 확인필요")))</f>
        <v>? 확인필요</v>
      </c>
      <c r="Y40" s="27"/>
      <c r="Z40" s="32"/>
    </row>
    <row r="41" customFormat="false" ht="15" hidden="false" customHeight="false" outlineLevel="0" collapsed="false">
      <c r="A41" s="24" t="n">
        <v>37</v>
      </c>
      <c r="B41" s="25" t="s">
        <v>192</v>
      </c>
      <c r="C41" s="25" t="s">
        <v>193</v>
      </c>
      <c r="D41" s="26" t="s">
        <v>194</v>
      </c>
      <c r="E41" s="25" t="s">
        <v>195</v>
      </c>
      <c r="F41" s="26" t="s">
        <v>196</v>
      </c>
      <c r="G41" s="24" t="str">
        <f aca="false">IF($D41="","",IF(MID($D41,5,1)="S","S(봄)",IF(MID($D41,5,1)="M","M(여름)",IF(MID($D41,5,1)="X","X(사계절)",MID($D41,5,1)))))</f>
        <v>S(봄)</v>
      </c>
      <c r="H41" s="26" t="s">
        <v>197</v>
      </c>
      <c r="I41" s="24"/>
      <c r="J41" s="27" t="s">
        <v>136</v>
      </c>
      <c r="K41" s="28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8" t="n">
        <f aca="false">IF($K41="","",$K41-기준정보!$C$5)</f>
        <v>46388</v>
      </c>
      <c r="M41" s="28" t="n">
        <f aca="false">IF($L41="","",$L41-기준정보!$C$6)</f>
        <v>46298</v>
      </c>
      <c r="N41" s="29" t="n">
        <f aca="false">IF($M41="","",$M41-기준정보!$C$4)</f>
        <v>56</v>
      </c>
      <c r="O41" s="27" t="s">
        <v>70</v>
      </c>
      <c r="P41" s="27" t="s">
        <v>71</v>
      </c>
      <c r="Q41" s="30"/>
      <c r="R41" s="26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S41" s="25" t="s">
        <v>198</v>
      </c>
      <c r="T41" s="25" t="s">
        <v>73</v>
      </c>
      <c r="U41" s="31" t="n">
        <v>4000</v>
      </c>
      <c r="V41" s="26" t="s">
        <v>136</v>
      </c>
      <c r="W41" s="26" t="str">
        <f aca="false">IF($K41="","출고일 미정",IF($O41="X","작지 미발행",IF($O41="부분","작지 일부 미발행",IF(AND($Q41&lt;&gt;"",$Q41&gt;$M41),"소재입고 마감("&amp;TEXT($M41,"MM/DD")&amp;") 초과",IF($O41="","발행여부 확인 필요",IF($Q41="","소재 입고일정 확인 필요","정상"))))))</f>
        <v>소재 입고일정 확인 필요</v>
      </c>
      <c r="X41" s="24" t="str">
        <f aca="false">IF($K41="","",IF(OR(LEFT($W41,2)="작지",LEFT($W41,4)="소재입고"),IF(LEFT($G41,1)="S","★ 납기위험(S코드)","◆ 지연주의"),IF($W41="정상","✓ 정상","? 확인필요")))</f>
        <v>? 확인필요</v>
      </c>
      <c r="Y41" s="27"/>
      <c r="Z41" s="32"/>
    </row>
    <row r="42" customFormat="false" ht="15" hidden="false" customHeight="false" outlineLevel="0" collapsed="false">
      <c r="A42" s="24" t="n">
        <v>38</v>
      </c>
      <c r="B42" s="25" t="s">
        <v>192</v>
      </c>
      <c r="C42" s="25" t="s">
        <v>193</v>
      </c>
      <c r="D42" s="26" t="s">
        <v>199</v>
      </c>
      <c r="E42" s="25" t="s">
        <v>200</v>
      </c>
      <c r="F42" s="26" t="s">
        <v>201</v>
      </c>
      <c r="G42" s="24" t="str">
        <f aca="false">IF($D42="","",IF(MID($D42,5,1)="S","S(봄)",IF(MID($D42,5,1)="M","M(여름)",IF(MID($D42,5,1)="X","X(사계절)",MID($D42,5,1)))))</f>
        <v>S(봄)</v>
      </c>
      <c r="H42" s="25" t="s">
        <v>67</v>
      </c>
      <c r="I42" s="24"/>
      <c r="J42" s="27" t="s">
        <v>136</v>
      </c>
      <c r="K42" s="28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8" t="n">
        <f aca="false">IF($K42="","",$K42-기준정보!$C$5)</f>
        <v>46388</v>
      </c>
      <c r="M42" s="28" t="n">
        <f aca="false">IF($L42="","",$L42-기준정보!$C$6)</f>
        <v>46298</v>
      </c>
      <c r="N42" s="29" t="n">
        <f aca="false">IF($M42="","",$M42-기준정보!$C$4)</f>
        <v>56</v>
      </c>
      <c r="O42" s="27" t="s">
        <v>70</v>
      </c>
      <c r="P42" s="27" t="s">
        <v>71</v>
      </c>
      <c r="Q42" s="30"/>
      <c r="R42" s="26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S42" s="25" t="s">
        <v>94</v>
      </c>
      <c r="T42" s="25" t="s">
        <v>73</v>
      </c>
      <c r="U42" s="31" t="n">
        <v>2500</v>
      </c>
      <c r="V42" s="26" t="s">
        <v>136</v>
      </c>
      <c r="W42" s="26" t="str">
        <f aca="false">IF($K42="","출고일 미정",IF($O42="X","작지 미발행",IF($O42="부분","작지 일부 미발행",IF(AND($Q42&lt;&gt;"",$Q42&gt;$M42),"소재입고 마감("&amp;TEXT($M42,"MM/DD")&amp;") 초과",IF($O42="","발행여부 확인 필요",IF($Q42="","소재 입고일정 확인 필요","정상"))))))</f>
        <v>소재 입고일정 확인 필요</v>
      </c>
      <c r="X42" s="24" t="str">
        <f aca="false">IF($K42="","",IF(OR(LEFT($W42,2)="작지",LEFT($W42,4)="소재입고"),IF(LEFT($G42,1)="S","★ 납기위험(S코드)","◆ 지연주의"),IF($W42="정상","✓ 정상","? 확인필요")))</f>
        <v>? 확인필요</v>
      </c>
      <c r="Y42" s="27"/>
      <c r="Z42" s="32"/>
    </row>
    <row r="43" customFormat="false" ht="15" hidden="false" customHeight="false" outlineLevel="0" collapsed="false">
      <c r="A43" s="24" t="n">
        <v>39</v>
      </c>
      <c r="B43" s="25" t="s">
        <v>192</v>
      </c>
      <c r="C43" s="25" t="s">
        <v>193</v>
      </c>
      <c r="D43" s="26" t="s">
        <v>202</v>
      </c>
      <c r="E43" s="25" t="s">
        <v>203</v>
      </c>
      <c r="F43" s="26" t="s">
        <v>204</v>
      </c>
      <c r="G43" s="24" t="str">
        <f aca="false">IF($D43="","",IF(MID($D43,5,1)="S","S(봄)",IF(MID($D43,5,1)="M","M(여름)",IF(MID($D43,5,1)="X","X(사계절)",MID($D43,5,1)))))</f>
        <v>S(봄)</v>
      </c>
      <c r="H43" s="25" t="s">
        <v>67</v>
      </c>
      <c r="I43" s="24"/>
      <c r="J43" s="27" t="s">
        <v>136</v>
      </c>
      <c r="K43" s="28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8" t="n">
        <f aca="false">IF($K43="","",$K43-기준정보!$C$5)</f>
        <v>46388</v>
      </c>
      <c r="M43" s="28" t="n">
        <f aca="false">IF($L43="","",$L43-기준정보!$C$6)</f>
        <v>46298</v>
      </c>
      <c r="N43" s="29" t="n">
        <f aca="false">IF($M43="","",$M43-기준정보!$C$4)</f>
        <v>56</v>
      </c>
      <c r="O43" s="27" t="s">
        <v>70</v>
      </c>
      <c r="P43" s="27" t="s">
        <v>71</v>
      </c>
      <c r="Q43" s="30"/>
      <c r="R43" s="26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S43" s="25" t="s">
        <v>94</v>
      </c>
      <c r="T43" s="25" t="s">
        <v>73</v>
      </c>
      <c r="U43" s="31" t="n">
        <v>1400</v>
      </c>
      <c r="V43" s="26" t="s">
        <v>136</v>
      </c>
      <c r="W43" s="26" t="str">
        <f aca="false">IF($K43="","출고일 미정",IF($O43="X","작지 미발행",IF($O43="부분","작지 일부 미발행",IF(AND($Q43&lt;&gt;"",$Q43&gt;$M43),"소재입고 마감("&amp;TEXT($M43,"MM/DD")&amp;") 초과",IF($O43="","발행여부 확인 필요",IF($Q43="","소재 입고일정 확인 필요","정상"))))))</f>
        <v>소재 입고일정 확인 필요</v>
      </c>
      <c r="X43" s="24" t="str">
        <f aca="false">IF($K43="","",IF(OR(LEFT($W43,2)="작지",LEFT($W43,4)="소재입고"),IF(LEFT($G43,1)="S","★ 납기위험(S코드)","◆ 지연주의"),IF($W43="정상","✓ 정상","? 확인필요")))</f>
        <v>? 확인필요</v>
      </c>
      <c r="Y43" s="27"/>
      <c r="Z43" s="32"/>
    </row>
    <row r="44" customFormat="false" ht="15" hidden="false" customHeight="false" outlineLevel="0" collapsed="false">
      <c r="A44" s="24" t="n">
        <v>40</v>
      </c>
      <c r="B44" s="25" t="s">
        <v>187</v>
      </c>
      <c r="C44" s="25" t="s">
        <v>193</v>
      </c>
      <c r="D44" s="26" t="s">
        <v>205</v>
      </c>
      <c r="E44" s="25" t="s">
        <v>206</v>
      </c>
      <c r="F44" s="26" t="s">
        <v>207</v>
      </c>
      <c r="G44" s="24" t="str">
        <f aca="false">IF($D44="","",IF(MID($D44,5,1)="S","S(봄)",IF(MID($D44,5,1)="M","M(여름)",IF(MID($D44,5,1)="X","X(사계절)",MID($D44,5,1)))))</f>
        <v>S(봄)</v>
      </c>
      <c r="H44" s="25" t="s">
        <v>67</v>
      </c>
      <c r="I44" s="24"/>
      <c r="J44" s="27" t="s">
        <v>136</v>
      </c>
      <c r="K44" s="28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8" t="n">
        <f aca="false">IF($K44="","",$K44-기준정보!$C$5)</f>
        <v>46388</v>
      </c>
      <c r="M44" s="28" t="n">
        <f aca="false">IF($L44="","",$L44-기준정보!$C$6)</f>
        <v>46298</v>
      </c>
      <c r="N44" s="29" t="n">
        <f aca="false">IF($M44="","",$M44-기준정보!$C$4)</f>
        <v>56</v>
      </c>
      <c r="O44" s="27" t="s">
        <v>70</v>
      </c>
      <c r="P44" s="27" t="s">
        <v>71</v>
      </c>
      <c r="Q44" s="30"/>
      <c r="R44" s="26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S44" s="25" t="s">
        <v>77</v>
      </c>
      <c r="T44" s="26"/>
      <c r="U44" s="31" t="n">
        <v>1000</v>
      </c>
      <c r="V44" s="26" t="s">
        <v>136</v>
      </c>
      <c r="W44" s="26" t="str">
        <f aca="false">IF($K44="","출고일 미정",IF($O44="X","작지 미발행",IF($O44="부분","작지 일부 미발행",IF(AND($Q44&lt;&gt;"",$Q44&gt;$M44),"소재입고 마감("&amp;TEXT($M44,"MM/DD")&amp;") 초과",IF($O44="","발행여부 확인 필요",IF($Q44="","소재 입고일정 확인 필요","정상"))))))</f>
        <v>소재 입고일정 확인 필요</v>
      </c>
      <c r="X44" s="24" t="str">
        <f aca="false">IF($K44="","",IF(OR(LEFT($W44,2)="작지",LEFT($W44,4)="소재입고"),IF(LEFT($G44,1)="S","★ 납기위험(S코드)","◆ 지연주의"),IF($W44="정상","✓ 정상","? 확인필요")))</f>
        <v>? 확인필요</v>
      </c>
      <c r="Y44" s="27"/>
      <c r="Z44" s="32"/>
    </row>
    <row r="45" customFormat="false" ht="15" hidden="false" customHeight="false" outlineLevel="0" collapsed="false">
      <c r="A45" s="24" t="n">
        <v>41</v>
      </c>
      <c r="B45" s="25" t="s">
        <v>208</v>
      </c>
      <c r="C45" s="25" t="s">
        <v>188</v>
      </c>
      <c r="D45" s="26" t="s">
        <v>209</v>
      </c>
      <c r="E45" s="25" t="s">
        <v>210</v>
      </c>
      <c r="F45" s="26" t="s">
        <v>211</v>
      </c>
      <c r="G45" s="24" t="str">
        <f aca="false">IF($D45="","",IF(MID($D45,5,1)="S","S(봄)",IF(MID($D45,5,1)="M","M(여름)",IF(MID($D45,5,1)="X","X(사계절)",MID($D45,5,1)))))</f>
        <v>S(봄)</v>
      </c>
      <c r="H45" s="25" t="s">
        <v>67</v>
      </c>
      <c r="I45" s="24"/>
      <c r="J45" s="27" t="s">
        <v>136</v>
      </c>
      <c r="K45" s="28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8" t="n">
        <f aca="false">IF($K45="","",$K45-기준정보!$C$5)</f>
        <v>46388</v>
      </c>
      <c r="M45" s="28" t="n">
        <f aca="false">IF($L45="","",$L45-기준정보!$C$6)</f>
        <v>46298</v>
      </c>
      <c r="N45" s="29" t="n">
        <f aca="false">IF($M45="","",$M45-기준정보!$C$4)</f>
        <v>56</v>
      </c>
      <c r="O45" s="27" t="s">
        <v>70</v>
      </c>
      <c r="P45" s="27" t="s">
        <v>71</v>
      </c>
      <c r="Q45" s="30"/>
      <c r="R45" s="26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S45" s="25" t="s">
        <v>77</v>
      </c>
      <c r="T45" s="25" t="s">
        <v>78</v>
      </c>
      <c r="U45" s="31" t="n">
        <v>2500</v>
      </c>
      <c r="V45" s="26"/>
      <c r="W45" s="26" t="str">
        <f aca="false">IF($K45="","출고일 미정",IF($O45="X","작지 미발행",IF($O45="부분","작지 일부 미발행",IF(AND($Q45&lt;&gt;"",$Q45&gt;$M45),"소재입고 마감("&amp;TEXT($M45,"MM/DD")&amp;") 초과",IF($O45="","발행여부 확인 필요",IF($Q45="","소재 입고일정 확인 필요","정상"))))))</f>
        <v>소재 입고일정 확인 필요</v>
      </c>
      <c r="X45" s="24" t="str">
        <f aca="false">IF($K45="","",IF(OR(LEFT($W45,2)="작지",LEFT($W45,4)="소재입고"),IF(LEFT($G45,1)="S","★ 납기위험(S코드)","◆ 지연주의"),IF($W45="정상","✓ 정상","? 확인필요")))</f>
        <v>? 확인필요</v>
      </c>
      <c r="Y45" s="27"/>
      <c r="Z45" s="32"/>
    </row>
    <row r="46" customFormat="false" ht="15" hidden="false" customHeight="false" outlineLevel="0" collapsed="false">
      <c r="A46" s="24" t="n">
        <v>42</v>
      </c>
      <c r="B46" s="25" t="s">
        <v>212</v>
      </c>
      <c r="C46" s="25" t="s">
        <v>213</v>
      </c>
      <c r="D46" s="26" t="s">
        <v>214</v>
      </c>
      <c r="E46" s="25" t="s">
        <v>215</v>
      </c>
      <c r="F46" s="26" t="s">
        <v>93</v>
      </c>
      <c r="G46" s="24" t="str">
        <f aca="false">IF($D46="","",IF(MID($D46,5,1)="S","S(봄)",IF(MID($D46,5,1)="M","M(여름)",IF(MID($D46,5,1)="X","X(사계절)",MID($D46,5,1)))))</f>
        <v>S(봄)</v>
      </c>
      <c r="H46" s="26" t="s">
        <v>197</v>
      </c>
      <c r="I46" s="24" t="s">
        <v>216</v>
      </c>
      <c r="J46" s="27" t="s">
        <v>136</v>
      </c>
      <c r="K46" s="28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8" t="n">
        <f aca="false">IF($K46="","",$K46-기준정보!$C$5)</f>
        <v>46388</v>
      </c>
      <c r="M46" s="28" t="n">
        <f aca="false">IF($L46="","",$L46-기준정보!$C$6)</f>
        <v>46298</v>
      </c>
      <c r="N46" s="29" t="n">
        <f aca="false">IF($M46="","",$M46-기준정보!$C$4)</f>
        <v>56</v>
      </c>
      <c r="O46" s="27" t="s">
        <v>70</v>
      </c>
      <c r="P46" s="27" t="s">
        <v>71</v>
      </c>
      <c r="Q46" s="30"/>
      <c r="R46" s="26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S46" s="25" t="s">
        <v>198</v>
      </c>
      <c r="T46" s="25" t="s">
        <v>73</v>
      </c>
      <c r="U46" s="31" t="n">
        <v>5500</v>
      </c>
      <c r="V46" s="26"/>
      <c r="W46" s="26" t="str">
        <f aca="false">IF($K46="","출고일 미정",IF($O46="X","작지 미발행",IF($O46="부분","작지 일부 미발행",IF(AND($Q46&lt;&gt;"",$Q46&gt;$M46),"소재입고 마감("&amp;TEXT($M46,"MM/DD")&amp;") 초과",IF($O46="","발행여부 확인 필요",IF($Q46="","소재 입고일정 확인 필요","정상"))))))</f>
        <v>소재 입고일정 확인 필요</v>
      </c>
      <c r="X46" s="24" t="str">
        <f aca="false">IF($K46="","",IF(OR(LEFT($W46,2)="작지",LEFT($W46,4)="소재입고"),IF(LEFT($G46,1)="S","★ 납기위험(S코드)","◆ 지연주의"),IF($W46="정상","✓ 정상","? 확인필요")))</f>
        <v>? 확인필요</v>
      </c>
      <c r="Y46" s="27"/>
      <c r="Z46" s="32"/>
    </row>
    <row r="47" customFormat="false" ht="15" hidden="false" customHeight="false" outlineLevel="0" collapsed="false">
      <c r="A47" s="24" t="n">
        <v>43</v>
      </c>
      <c r="B47" s="25" t="s">
        <v>212</v>
      </c>
      <c r="C47" s="25" t="s">
        <v>213</v>
      </c>
      <c r="D47" s="26" t="s">
        <v>217</v>
      </c>
      <c r="E47" s="25" t="s">
        <v>218</v>
      </c>
      <c r="F47" s="26" t="s">
        <v>219</v>
      </c>
      <c r="G47" s="24" t="str">
        <f aca="false">IF($D47="","",IF(MID($D47,5,1)="S","S(봄)",IF(MID($D47,5,1)="M","M(여름)",IF(MID($D47,5,1)="X","X(사계절)",MID($D47,5,1)))))</f>
        <v>S(봄)</v>
      </c>
      <c r="H47" s="26" t="s">
        <v>197</v>
      </c>
      <c r="I47" s="24" t="s">
        <v>216</v>
      </c>
      <c r="J47" s="27" t="s">
        <v>136</v>
      </c>
      <c r="K47" s="28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8" t="n">
        <f aca="false">IF($K47="","",$K47-기준정보!$C$5)</f>
        <v>46388</v>
      </c>
      <c r="M47" s="28" t="n">
        <f aca="false">IF($L47="","",$L47-기준정보!$C$6)</f>
        <v>46298</v>
      </c>
      <c r="N47" s="29" t="n">
        <f aca="false">IF($M47="","",$M47-기준정보!$C$4)</f>
        <v>56</v>
      </c>
      <c r="O47" s="27" t="s">
        <v>70</v>
      </c>
      <c r="P47" s="27" t="s">
        <v>71</v>
      </c>
      <c r="Q47" s="30"/>
      <c r="R47" s="26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S47" s="25" t="s">
        <v>198</v>
      </c>
      <c r="T47" s="25" t="s">
        <v>73</v>
      </c>
      <c r="U47" s="31" t="n">
        <v>8000</v>
      </c>
      <c r="V47" s="26"/>
      <c r="W47" s="26" t="str">
        <f aca="false">IF($K47="","출고일 미정",IF($O47="X","작지 미발행",IF($O47="부분","작지 일부 미발행",IF(AND($Q47&lt;&gt;"",$Q47&gt;$M47),"소재입고 마감("&amp;TEXT($M47,"MM/DD")&amp;") 초과",IF($O47="","발행여부 확인 필요",IF($Q47="","소재 입고일정 확인 필요","정상"))))))</f>
        <v>소재 입고일정 확인 필요</v>
      </c>
      <c r="X47" s="24" t="str">
        <f aca="false">IF($K47="","",IF(OR(LEFT($W47,2)="작지",LEFT($W47,4)="소재입고"),IF(LEFT($G47,1)="S","★ 납기위험(S코드)","◆ 지연주의"),IF($W47="정상","✓ 정상","? 확인필요")))</f>
        <v>? 확인필요</v>
      </c>
      <c r="Y47" s="27"/>
      <c r="Z47" s="32"/>
    </row>
    <row r="48" customFormat="false" ht="15" hidden="false" customHeight="false" outlineLevel="0" collapsed="false">
      <c r="A48" s="24" t="n">
        <v>44</v>
      </c>
      <c r="B48" s="25" t="s">
        <v>212</v>
      </c>
      <c r="C48" s="25" t="s">
        <v>213</v>
      </c>
      <c r="D48" s="26" t="s">
        <v>220</v>
      </c>
      <c r="E48" s="25" t="s">
        <v>221</v>
      </c>
      <c r="F48" s="26" t="s">
        <v>222</v>
      </c>
      <c r="G48" s="24" t="str">
        <f aca="false">IF($D48="","",IF(MID($D48,5,1)="S","S(봄)",IF(MID($D48,5,1)="M","M(여름)",IF(MID($D48,5,1)="X","X(사계절)",MID($D48,5,1)))))</f>
        <v>S(봄)</v>
      </c>
      <c r="H48" s="25" t="s">
        <v>67</v>
      </c>
      <c r="I48" s="24" t="s">
        <v>216</v>
      </c>
      <c r="J48" s="27" t="s">
        <v>136</v>
      </c>
      <c r="K48" s="28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8" t="n">
        <f aca="false">IF($K48="","",$K48-기준정보!$C$5)</f>
        <v>46388</v>
      </c>
      <c r="M48" s="28" t="n">
        <f aca="false">IF($L48="","",$L48-기준정보!$C$6)</f>
        <v>46298</v>
      </c>
      <c r="N48" s="29" t="n">
        <f aca="false">IF($M48="","",$M48-기준정보!$C$4)</f>
        <v>56</v>
      </c>
      <c r="O48" s="27" t="s">
        <v>70</v>
      </c>
      <c r="P48" s="27" t="s">
        <v>71</v>
      </c>
      <c r="Q48" s="30"/>
      <c r="R48" s="26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S48" s="26" t="s">
        <v>223</v>
      </c>
      <c r="T48" s="25" t="s">
        <v>73</v>
      </c>
      <c r="U48" s="31" t="n">
        <v>1800</v>
      </c>
      <c r="V48" s="26" t="s">
        <v>136</v>
      </c>
      <c r="W48" s="26" t="str">
        <f aca="false">IF($K48="","출고일 미정",IF($O48="X","작지 미발행",IF($O48="부분","작지 일부 미발행",IF(AND($Q48&lt;&gt;"",$Q48&gt;$M48),"소재입고 마감("&amp;TEXT($M48,"MM/DD")&amp;") 초과",IF($O48="","발행여부 확인 필요",IF($Q48="","소재 입고일정 확인 필요","정상"))))))</f>
        <v>소재 입고일정 확인 필요</v>
      </c>
      <c r="X48" s="24" t="str">
        <f aca="false">IF($K48="","",IF(OR(LEFT($W48,2)="작지",LEFT($W48,4)="소재입고"),IF(LEFT($G48,1)="S","★ 납기위험(S코드)","◆ 지연주의"),IF($W48="정상","✓ 정상","? 확인필요")))</f>
        <v>? 확인필요</v>
      </c>
      <c r="Y48" s="27"/>
      <c r="Z48" s="32"/>
    </row>
    <row r="49" customFormat="false" ht="15" hidden="false" customHeight="false" outlineLevel="0" collapsed="false">
      <c r="A49" s="24" t="n">
        <v>45</v>
      </c>
      <c r="B49" s="25" t="s">
        <v>212</v>
      </c>
      <c r="C49" s="25" t="s">
        <v>213</v>
      </c>
      <c r="D49" s="26" t="s">
        <v>224</v>
      </c>
      <c r="E49" s="25" t="s">
        <v>225</v>
      </c>
      <c r="F49" s="26" t="s">
        <v>226</v>
      </c>
      <c r="G49" s="24" t="str">
        <f aca="false">IF($D49="","",IF(MID($D49,5,1)="S","S(봄)",IF(MID($D49,5,1)="M","M(여름)",IF(MID($D49,5,1)="X","X(사계절)",MID($D49,5,1)))))</f>
        <v>S(봄)</v>
      </c>
      <c r="H49" s="25" t="s">
        <v>67</v>
      </c>
      <c r="I49" s="24" t="s">
        <v>216</v>
      </c>
      <c r="J49" s="27" t="s">
        <v>136</v>
      </c>
      <c r="K49" s="28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8" t="n">
        <f aca="false">IF($K49="","",$K49-기준정보!$C$5)</f>
        <v>46388</v>
      </c>
      <c r="M49" s="28" t="n">
        <f aca="false">IF($L49="","",$L49-기준정보!$C$6)</f>
        <v>46298</v>
      </c>
      <c r="N49" s="29" t="n">
        <f aca="false">IF($M49="","",$M49-기준정보!$C$4)</f>
        <v>56</v>
      </c>
      <c r="O49" s="27" t="s">
        <v>70</v>
      </c>
      <c r="P49" s="27" t="s">
        <v>71</v>
      </c>
      <c r="Q49" s="30"/>
      <c r="R49" s="26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S49" s="25" t="s">
        <v>227</v>
      </c>
      <c r="T49" s="25" t="s">
        <v>73</v>
      </c>
      <c r="U49" s="31" t="n">
        <v>1600</v>
      </c>
      <c r="V49" s="26"/>
      <c r="W49" s="26" t="str">
        <f aca="false">IF($K49="","출고일 미정",IF($O49="X","작지 미발행",IF($O49="부분","작지 일부 미발행",IF(AND($Q49&lt;&gt;"",$Q49&gt;$M49),"소재입고 마감("&amp;TEXT($M49,"MM/DD")&amp;") 초과",IF($O49="","발행여부 확인 필요",IF($Q49="","소재 입고일정 확인 필요","정상"))))))</f>
        <v>소재 입고일정 확인 필요</v>
      </c>
      <c r="X49" s="24" t="str">
        <f aca="false">IF($K49="","",IF(OR(LEFT($W49,2)="작지",LEFT($W49,4)="소재입고"),IF(LEFT($G49,1)="S","★ 납기위험(S코드)","◆ 지연주의"),IF($W49="정상","✓ 정상","? 확인필요")))</f>
        <v>? 확인필요</v>
      </c>
      <c r="Y49" s="27"/>
      <c r="Z49" s="32"/>
    </row>
    <row r="50" customFormat="false" ht="15" hidden="false" customHeight="false" outlineLevel="0" collapsed="false">
      <c r="A50" s="24" t="n">
        <v>46</v>
      </c>
      <c r="B50" s="25" t="s">
        <v>208</v>
      </c>
      <c r="C50" s="25" t="s">
        <v>213</v>
      </c>
      <c r="D50" s="26" t="s">
        <v>228</v>
      </c>
      <c r="E50" s="25" t="s">
        <v>229</v>
      </c>
      <c r="F50" s="26" t="s">
        <v>230</v>
      </c>
      <c r="G50" s="24" t="str">
        <f aca="false">IF($D50="","",IF(MID($D50,5,1)="S","S(봄)",IF(MID($D50,5,1)="M","M(여름)",IF(MID($D50,5,1)="X","X(사계절)",MID($D50,5,1)))))</f>
        <v>S(봄)</v>
      </c>
      <c r="H50" s="25" t="s">
        <v>67</v>
      </c>
      <c r="I50" s="24"/>
      <c r="J50" s="27" t="s">
        <v>136</v>
      </c>
      <c r="K50" s="28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8" t="n">
        <f aca="false">IF($K50="","",$K50-기준정보!$C$5)</f>
        <v>46388</v>
      </c>
      <c r="M50" s="28" t="n">
        <f aca="false">IF($L50="","",$L50-기준정보!$C$6)</f>
        <v>46298</v>
      </c>
      <c r="N50" s="29" t="n">
        <f aca="false">IF($M50="","",$M50-기준정보!$C$4)</f>
        <v>56</v>
      </c>
      <c r="O50" s="27" t="s">
        <v>70</v>
      </c>
      <c r="P50" s="27" t="s">
        <v>71</v>
      </c>
      <c r="Q50" s="30"/>
      <c r="R50" s="26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S50" s="26" t="s">
        <v>231</v>
      </c>
      <c r="T50" s="25" t="s">
        <v>78</v>
      </c>
      <c r="U50" s="31" t="n">
        <v>3000</v>
      </c>
      <c r="V50" s="26"/>
      <c r="W50" s="26" t="str">
        <f aca="false">IF($K50="","출고일 미정",IF($O50="X","작지 미발행",IF($O50="부분","작지 일부 미발행",IF(AND($Q50&lt;&gt;"",$Q50&gt;$M50),"소재입고 마감("&amp;TEXT($M50,"MM/DD")&amp;") 초과",IF($O50="","발행여부 확인 필요",IF($Q50="","소재 입고일정 확인 필요","정상"))))))</f>
        <v>소재 입고일정 확인 필요</v>
      </c>
      <c r="X50" s="24" t="str">
        <f aca="false">IF($K50="","",IF(OR(LEFT($W50,2)="작지",LEFT($W50,4)="소재입고"),IF(LEFT($G50,1)="S","★ 납기위험(S코드)","◆ 지연주의"),IF($W50="정상","✓ 정상","? 확인필요")))</f>
        <v>? 확인필요</v>
      </c>
      <c r="Y50" s="27"/>
      <c r="Z50" s="32"/>
    </row>
    <row r="51" customFormat="false" ht="15" hidden="false" customHeight="false" outlineLevel="0" collapsed="false">
      <c r="A51" s="24" t="n">
        <v>47</v>
      </c>
      <c r="B51" s="25" t="s">
        <v>208</v>
      </c>
      <c r="C51" s="25" t="s">
        <v>213</v>
      </c>
      <c r="D51" s="26" t="s">
        <v>232</v>
      </c>
      <c r="E51" s="25" t="s">
        <v>233</v>
      </c>
      <c r="F51" s="26" t="s">
        <v>234</v>
      </c>
      <c r="G51" s="24" t="str">
        <f aca="false">IF($D51="","",IF(MID($D51,5,1)="S","S(봄)",IF(MID($D51,5,1)="M","M(여름)",IF(MID($D51,5,1)="X","X(사계절)",MID($D51,5,1)))))</f>
        <v>S(봄)</v>
      </c>
      <c r="H51" s="25" t="s">
        <v>67</v>
      </c>
      <c r="I51" s="24"/>
      <c r="J51" s="27" t="s">
        <v>136</v>
      </c>
      <c r="K51" s="28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8" t="n">
        <f aca="false">IF($K51="","",$K51-기준정보!$C$5)</f>
        <v>46388</v>
      </c>
      <c r="M51" s="28" t="n">
        <f aca="false">IF($L51="","",$L51-기준정보!$C$6)</f>
        <v>46298</v>
      </c>
      <c r="N51" s="29" t="n">
        <f aca="false">IF($M51="","",$M51-기준정보!$C$4)</f>
        <v>56</v>
      </c>
      <c r="O51" s="27" t="s">
        <v>70</v>
      </c>
      <c r="P51" s="27" t="s">
        <v>71</v>
      </c>
      <c r="Q51" s="30"/>
      <c r="R51" s="26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S51" s="26" t="s">
        <v>231</v>
      </c>
      <c r="T51" s="25" t="s">
        <v>78</v>
      </c>
      <c r="U51" s="31" t="n">
        <v>2000</v>
      </c>
      <c r="V51" s="26"/>
      <c r="W51" s="26" t="str">
        <f aca="false">IF($K51="","출고일 미정",IF($O51="X","작지 미발행",IF($O51="부분","작지 일부 미발행",IF(AND($Q51&lt;&gt;"",$Q51&gt;$M51),"소재입고 마감("&amp;TEXT($M51,"MM/DD")&amp;") 초과",IF($O51="","발행여부 확인 필요",IF($Q51="","소재 입고일정 확인 필요","정상"))))))</f>
        <v>소재 입고일정 확인 필요</v>
      </c>
      <c r="X51" s="24" t="str">
        <f aca="false">IF($K51="","",IF(OR(LEFT($W51,2)="작지",LEFT($W51,4)="소재입고"),IF(LEFT($G51,1)="S","★ 납기위험(S코드)","◆ 지연주의"),IF($W51="정상","✓ 정상","? 확인필요")))</f>
        <v>? 확인필요</v>
      </c>
      <c r="Y51" s="27"/>
      <c r="Z51" s="32"/>
    </row>
    <row r="52" customFormat="false" ht="15" hidden="false" customHeight="false" outlineLevel="0" collapsed="false">
      <c r="A52" s="24" t="n">
        <v>48</v>
      </c>
      <c r="B52" s="25" t="s">
        <v>208</v>
      </c>
      <c r="C52" s="25" t="s">
        <v>213</v>
      </c>
      <c r="D52" s="26" t="s">
        <v>235</v>
      </c>
      <c r="E52" s="25" t="s">
        <v>236</v>
      </c>
      <c r="F52" s="26" t="s">
        <v>237</v>
      </c>
      <c r="G52" s="24" t="str">
        <f aca="false">IF($D52="","",IF(MID($D52,5,1)="S","S(봄)",IF(MID($D52,5,1)="M","M(여름)",IF(MID($D52,5,1)="X","X(사계절)",MID($D52,5,1)))))</f>
        <v>S(봄)</v>
      </c>
      <c r="H52" s="25" t="s">
        <v>67</v>
      </c>
      <c r="I52" s="24"/>
      <c r="J52" s="27" t="s">
        <v>136</v>
      </c>
      <c r="K52" s="28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8" t="n">
        <f aca="false">IF($K52="","",$K52-기준정보!$C$5)</f>
        <v>46388</v>
      </c>
      <c r="M52" s="28" t="n">
        <f aca="false">IF($L52="","",$L52-기준정보!$C$6)</f>
        <v>46298</v>
      </c>
      <c r="N52" s="29" t="n">
        <f aca="false">IF($M52="","",$M52-기준정보!$C$4)</f>
        <v>56</v>
      </c>
      <c r="O52" s="27" t="s">
        <v>70</v>
      </c>
      <c r="P52" s="27" t="s">
        <v>71</v>
      </c>
      <c r="Q52" s="30"/>
      <c r="R52" s="26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S52" s="26" t="s">
        <v>231</v>
      </c>
      <c r="T52" s="25" t="s">
        <v>78</v>
      </c>
      <c r="U52" s="31" t="n">
        <v>2000</v>
      </c>
      <c r="V52" s="26"/>
      <c r="W52" s="26" t="str">
        <f aca="false">IF($K52="","출고일 미정",IF($O52="X","작지 미발행",IF($O52="부분","작지 일부 미발행",IF(AND($Q52&lt;&gt;"",$Q52&gt;$M52),"소재입고 마감("&amp;TEXT($M52,"MM/DD")&amp;") 초과",IF($O52="","발행여부 확인 필요",IF($Q52="","소재 입고일정 확인 필요","정상"))))))</f>
        <v>소재 입고일정 확인 필요</v>
      </c>
      <c r="X52" s="24" t="str">
        <f aca="false">IF($K52="","",IF(OR(LEFT($W52,2)="작지",LEFT($W52,4)="소재입고"),IF(LEFT($G52,1)="S","★ 납기위험(S코드)","◆ 지연주의"),IF($W52="정상","✓ 정상","? 확인필요")))</f>
        <v>? 확인필요</v>
      </c>
      <c r="Y52" s="27"/>
      <c r="Z52" s="32"/>
    </row>
    <row r="53" customFormat="false" ht="15" hidden="false" customHeight="false" outlineLevel="0" collapsed="false">
      <c r="A53" s="24" t="n">
        <v>49</v>
      </c>
      <c r="B53" s="25" t="s">
        <v>208</v>
      </c>
      <c r="C53" s="25" t="s">
        <v>213</v>
      </c>
      <c r="D53" s="26" t="s">
        <v>238</v>
      </c>
      <c r="E53" s="25" t="s">
        <v>239</v>
      </c>
      <c r="F53" s="26" t="s">
        <v>240</v>
      </c>
      <c r="G53" s="24" t="str">
        <f aca="false">IF($D53="","",IF(MID($D53,5,1)="S","S(봄)",IF(MID($D53,5,1)="M","M(여름)",IF(MID($D53,5,1)="X","X(사계절)",MID($D53,5,1)))))</f>
        <v>S(봄)</v>
      </c>
      <c r="H53" s="25" t="s">
        <v>67</v>
      </c>
      <c r="I53" s="24"/>
      <c r="J53" s="27" t="s">
        <v>136</v>
      </c>
      <c r="K53" s="28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8" t="n">
        <f aca="false">IF($K53="","",$K53-기준정보!$C$5)</f>
        <v>46388</v>
      </c>
      <c r="M53" s="28" t="n">
        <f aca="false">IF($L53="","",$L53-기준정보!$C$6)</f>
        <v>46298</v>
      </c>
      <c r="N53" s="29" t="n">
        <f aca="false">IF($M53="","",$M53-기준정보!$C$4)</f>
        <v>56</v>
      </c>
      <c r="O53" s="27" t="s">
        <v>70</v>
      </c>
      <c r="P53" s="27" t="s">
        <v>71</v>
      </c>
      <c r="Q53" s="30"/>
      <c r="R53" s="26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S53" s="25" t="s">
        <v>77</v>
      </c>
      <c r="T53" s="25" t="s">
        <v>78</v>
      </c>
      <c r="U53" s="31" t="n">
        <v>1200</v>
      </c>
      <c r="V53" s="26"/>
      <c r="W53" s="26" t="str">
        <f aca="false">IF($K53="","출고일 미정",IF($O53="X","작지 미발행",IF($O53="부분","작지 일부 미발행",IF(AND($Q53&lt;&gt;"",$Q53&gt;$M53),"소재입고 마감("&amp;TEXT($M53,"MM/DD")&amp;") 초과",IF($O53="","발행여부 확인 필요",IF($Q53="","소재 입고일정 확인 필요","정상"))))))</f>
        <v>소재 입고일정 확인 필요</v>
      </c>
      <c r="X53" s="24" t="str">
        <f aca="false">IF($K53="","",IF(OR(LEFT($W53,2)="작지",LEFT($W53,4)="소재입고"),IF(LEFT($G53,1)="S","★ 납기위험(S코드)","◆ 지연주의"),IF($W53="정상","✓ 정상","? 확인필요")))</f>
        <v>? 확인필요</v>
      </c>
      <c r="Y53" s="27"/>
      <c r="Z53" s="32"/>
    </row>
    <row r="54" customFormat="false" ht="15" hidden="false" customHeight="false" outlineLevel="0" collapsed="false">
      <c r="A54" s="24" t="n">
        <v>50</v>
      </c>
      <c r="B54" s="25" t="s">
        <v>241</v>
      </c>
      <c r="C54" s="25" t="s">
        <v>242</v>
      </c>
      <c r="D54" s="26" t="s">
        <v>243</v>
      </c>
      <c r="E54" s="25" t="s">
        <v>244</v>
      </c>
      <c r="F54" s="26" t="s">
        <v>245</v>
      </c>
      <c r="G54" s="24" t="str">
        <f aca="false">IF($D54="","",IF(MID($D54,5,1)="S","S(봄)",IF(MID($D54,5,1)="M","M(여름)",IF(MID($D54,5,1)="X","X(사계절)",MID($D54,5,1)))))</f>
        <v>S(봄)</v>
      </c>
      <c r="H54" s="25" t="s">
        <v>67</v>
      </c>
      <c r="I54" s="24"/>
      <c r="J54" s="27" t="s">
        <v>136</v>
      </c>
      <c r="K54" s="28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8" t="n">
        <f aca="false">IF($K54="","",$K54-기준정보!$C$5)</f>
        <v>46388</v>
      </c>
      <c r="M54" s="28" t="n">
        <f aca="false">IF($L54="","",$L54-기준정보!$C$6)</f>
        <v>46298</v>
      </c>
      <c r="N54" s="29" t="n">
        <f aca="false">IF($M54="","",$M54-기준정보!$C$4)</f>
        <v>56</v>
      </c>
      <c r="O54" s="27" t="s">
        <v>70</v>
      </c>
      <c r="P54" s="27" t="s">
        <v>71</v>
      </c>
      <c r="Q54" s="30"/>
      <c r="R54" s="26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S54" s="25" t="s">
        <v>246</v>
      </c>
      <c r="T54" s="25" t="s">
        <v>73</v>
      </c>
      <c r="U54" s="31" t="n">
        <v>3000</v>
      </c>
      <c r="V54" s="26" t="s">
        <v>136</v>
      </c>
      <c r="W54" s="26" t="str">
        <f aca="false">IF($K54="","출고일 미정",IF($O54="X","작지 미발행",IF($O54="부분","작지 일부 미발행",IF(AND($Q54&lt;&gt;"",$Q54&gt;$M54),"소재입고 마감("&amp;TEXT($M54,"MM/DD")&amp;") 초과",IF($O54="","발행여부 확인 필요",IF($Q54="","소재 입고일정 확인 필요","정상"))))))</f>
        <v>소재 입고일정 확인 필요</v>
      </c>
      <c r="X54" s="24" t="str">
        <f aca="false">IF($K54="","",IF(OR(LEFT($W54,2)="작지",LEFT($W54,4)="소재입고"),IF(LEFT($G54,1)="S","★ 납기위험(S코드)","◆ 지연주의"),IF($W54="정상","✓ 정상","? 확인필요")))</f>
        <v>? 확인필요</v>
      </c>
      <c r="Y54" s="27"/>
      <c r="Z54" s="32"/>
    </row>
    <row r="55" customFormat="false" ht="15" hidden="false" customHeight="false" outlineLevel="0" collapsed="false">
      <c r="A55" s="24" t="n">
        <v>51</v>
      </c>
      <c r="B55" s="25" t="s">
        <v>241</v>
      </c>
      <c r="C55" s="25" t="s">
        <v>242</v>
      </c>
      <c r="D55" s="26" t="s">
        <v>247</v>
      </c>
      <c r="E55" s="25" t="s">
        <v>248</v>
      </c>
      <c r="F55" s="26" t="s">
        <v>249</v>
      </c>
      <c r="G55" s="24" t="str">
        <f aca="false">IF($D55="","",IF(MID($D55,5,1)="S","S(봄)",IF(MID($D55,5,1)="M","M(여름)",IF(MID($D55,5,1)="X","X(사계절)",MID($D55,5,1)))))</f>
        <v>S(봄)</v>
      </c>
      <c r="H55" s="25" t="s">
        <v>67</v>
      </c>
      <c r="I55" s="24"/>
      <c r="J55" s="27" t="s">
        <v>136</v>
      </c>
      <c r="K55" s="28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8" t="n">
        <f aca="false">IF($K55="","",$K55-기준정보!$C$5)</f>
        <v>46388</v>
      </c>
      <c r="M55" s="28" t="n">
        <f aca="false">IF($L55="","",$L55-기준정보!$C$6)</f>
        <v>46298</v>
      </c>
      <c r="N55" s="29" t="n">
        <f aca="false">IF($M55="","",$M55-기준정보!$C$4)</f>
        <v>56</v>
      </c>
      <c r="O55" s="27" t="s">
        <v>70</v>
      </c>
      <c r="P55" s="27" t="s">
        <v>71</v>
      </c>
      <c r="Q55" s="30"/>
      <c r="R55" s="26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S55" s="25" t="s">
        <v>246</v>
      </c>
      <c r="T55" s="25" t="s">
        <v>73</v>
      </c>
      <c r="U55" s="31" t="n">
        <v>1700</v>
      </c>
      <c r="V55" s="26" t="s">
        <v>136</v>
      </c>
      <c r="W55" s="26" t="str">
        <f aca="false">IF($K55="","출고일 미정",IF($O55="X","작지 미발행",IF($O55="부분","작지 일부 미발행",IF(AND($Q55&lt;&gt;"",$Q55&gt;$M55),"소재입고 마감("&amp;TEXT($M55,"MM/DD")&amp;") 초과",IF($O55="","발행여부 확인 필요",IF($Q55="","소재 입고일정 확인 필요","정상"))))))</f>
        <v>소재 입고일정 확인 필요</v>
      </c>
      <c r="X55" s="24" t="str">
        <f aca="false">IF($K55="","",IF(OR(LEFT($W55,2)="작지",LEFT($W55,4)="소재입고"),IF(LEFT($G55,1)="S","★ 납기위험(S코드)","◆ 지연주의"),IF($W55="정상","✓ 정상","? 확인필요")))</f>
        <v>? 확인필요</v>
      </c>
      <c r="Y55" s="27"/>
      <c r="Z55" s="32"/>
    </row>
    <row r="56" customFormat="false" ht="15" hidden="false" customHeight="false" outlineLevel="0" collapsed="false">
      <c r="A56" s="24" t="n">
        <v>52</v>
      </c>
      <c r="B56" s="25" t="s">
        <v>241</v>
      </c>
      <c r="C56" s="25" t="s">
        <v>250</v>
      </c>
      <c r="D56" s="26" t="s">
        <v>251</v>
      </c>
      <c r="E56" s="25" t="s">
        <v>252</v>
      </c>
      <c r="F56" s="26" t="s">
        <v>253</v>
      </c>
      <c r="G56" s="24" t="str">
        <f aca="false">IF($D56="","",IF(MID($D56,5,1)="S","S(봄)",IF(MID($D56,5,1)="M","M(여름)",IF(MID($D56,5,1)="X","X(사계절)",MID($D56,5,1)))))</f>
        <v>S(봄)</v>
      </c>
      <c r="H56" s="25" t="s">
        <v>67</v>
      </c>
      <c r="I56" s="24"/>
      <c r="J56" s="27" t="s">
        <v>136</v>
      </c>
      <c r="K56" s="28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8" t="n">
        <f aca="false">IF($K56="","",$K56-기준정보!$C$5)</f>
        <v>46388</v>
      </c>
      <c r="M56" s="28" t="n">
        <f aca="false">IF($L56="","",$L56-기준정보!$C$6)</f>
        <v>46298</v>
      </c>
      <c r="N56" s="29" t="n">
        <f aca="false">IF($M56="","",$M56-기준정보!$C$4)</f>
        <v>56</v>
      </c>
      <c r="O56" s="27" t="s">
        <v>70</v>
      </c>
      <c r="P56" s="27" t="s">
        <v>71</v>
      </c>
      <c r="Q56" s="30"/>
      <c r="R56" s="26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S56" s="25" t="s">
        <v>254</v>
      </c>
      <c r="T56" s="25" t="s">
        <v>73</v>
      </c>
      <c r="U56" s="31" t="n">
        <v>2600</v>
      </c>
      <c r="V56" s="26"/>
      <c r="W56" s="26" t="str">
        <f aca="false">IF($K56="","출고일 미정",IF($O56="X","작지 미발행",IF($O56="부분","작지 일부 미발행",IF(AND($Q56&lt;&gt;"",$Q56&gt;$M56),"소재입고 마감("&amp;TEXT($M56,"MM/DD")&amp;") 초과",IF($O56="","발행여부 확인 필요",IF($Q56="","소재 입고일정 확인 필요","정상"))))))</f>
        <v>소재 입고일정 확인 필요</v>
      </c>
      <c r="X56" s="24" t="str">
        <f aca="false">IF($K56="","",IF(OR(LEFT($W56,2)="작지",LEFT($W56,4)="소재입고"),IF(LEFT($G56,1)="S","★ 납기위험(S코드)","◆ 지연주의"),IF($W56="정상","✓ 정상","? 확인필요")))</f>
        <v>? 확인필요</v>
      </c>
      <c r="Y56" s="27"/>
      <c r="Z56" s="32"/>
    </row>
    <row r="57" customFormat="false" ht="15" hidden="false" customHeight="false" outlineLevel="0" collapsed="false">
      <c r="A57" s="24" t="n">
        <v>53</v>
      </c>
      <c r="B57" s="25" t="s">
        <v>255</v>
      </c>
      <c r="C57" s="25" t="s">
        <v>256</v>
      </c>
      <c r="D57" s="26" t="s">
        <v>257</v>
      </c>
      <c r="E57" s="25" t="s">
        <v>258</v>
      </c>
      <c r="F57" s="26" t="s">
        <v>259</v>
      </c>
      <c r="G57" s="24" t="str">
        <f aca="false">IF($D57="","",IF(MID($D57,5,1)="S","S(봄)",IF(MID($D57,5,1)="M","M(여름)",IF(MID($D57,5,1)="X","X(사계절)",MID($D57,5,1)))))</f>
        <v>S(봄)</v>
      </c>
      <c r="H57" s="26" t="s">
        <v>197</v>
      </c>
      <c r="I57" s="24" t="s">
        <v>260</v>
      </c>
      <c r="J57" s="27" t="s">
        <v>136</v>
      </c>
      <c r="K57" s="28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8" t="n">
        <f aca="false">IF($K57="","",$K57-기준정보!$C$5)</f>
        <v>46388</v>
      </c>
      <c r="M57" s="28" t="n">
        <f aca="false">IF($L57="","",$L57-기준정보!$C$6)</f>
        <v>46298</v>
      </c>
      <c r="N57" s="29" t="n">
        <f aca="false">IF($M57="","",$M57-기준정보!$C$4)</f>
        <v>56</v>
      </c>
      <c r="O57" s="27" t="s">
        <v>70</v>
      </c>
      <c r="P57" s="27" t="s">
        <v>71</v>
      </c>
      <c r="Q57" s="30"/>
      <c r="R57" s="26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S57" s="25" t="s">
        <v>87</v>
      </c>
      <c r="T57" s="25" t="s">
        <v>73</v>
      </c>
      <c r="U57" s="31" t="n">
        <v>2500</v>
      </c>
      <c r="V57" s="26"/>
      <c r="W57" s="26" t="str">
        <f aca="false">IF($K57="","출고일 미정",IF($O57="X","작지 미발행",IF($O57="부분","작지 일부 미발행",IF(AND($Q57&lt;&gt;"",$Q57&gt;$M57),"소재입고 마감("&amp;TEXT($M57,"MM/DD")&amp;") 초과",IF($O57="","발행여부 확인 필요",IF($Q57="","소재 입고일정 확인 필요","정상"))))))</f>
        <v>소재 입고일정 확인 필요</v>
      </c>
      <c r="X57" s="24" t="str">
        <f aca="false">IF($K57="","",IF(OR(LEFT($W57,2)="작지",LEFT($W57,4)="소재입고"),IF(LEFT($G57,1)="S","★ 납기위험(S코드)","◆ 지연주의"),IF($W57="정상","✓ 정상","? 확인필요")))</f>
        <v>? 확인필요</v>
      </c>
      <c r="Y57" s="27"/>
      <c r="Z57" s="32"/>
    </row>
    <row r="58" customFormat="false" ht="15" hidden="false" customHeight="false" outlineLevel="0" collapsed="false">
      <c r="A58" s="24" t="n">
        <v>54</v>
      </c>
      <c r="B58" s="25" t="s">
        <v>255</v>
      </c>
      <c r="C58" s="25" t="s">
        <v>256</v>
      </c>
      <c r="D58" s="26" t="s">
        <v>261</v>
      </c>
      <c r="E58" s="25" t="s">
        <v>262</v>
      </c>
      <c r="F58" s="26" t="s">
        <v>263</v>
      </c>
      <c r="G58" s="24" t="str">
        <f aca="false">IF($D58="","",IF(MID($D58,5,1)="S","S(봄)",IF(MID($D58,5,1)="M","M(여름)",IF(MID($D58,5,1)="X","X(사계절)",MID($D58,5,1)))))</f>
        <v>S(봄)</v>
      </c>
      <c r="H58" s="26" t="s">
        <v>197</v>
      </c>
      <c r="I58" s="24" t="s">
        <v>260</v>
      </c>
      <c r="J58" s="27" t="s">
        <v>136</v>
      </c>
      <c r="K58" s="28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8" t="n">
        <f aca="false">IF($K58="","",$K58-기준정보!$C$5)</f>
        <v>46388</v>
      </c>
      <c r="M58" s="28" t="n">
        <f aca="false">IF($L58="","",$L58-기준정보!$C$6)</f>
        <v>46298</v>
      </c>
      <c r="N58" s="29" t="n">
        <f aca="false">IF($M58="","",$M58-기준정보!$C$4)</f>
        <v>56</v>
      </c>
      <c r="O58" s="27" t="s">
        <v>70</v>
      </c>
      <c r="P58" s="27" t="s">
        <v>71</v>
      </c>
      <c r="Q58" s="30"/>
      <c r="R58" s="26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S58" s="26" t="s">
        <v>231</v>
      </c>
      <c r="T58" s="25" t="s">
        <v>73</v>
      </c>
      <c r="U58" s="31" t="n">
        <v>1400</v>
      </c>
      <c r="V58" s="26"/>
      <c r="W58" s="26" t="str">
        <f aca="false">IF($K58="","출고일 미정",IF($O58="X","작지 미발행",IF($O58="부분","작지 일부 미발행",IF(AND($Q58&lt;&gt;"",$Q58&gt;$M58),"소재입고 마감("&amp;TEXT($M58,"MM/DD")&amp;") 초과",IF($O58="","발행여부 확인 필요",IF($Q58="","소재 입고일정 확인 필요","정상"))))))</f>
        <v>소재 입고일정 확인 필요</v>
      </c>
      <c r="X58" s="24" t="str">
        <f aca="false">IF($K58="","",IF(OR(LEFT($W58,2)="작지",LEFT($W58,4)="소재입고"),IF(LEFT($G58,1)="S","★ 납기위험(S코드)","◆ 지연주의"),IF($W58="정상","✓ 정상","? 확인필요")))</f>
        <v>? 확인필요</v>
      </c>
      <c r="Y58" s="27"/>
      <c r="Z58" s="32"/>
    </row>
    <row r="59" customFormat="false" ht="15" hidden="false" customHeight="false" outlineLevel="0" collapsed="false">
      <c r="A59" s="24" t="n">
        <v>55</v>
      </c>
      <c r="B59" s="25" t="s">
        <v>255</v>
      </c>
      <c r="C59" s="25" t="s">
        <v>242</v>
      </c>
      <c r="D59" s="26" t="s">
        <v>264</v>
      </c>
      <c r="E59" s="25" t="s">
        <v>265</v>
      </c>
      <c r="F59" s="26" t="s">
        <v>259</v>
      </c>
      <c r="G59" s="24" t="str">
        <f aca="false">IF($D59="","",IF(MID($D59,5,1)="S","S(봄)",IF(MID($D59,5,1)="M","M(여름)",IF(MID($D59,5,1)="X","X(사계절)",MID($D59,5,1)))))</f>
        <v>S(봄)</v>
      </c>
      <c r="H59" s="25" t="s">
        <v>67</v>
      </c>
      <c r="I59" s="24" t="s">
        <v>260</v>
      </c>
      <c r="J59" s="27" t="s">
        <v>136</v>
      </c>
      <c r="K59" s="28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8" t="n">
        <f aca="false">IF($K59="","",$K59-기준정보!$C$5)</f>
        <v>46388</v>
      </c>
      <c r="M59" s="28" t="n">
        <f aca="false">IF($L59="","",$L59-기준정보!$C$6)</f>
        <v>46298</v>
      </c>
      <c r="N59" s="29" t="n">
        <f aca="false">IF($M59="","",$M59-기준정보!$C$4)</f>
        <v>56</v>
      </c>
      <c r="O59" s="27" t="s">
        <v>70</v>
      </c>
      <c r="P59" s="27" t="s">
        <v>71</v>
      </c>
      <c r="Q59" s="30"/>
      <c r="R59" s="26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S59" s="25" t="s">
        <v>254</v>
      </c>
      <c r="T59" s="25" t="s">
        <v>73</v>
      </c>
      <c r="U59" s="31" t="n">
        <v>2200</v>
      </c>
      <c r="V59" s="26"/>
      <c r="W59" s="26" t="str">
        <f aca="false">IF($K59="","출고일 미정",IF($O59="X","작지 미발행",IF($O59="부분","작지 일부 미발행",IF(AND($Q59&lt;&gt;"",$Q59&gt;$M59),"소재입고 마감("&amp;TEXT($M59,"MM/DD")&amp;") 초과",IF($O59="","발행여부 확인 필요",IF($Q59="","소재 입고일정 확인 필요","정상"))))))</f>
        <v>소재 입고일정 확인 필요</v>
      </c>
      <c r="X59" s="24" t="str">
        <f aca="false">IF($K59="","",IF(OR(LEFT($W59,2)="작지",LEFT($W59,4)="소재입고"),IF(LEFT($G59,1)="S","★ 납기위험(S코드)","◆ 지연주의"),IF($W59="정상","✓ 정상","? 확인필요")))</f>
        <v>? 확인필요</v>
      </c>
      <c r="Y59" s="27"/>
      <c r="Z59" s="32"/>
    </row>
    <row r="60" customFormat="false" ht="15" hidden="false" customHeight="false" outlineLevel="0" collapsed="false">
      <c r="A60" s="24" t="n">
        <v>56</v>
      </c>
      <c r="B60" s="25" t="s">
        <v>187</v>
      </c>
      <c r="C60" s="25" t="s">
        <v>242</v>
      </c>
      <c r="D60" s="26" t="s">
        <v>266</v>
      </c>
      <c r="E60" s="25" t="s">
        <v>267</v>
      </c>
      <c r="F60" s="26" t="s">
        <v>268</v>
      </c>
      <c r="G60" s="24" t="str">
        <f aca="false">IF($D60="","",IF(MID($D60,5,1)="S","S(봄)",IF(MID($D60,5,1)="M","M(여름)",IF(MID($D60,5,1)="X","X(사계절)",MID($D60,5,1)))))</f>
        <v>S(봄)</v>
      </c>
      <c r="H60" s="25" t="s">
        <v>67</v>
      </c>
      <c r="I60" s="24"/>
      <c r="J60" s="27" t="s">
        <v>136</v>
      </c>
      <c r="K60" s="28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8" t="n">
        <f aca="false">IF($K60="","",$K60-기준정보!$C$5)</f>
        <v>46388</v>
      </c>
      <c r="M60" s="28" t="n">
        <f aca="false">IF($L60="","",$L60-기준정보!$C$6)</f>
        <v>46298</v>
      </c>
      <c r="N60" s="29" t="n">
        <f aca="false">IF($M60="","",$M60-기준정보!$C$4)</f>
        <v>56</v>
      </c>
      <c r="O60" s="27" t="s">
        <v>70</v>
      </c>
      <c r="P60" s="27"/>
      <c r="Q60" s="30"/>
      <c r="R60" s="26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S60" s="25" t="s">
        <v>254</v>
      </c>
      <c r="T60" s="26"/>
      <c r="U60" s="31" t="n">
        <v>3000</v>
      </c>
      <c r="V60" s="26" t="s">
        <v>136</v>
      </c>
      <c r="W60" s="26" t="str">
        <f aca="false">IF($K60="","출고일 미정",IF($O60="X","작지 미발행",IF($O60="부분","작지 일부 미발행",IF(AND($Q60&lt;&gt;"",$Q60&gt;$M60),"소재입고 마감("&amp;TEXT($M60,"MM/DD")&amp;") 초과",IF($O60="","발행여부 확인 필요",IF($Q60="","소재 입고일정 확인 필요","정상"))))))</f>
        <v>소재 입고일정 확인 필요</v>
      </c>
      <c r="X60" s="24" t="str">
        <f aca="false">IF($K60="","",IF(OR(LEFT($W60,2)="작지",LEFT($W60,4)="소재입고"),IF(LEFT($G60,1)="S","★ 납기위험(S코드)","◆ 지연주의"),IF($W60="정상","✓ 정상","? 확인필요")))</f>
        <v>? 확인필요</v>
      </c>
      <c r="Y60" s="27"/>
      <c r="Z60" s="32"/>
    </row>
    <row r="61" customFormat="false" ht="15" hidden="false" customHeight="false" outlineLevel="0" collapsed="false">
      <c r="A61" s="24" t="n">
        <v>57</v>
      </c>
      <c r="B61" s="25" t="s">
        <v>255</v>
      </c>
      <c r="C61" s="25" t="s">
        <v>242</v>
      </c>
      <c r="D61" s="26" t="s">
        <v>269</v>
      </c>
      <c r="E61" s="25" t="s">
        <v>270</v>
      </c>
      <c r="F61" s="26" t="s">
        <v>271</v>
      </c>
      <c r="G61" s="24" t="str">
        <f aca="false">IF($D61="","",IF(MID($D61,5,1)="S","S(봄)",IF(MID($D61,5,1)="M","M(여름)",IF(MID($D61,5,1)="X","X(사계절)",MID($D61,5,1)))))</f>
        <v>S(봄)</v>
      </c>
      <c r="H61" s="25" t="s">
        <v>67</v>
      </c>
      <c r="I61" s="24" t="s">
        <v>260</v>
      </c>
      <c r="J61" s="27" t="s">
        <v>136</v>
      </c>
      <c r="K61" s="28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8" t="n">
        <f aca="false">IF($K61="","",$K61-기준정보!$C$5)</f>
        <v>46388</v>
      </c>
      <c r="M61" s="28" t="n">
        <f aca="false">IF($L61="","",$L61-기준정보!$C$6)</f>
        <v>46298</v>
      </c>
      <c r="N61" s="29" t="n">
        <f aca="false">IF($M61="","",$M61-기준정보!$C$4)</f>
        <v>56</v>
      </c>
      <c r="O61" s="27" t="s">
        <v>70</v>
      </c>
      <c r="P61" s="27" t="s">
        <v>71</v>
      </c>
      <c r="Q61" s="30"/>
      <c r="R61" s="26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S61" s="25" t="s">
        <v>72</v>
      </c>
      <c r="T61" s="25" t="s">
        <v>73</v>
      </c>
      <c r="U61" s="31" t="n">
        <v>2500</v>
      </c>
      <c r="V61" s="26"/>
      <c r="W61" s="26" t="str">
        <f aca="false">IF($K61="","출고일 미정",IF($O61="X","작지 미발행",IF($O61="부분","작지 일부 미발행",IF(AND($Q61&lt;&gt;"",$Q61&gt;$M61),"소재입고 마감("&amp;TEXT($M61,"MM/DD")&amp;") 초과",IF($O61="","발행여부 확인 필요",IF($Q61="","소재 입고일정 확인 필요","정상"))))))</f>
        <v>소재 입고일정 확인 필요</v>
      </c>
      <c r="X61" s="24" t="str">
        <f aca="false">IF($K61="","",IF(OR(LEFT($W61,2)="작지",LEFT($W61,4)="소재입고"),IF(LEFT($G61,1)="S","★ 납기위험(S코드)","◆ 지연주의"),IF($W61="정상","✓ 정상","? 확인필요")))</f>
        <v>? 확인필요</v>
      </c>
      <c r="Y61" s="27"/>
      <c r="Z61" s="32"/>
    </row>
    <row r="62" customFormat="false" ht="15" hidden="false" customHeight="false" outlineLevel="0" collapsed="false">
      <c r="A62" s="24" t="n">
        <v>58</v>
      </c>
      <c r="B62" s="25" t="s">
        <v>255</v>
      </c>
      <c r="C62" s="25" t="s">
        <v>242</v>
      </c>
      <c r="D62" s="26" t="s">
        <v>272</v>
      </c>
      <c r="E62" s="25" t="s">
        <v>273</v>
      </c>
      <c r="F62" s="26" t="s">
        <v>274</v>
      </c>
      <c r="G62" s="24" t="str">
        <f aca="false">IF($D62="","",IF(MID($D62,5,1)="S","S(봄)",IF(MID($D62,5,1)="M","M(여름)",IF(MID($D62,5,1)="X","X(사계절)",MID($D62,5,1)))))</f>
        <v>S(봄)</v>
      </c>
      <c r="H62" s="25" t="s">
        <v>67</v>
      </c>
      <c r="I62" s="24" t="s">
        <v>68</v>
      </c>
      <c r="J62" s="27" t="s">
        <v>136</v>
      </c>
      <c r="K62" s="28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8" t="n">
        <f aca="false">IF($K62="","",$K62-기준정보!$C$5)</f>
        <v>46388</v>
      </c>
      <c r="M62" s="28" t="n">
        <f aca="false">IF($L62="","",$L62-기준정보!$C$6)</f>
        <v>46298</v>
      </c>
      <c r="N62" s="29" t="n">
        <f aca="false">IF($M62="","",$M62-기준정보!$C$4)</f>
        <v>56</v>
      </c>
      <c r="O62" s="27" t="s">
        <v>70</v>
      </c>
      <c r="P62" s="27" t="s">
        <v>71</v>
      </c>
      <c r="Q62" s="30"/>
      <c r="R62" s="26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S62" s="25" t="s">
        <v>246</v>
      </c>
      <c r="T62" s="25" t="s">
        <v>73</v>
      </c>
      <c r="U62" s="31" t="n">
        <v>1800</v>
      </c>
      <c r="V62" s="26"/>
      <c r="W62" s="26" t="str">
        <f aca="false">IF($K62="","출고일 미정",IF($O62="X","작지 미발행",IF($O62="부분","작지 일부 미발행",IF(AND($Q62&lt;&gt;"",$Q62&gt;$M62),"소재입고 마감("&amp;TEXT($M62,"MM/DD")&amp;") 초과",IF($O62="","발행여부 확인 필요",IF($Q62="","소재 입고일정 확인 필요","정상"))))))</f>
        <v>소재 입고일정 확인 필요</v>
      </c>
      <c r="X62" s="24" t="str">
        <f aca="false">IF($K62="","",IF(OR(LEFT($W62,2)="작지",LEFT($W62,4)="소재입고"),IF(LEFT($G62,1)="S","★ 납기위험(S코드)","◆ 지연주의"),IF($W62="정상","✓ 정상","? 확인필요")))</f>
        <v>? 확인필요</v>
      </c>
      <c r="Y62" s="27"/>
      <c r="Z62" s="32"/>
    </row>
    <row r="63" customFormat="false" ht="15" hidden="false" customHeight="false" outlineLevel="0" collapsed="false">
      <c r="A63" s="24" t="n">
        <v>59</v>
      </c>
      <c r="B63" s="25" t="s">
        <v>255</v>
      </c>
      <c r="C63" s="25" t="s">
        <v>242</v>
      </c>
      <c r="D63" s="26" t="s">
        <v>275</v>
      </c>
      <c r="E63" s="25" t="s">
        <v>276</v>
      </c>
      <c r="F63" s="26" t="s">
        <v>277</v>
      </c>
      <c r="G63" s="24" t="str">
        <f aca="false">IF($D63="","",IF(MID($D63,5,1)="S","S(봄)",IF(MID($D63,5,1)="M","M(여름)",IF(MID($D63,5,1)="X","X(사계절)",MID($D63,5,1)))))</f>
        <v>S(봄)</v>
      </c>
      <c r="H63" s="25" t="s">
        <v>67</v>
      </c>
      <c r="I63" s="24" t="s">
        <v>68</v>
      </c>
      <c r="J63" s="27" t="s">
        <v>136</v>
      </c>
      <c r="K63" s="28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8" t="n">
        <f aca="false">IF($K63="","",$K63-기준정보!$C$5)</f>
        <v>46388</v>
      </c>
      <c r="M63" s="28" t="n">
        <f aca="false">IF($L63="","",$L63-기준정보!$C$6)</f>
        <v>46298</v>
      </c>
      <c r="N63" s="29" t="n">
        <f aca="false">IF($M63="","",$M63-기준정보!$C$4)</f>
        <v>56</v>
      </c>
      <c r="O63" s="27" t="s">
        <v>70</v>
      </c>
      <c r="P63" s="27" t="s">
        <v>71</v>
      </c>
      <c r="Q63" s="30"/>
      <c r="R63" s="26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S63" s="25" t="s">
        <v>254</v>
      </c>
      <c r="T63" s="25" t="s">
        <v>73</v>
      </c>
      <c r="U63" s="31" t="n">
        <v>4000</v>
      </c>
      <c r="V63" s="26"/>
      <c r="W63" s="26" t="str">
        <f aca="false">IF($K63="","출고일 미정",IF($O63="X","작지 미발행",IF($O63="부분","작지 일부 미발행",IF(AND($Q63&lt;&gt;"",$Q63&gt;$M63),"소재입고 마감("&amp;TEXT($M63,"MM/DD")&amp;") 초과",IF($O63="","발행여부 확인 필요",IF($Q63="","소재 입고일정 확인 필요","정상"))))))</f>
        <v>소재 입고일정 확인 필요</v>
      </c>
      <c r="X63" s="24" t="str">
        <f aca="false">IF($K63="","",IF(OR(LEFT($W63,2)="작지",LEFT($W63,4)="소재입고"),IF(LEFT($G63,1)="S","★ 납기위험(S코드)","◆ 지연주의"),IF($W63="정상","✓ 정상","? 확인필요")))</f>
        <v>? 확인필요</v>
      </c>
      <c r="Y63" s="27"/>
      <c r="Z63" s="32"/>
    </row>
    <row r="64" customFormat="false" ht="15" hidden="false" customHeight="false" outlineLevel="0" collapsed="false">
      <c r="A64" s="24" t="n">
        <v>60</v>
      </c>
      <c r="B64" s="25" t="s">
        <v>255</v>
      </c>
      <c r="C64" s="25" t="s">
        <v>242</v>
      </c>
      <c r="D64" s="26" t="s">
        <v>278</v>
      </c>
      <c r="E64" s="25" t="s">
        <v>279</v>
      </c>
      <c r="F64" s="26" t="s">
        <v>280</v>
      </c>
      <c r="G64" s="24" t="str">
        <f aca="false">IF($D64="","",IF(MID($D64,5,1)="S","S(봄)",IF(MID($D64,5,1)="M","M(여름)",IF(MID($D64,5,1)="X","X(사계절)",MID($D64,5,1)))))</f>
        <v>S(봄)</v>
      </c>
      <c r="H64" s="25" t="s">
        <v>67</v>
      </c>
      <c r="I64" s="24" t="s">
        <v>68</v>
      </c>
      <c r="J64" s="27" t="s">
        <v>136</v>
      </c>
      <c r="K64" s="28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8" t="n">
        <f aca="false">IF($K64="","",$K64-기준정보!$C$5)</f>
        <v>46388</v>
      </c>
      <c r="M64" s="28" t="n">
        <f aca="false">IF($L64="","",$L64-기준정보!$C$6)</f>
        <v>46298</v>
      </c>
      <c r="N64" s="29" t="n">
        <f aca="false">IF($M64="","",$M64-기준정보!$C$4)</f>
        <v>56</v>
      </c>
      <c r="O64" s="27" t="s">
        <v>70</v>
      </c>
      <c r="P64" s="27" t="s">
        <v>71</v>
      </c>
      <c r="Q64" s="30"/>
      <c r="R64" s="26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S64" s="25" t="s">
        <v>254</v>
      </c>
      <c r="T64" s="25" t="s">
        <v>73</v>
      </c>
      <c r="U64" s="31" t="n">
        <v>2100</v>
      </c>
      <c r="V64" s="26"/>
      <c r="W64" s="26" t="str">
        <f aca="false">IF($K64="","출고일 미정",IF($O64="X","작지 미발행",IF($O64="부분","작지 일부 미발행",IF(AND($Q64&lt;&gt;"",$Q64&gt;$M64),"소재입고 마감("&amp;TEXT($M64,"MM/DD")&amp;") 초과",IF($O64="","발행여부 확인 필요",IF($Q64="","소재 입고일정 확인 필요","정상"))))))</f>
        <v>소재 입고일정 확인 필요</v>
      </c>
      <c r="X64" s="24" t="str">
        <f aca="false">IF($K64="","",IF(OR(LEFT($W64,2)="작지",LEFT($W64,4)="소재입고"),IF(LEFT($G64,1)="S","★ 납기위험(S코드)","◆ 지연주의"),IF($W64="정상","✓ 정상","? 확인필요")))</f>
        <v>? 확인필요</v>
      </c>
      <c r="Y64" s="27"/>
      <c r="Z64" s="32"/>
    </row>
    <row r="65" customFormat="false" ht="15" hidden="false" customHeight="false" outlineLevel="0" collapsed="false">
      <c r="A65" s="24" t="n">
        <v>61</v>
      </c>
      <c r="B65" s="25" t="s">
        <v>241</v>
      </c>
      <c r="C65" s="25" t="s">
        <v>250</v>
      </c>
      <c r="D65" s="26" t="s">
        <v>281</v>
      </c>
      <c r="E65" s="25" t="s">
        <v>282</v>
      </c>
      <c r="F65" s="26" t="s">
        <v>245</v>
      </c>
      <c r="G65" s="24" t="str">
        <f aca="false">IF($D65="","",IF(MID($D65,5,1)="S","S(봄)",IF(MID($D65,5,1)="M","M(여름)",IF(MID($D65,5,1)="X","X(사계절)",MID($D65,5,1)))))</f>
        <v>S(봄)</v>
      </c>
      <c r="H65" s="26" t="s">
        <v>197</v>
      </c>
      <c r="I65" s="24"/>
      <c r="J65" s="27" t="s">
        <v>136</v>
      </c>
      <c r="K65" s="28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8" t="n">
        <f aca="false">IF($K65="","",$K65-기준정보!$C$5)</f>
        <v>46388</v>
      </c>
      <c r="M65" s="28" t="n">
        <f aca="false">IF($L65="","",$L65-기준정보!$C$6)</f>
        <v>46298</v>
      </c>
      <c r="N65" s="29" t="n">
        <f aca="false">IF($M65="","",$M65-기준정보!$C$4)</f>
        <v>56</v>
      </c>
      <c r="O65" s="27" t="s">
        <v>70</v>
      </c>
      <c r="P65" s="27" t="s">
        <v>71</v>
      </c>
      <c r="Q65" s="30"/>
      <c r="R65" s="26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S65" s="26" t="s">
        <v>137</v>
      </c>
      <c r="T65" s="25" t="s">
        <v>73</v>
      </c>
      <c r="U65" s="31" t="n">
        <v>2200</v>
      </c>
      <c r="V65" s="26" t="s">
        <v>136</v>
      </c>
      <c r="W65" s="26" t="str">
        <f aca="false">IF($K65="","출고일 미정",IF($O65="X","작지 미발행",IF($O65="부분","작지 일부 미발행",IF(AND($Q65&lt;&gt;"",$Q65&gt;$M65),"소재입고 마감("&amp;TEXT($M65,"MM/DD")&amp;") 초과",IF($O65="","발행여부 확인 필요",IF($Q65="","소재 입고일정 확인 필요","정상"))))))</f>
        <v>소재 입고일정 확인 필요</v>
      </c>
      <c r="X65" s="24" t="str">
        <f aca="false">IF($K65="","",IF(OR(LEFT($W65,2)="작지",LEFT($W65,4)="소재입고"),IF(LEFT($G65,1)="S","★ 납기위험(S코드)","◆ 지연주의"),IF($W65="정상","✓ 정상","? 확인필요")))</f>
        <v>? 확인필요</v>
      </c>
      <c r="Y65" s="27"/>
      <c r="Z65" s="32"/>
    </row>
    <row r="66" customFormat="false" ht="15" hidden="false" customHeight="false" outlineLevel="0" collapsed="false">
      <c r="A66" s="24" t="n">
        <v>62</v>
      </c>
      <c r="B66" s="25" t="s">
        <v>241</v>
      </c>
      <c r="C66" s="25" t="s">
        <v>250</v>
      </c>
      <c r="D66" s="26" t="s">
        <v>283</v>
      </c>
      <c r="E66" s="25" t="s">
        <v>284</v>
      </c>
      <c r="F66" s="26" t="s">
        <v>285</v>
      </c>
      <c r="G66" s="24" t="str">
        <f aca="false">IF($D66="","",IF(MID($D66,5,1)="S","S(봄)",IF(MID($D66,5,1)="M","M(여름)",IF(MID($D66,5,1)="X","X(사계절)",MID($D66,5,1)))))</f>
        <v>S(봄)</v>
      </c>
      <c r="H66" s="26" t="s">
        <v>197</v>
      </c>
      <c r="I66" s="24"/>
      <c r="J66" s="27" t="s">
        <v>136</v>
      </c>
      <c r="K66" s="28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8" t="n">
        <f aca="false">IF($K66="","",$K66-기준정보!$C$5)</f>
        <v>46388</v>
      </c>
      <c r="M66" s="28" t="n">
        <f aca="false">IF($L66="","",$L66-기준정보!$C$6)</f>
        <v>46298</v>
      </c>
      <c r="N66" s="29" t="n">
        <f aca="false">IF($M66="","",$M66-기준정보!$C$4)</f>
        <v>56</v>
      </c>
      <c r="O66" s="27" t="s">
        <v>70</v>
      </c>
      <c r="P66" s="27" t="s">
        <v>71</v>
      </c>
      <c r="Q66" s="30"/>
      <c r="R66" s="26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S66" s="25" t="s">
        <v>87</v>
      </c>
      <c r="T66" s="25" t="s">
        <v>73</v>
      </c>
      <c r="U66" s="31" t="n">
        <v>1800</v>
      </c>
      <c r="V66" s="26" t="s">
        <v>136</v>
      </c>
      <c r="W66" s="26" t="str">
        <f aca="false">IF($K66="","출고일 미정",IF($O66="X","작지 미발행",IF($O66="부분","작지 일부 미발행",IF(AND($Q66&lt;&gt;"",$Q66&gt;$M66),"소재입고 마감("&amp;TEXT($M66,"MM/DD")&amp;") 초과",IF($O66="","발행여부 확인 필요",IF($Q66="","소재 입고일정 확인 필요","정상"))))))</f>
        <v>소재 입고일정 확인 필요</v>
      </c>
      <c r="X66" s="24" t="str">
        <f aca="false">IF($K66="","",IF(OR(LEFT($W66,2)="작지",LEFT($W66,4)="소재입고"),IF(LEFT($G66,1)="S","★ 납기위험(S코드)","◆ 지연주의"),IF($W66="정상","✓ 정상","? 확인필요")))</f>
        <v>? 확인필요</v>
      </c>
      <c r="Y66" s="27"/>
      <c r="Z66" s="32"/>
    </row>
    <row r="67" customFormat="false" ht="15" hidden="false" customHeight="false" outlineLevel="0" collapsed="false">
      <c r="A67" s="24" t="n">
        <v>63</v>
      </c>
      <c r="B67" s="25" t="s">
        <v>241</v>
      </c>
      <c r="C67" s="25" t="s">
        <v>250</v>
      </c>
      <c r="D67" s="26" t="s">
        <v>286</v>
      </c>
      <c r="E67" s="25" t="s">
        <v>287</v>
      </c>
      <c r="F67" s="26" t="s">
        <v>245</v>
      </c>
      <c r="G67" s="24" t="str">
        <f aca="false">IF($D67="","",IF(MID($D67,5,1)="S","S(봄)",IF(MID($D67,5,1)="M","M(여름)",IF(MID($D67,5,1)="X","X(사계절)",MID($D67,5,1)))))</f>
        <v>S(봄)</v>
      </c>
      <c r="H67" s="26" t="s">
        <v>197</v>
      </c>
      <c r="I67" s="24"/>
      <c r="J67" s="27" t="s">
        <v>136</v>
      </c>
      <c r="K67" s="28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8" t="n">
        <f aca="false">IF($K67="","",$K67-기준정보!$C$5)</f>
        <v>46388</v>
      </c>
      <c r="M67" s="28" t="n">
        <f aca="false">IF($L67="","",$L67-기준정보!$C$6)</f>
        <v>46298</v>
      </c>
      <c r="N67" s="29" t="n">
        <f aca="false">IF($M67="","",$M67-기준정보!$C$4)</f>
        <v>56</v>
      </c>
      <c r="O67" s="27" t="s">
        <v>70</v>
      </c>
      <c r="P67" s="27" t="s">
        <v>71</v>
      </c>
      <c r="Q67" s="30"/>
      <c r="R67" s="26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S67" s="26" t="s">
        <v>223</v>
      </c>
      <c r="T67" s="25" t="s">
        <v>73</v>
      </c>
      <c r="U67" s="31" t="n">
        <v>1800</v>
      </c>
      <c r="V67" s="26" t="s">
        <v>136</v>
      </c>
      <c r="W67" s="26" t="str">
        <f aca="false">IF($K67="","출고일 미정",IF($O67="X","작지 미발행",IF($O67="부분","작지 일부 미발행",IF(AND($Q67&lt;&gt;"",$Q67&gt;$M67),"소재입고 마감("&amp;TEXT($M67,"MM/DD")&amp;") 초과",IF($O67="","발행여부 확인 필요",IF($Q67="","소재 입고일정 확인 필요","정상"))))))</f>
        <v>소재 입고일정 확인 필요</v>
      </c>
      <c r="X67" s="24" t="str">
        <f aca="false">IF($K67="","",IF(OR(LEFT($W67,2)="작지",LEFT($W67,4)="소재입고"),IF(LEFT($G67,1)="S","★ 납기위험(S코드)","◆ 지연주의"),IF($W67="정상","✓ 정상","? 확인필요")))</f>
        <v>? 확인필요</v>
      </c>
      <c r="Y67" s="27"/>
      <c r="Z67" s="32"/>
    </row>
    <row r="68" customFormat="false" ht="15" hidden="false" customHeight="false" outlineLevel="0" collapsed="false">
      <c r="A68" s="24" t="n">
        <v>64</v>
      </c>
      <c r="B68" s="25" t="s">
        <v>241</v>
      </c>
      <c r="C68" s="25" t="s">
        <v>250</v>
      </c>
      <c r="D68" s="26" t="s">
        <v>288</v>
      </c>
      <c r="E68" s="25" t="s">
        <v>289</v>
      </c>
      <c r="F68" s="26" t="s">
        <v>290</v>
      </c>
      <c r="G68" s="24" t="str">
        <f aca="false">IF($D68="","",IF(MID($D68,5,1)="S","S(봄)",IF(MID($D68,5,1)="M","M(여름)",IF(MID($D68,5,1)="X","X(사계절)",MID($D68,5,1)))))</f>
        <v>S(봄)</v>
      </c>
      <c r="H68" s="26" t="s">
        <v>197</v>
      </c>
      <c r="I68" s="24"/>
      <c r="J68" s="27" t="s">
        <v>136</v>
      </c>
      <c r="K68" s="28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8" t="n">
        <f aca="false">IF($K68="","",$K68-기준정보!$C$5)</f>
        <v>46388</v>
      </c>
      <c r="M68" s="28" t="n">
        <f aca="false">IF($L68="","",$L68-기준정보!$C$6)</f>
        <v>46298</v>
      </c>
      <c r="N68" s="29" t="n">
        <f aca="false">IF($M68="","",$M68-기준정보!$C$4)</f>
        <v>56</v>
      </c>
      <c r="O68" s="27" t="s">
        <v>70</v>
      </c>
      <c r="P68" s="27" t="s">
        <v>71</v>
      </c>
      <c r="Q68" s="30"/>
      <c r="R68" s="26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S68" s="25" t="s">
        <v>87</v>
      </c>
      <c r="T68" s="25" t="s">
        <v>73</v>
      </c>
      <c r="U68" s="31" t="n">
        <v>2200</v>
      </c>
      <c r="V68" s="26" t="s">
        <v>136</v>
      </c>
      <c r="W68" s="26" t="str">
        <f aca="false">IF($K68="","출고일 미정",IF($O68="X","작지 미발행",IF($O68="부분","작지 일부 미발행",IF(AND($Q68&lt;&gt;"",$Q68&gt;$M68),"소재입고 마감("&amp;TEXT($M68,"MM/DD")&amp;") 초과",IF($O68="","발행여부 확인 필요",IF($Q68="","소재 입고일정 확인 필요","정상"))))))</f>
        <v>소재 입고일정 확인 필요</v>
      </c>
      <c r="X68" s="24" t="str">
        <f aca="false">IF($K68="","",IF(OR(LEFT($W68,2)="작지",LEFT($W68,4)="소재입고"),IF(LEFT($G68,1)="S","★ 납기위험(S코드)","◆ 지연주의"),IF($W68="정상","✓ 정상","? 확인필요")))</f>
        <v>? 확인필요</v>
      </c>
      <c r="Y68" s="27"/>
      <c r="Z68" s="32"/>
    </row>
    <row r="69" customFormat="false" ht="15" hidden="false" customHeight="false" outlineLevel="0" collapsed="false">
      <c r="A69" s="24" t="n">
        <v>65</v>
      </c>
      <c r="B69" s="25" t="s">
        <v>112</v>
      </c>
      <c r="C69" s="25" t="s">
        <v>113</v>
      </c>
      <c r="D69" s="26" t="s">
        <v>291</v>
      </c>
      <c r="E69" s="25" t="s">
        <v>292</v>
      </c>
      <c r="F69" s="26" t="s">
        <v>293</v>
      </c>
      <c r="G69" s="24" t="str">
        <f aca="false">IF($D69="","",IF(MID($D69,5,1)="S","S(봄)",IF(MID($D69,5,1)="M","M(여름)",IF(MID($D69,5,1)="X","X(사계절)",MID($D69,5,1)))))</f>
        <v>S(봄)</v>
      </c>
      <c r="H69" s="25" t="s">
        <v>67</v>
      </c>
      <c r="I69" s="24"/>
      <c r="J69" s="27" t="s">
        <v>136</v>
      </c>
      <c r="K69" s="28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8" t="n">
        <f aca="false">IF($K69="","",$K69-기준정보!$C$5)</f>
        <v>46388</v>
      </c>
      <c r="M69" s="28" t="n">
        <f aca="false">IF($L69="","",$L69-기준정보!$C$6)</f>
        <v>46298</v>
      </c>
      <c r="N69" s="29" t="n">
        <f aca="false">IF($M69="","",$M69-기준정보!$C$4)</f>
        <v>56</v>
      </c>
      <c r="O69" s="27" t="s">
        <v>70</v>
      </c>
      <c r="P69" s="27" t="s">
        <v>71</v>
      </c>
      <c r="Q69" s="30"/>
      <c r="R69" s="26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S69" s="26" t="s">
        <v>231</v>
      </c>
      <c r="T69" s="25" t="s">
        <v>78</v>
      </c>
      <c r="U69" s="31" t="n">
        <v>1200</v>
      </c>
      <c r="V69" s="26" t="s">
        <v>136</v>
      </c>
      <c r="W69" s="26" t="str">
        <f aca="false">IF($K69="","출고일 미정",IF($O69="X","작지 미발행",IF($O69="부분","작지 일부 미발행",IF(AND($Q69&lt;&gt;"",$Q69&gt;$M69),"소재입고 마감("&amp;TEXT($M69,"MM/DD")&amp;") 초과",IF($O69="","발행여부 확인 필요",IF($Q69="","소재 입고일정 확인 필요","정상"))))))</f>
        <v>소재 입고일정 확인 필요</v>
      </c>
      <c r="X69" s="24" t="str">
        <f aca="false">IF($K69="","",IF(OR(LEFT($W69,2)="작지",LEFT($W69,4)="소재입고"),IF(LEFT($G69,1)="S","★ 납기위험(S코드)","◆ 지연주의"),IF($W69="정상","✓ 정상","? 확인필요")))</f>
        <v>? 확인필요</v>
      </c>
      <c r="Y69" s="27"/>
      <c r="Z69" s="32"/>
    </row>
    <row r="70" customFormat="false" ht="15" hidden="false" customHeight="false" outlineLevel="0" collapsed="false">
      <c r="A70" s="24" t="n">
        <v>66</v>
      </c>
      <c r="B70" s="25" t="s">
        <v>62</v>
      </c>
      <c r="C70" s="25" t="s">
        <v>63</v>
      </c>
      <c r="D70" s="26" t="s">
        <v>294</v>
      </c>
      <c r="E70" s="25" t="s">
        <v>295</v>
      </c>
      <c r="F70" s="26" t="s">
        <v>76</v>
      </c>
      <c r="G70" s="24" t="str">
        <f aca="false">IF($D70="","",IF(MID($D70,5,1)="S","S(봄)",IF(MID($D70,5,1)="M","M(여름)",IF(MID($D70,5,1)="X","X(사계절)",MID($D70,5,1)))))</f>
        <v>S(봄)</v>
      </c>
      <c r="H70" s="25" t="s">
        <v>67</v>
      </c>
      <c r="I70" s="24" t="s">
        <v>68</v>
      </c>
      <c r="J70" s="27" t="s">
        <v>296</v>
      </c>
      <c r="K70" s="28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8" t="n">
        <f aca="false">IF($K70="","",$K70-기준정보!$C$5)</f>
        <v>46395</v>
      </c>
      <c r="M70" s="28" t="n">
        <f aca="false">IF($L70="","",$L70-기준정보!$C$6)</f>
        <v>46305</v>
      </c>
      <c r="N70" s="29" t="n">
        <f aca="false">IF($M70="","",$M70-기준정보!$C$4)</f>
        <v>63</v>
      </c>
      <c r="O70" s="27" t="s">
        <v>70</v>
      </c>
      <c r="P70" s="27" t="s">
        <v>71</v>
      </c>
      <c r="Q70" s="30"/>
      <c r="R70" s="26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S70" s="25" t="s">
        <v>94</v>
      </c>
      <c r="T70" s="25" t="s">
        <v>73</v>
      </c>
      <c r="U70" s="31" t="n">
        <v>450</v>
      </c>
      <c r="V70" s="26"/>
      <c r="W70" s="26" t="str">
        <f aca="false">IF($K70="","출고일 미정",IF($O70="X","작지 미발행",IF($O70="부분","작지 일부 미발행",IF(AND($Q70&lt;&gt;"",$Q70&gt;$M70),"소재입고 마감("&amp;TEXT($M70,"MM/DD")&amp;") 초과",IF($O70="","발행여부 확인 필요",IF($Q70="","소재 입고일정 확인 필요","정상"))))))</f>
        <v>소재 입고일정 확인 필요</v>
      </c>
      <c r="X70" s="24" t="str">
        <f aca="false">IF($K70="","",IF(OR(LEFT($W70,2)="작지",LEFT($W70,4)="소재입고"),IF(LEFT($G70,1)="S","★ 납기위험(S코드)","◆ 지연주의"),IF($W70="정상","✓ 정상","? 확인필요")))</f>
        <v>? 확인필요</v>
      </c>
      <c r="Y70" s="27"/>
      <c r="Z70" s="32"/>
    </row>
    <row r="71" customFormat="false" ht="15" hidden="false" customHeight="false" outlineLevel="0" collapsed="false">
      <c r="A71" s="24" t="n">
        <v>67</v>
      </c>
      <c r="B71" s="25" t="s">
        <v>62</v>
      </c>
      <c r="C71" s="25" t="s">
        <v>81</v>
      </c>
      <c r="D71" s="26" t="s">
        <v>297</v>
      </c>
      <c r="E71" s="25" t="s">
        <v>298</v>
      </c>
      <c r="F71" s="26" t="s">
        <v>66</v>
      </c>
      <c r="G71" s="24" t="str">
        <f aca="false">IF($D71="","",IF(MID($D71,5,1)="S","S(봄)",IF(MID($D71,5,1)="M","M(여름)",IF(MID($D71,5,1)="X","X(사계절)",MID($D71,5,1)))))</f>
        <v>S(봄)</v>
      </c>
      <c r="H71" s="25" t="s">
        <v>67</v>
      </c>
      <c r="I71" s="24" t="s">
        <v>68</v>
      </c>
      <c r="J71" s="27" t="s">
        <v>296</v>
      </c>
      <c r="K71" s="28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8" t="n">
        <f aca="false">IF($K71="","",$K71-기준정보!$C$5)</f>
        <v>46395</v>
      </c>
      <c r="M71" s="28" t="n">
        <f aca="false">IF($L71="","",$L71-기준정보!$C$6)</f>
        <v>46305</v>
      </c>
      <c r="N71" s="29" t="n">
        <f aca="false">IF($M71="","",$M71-기준정보!$C$4)</f>
        <v>63</v>
      </c>
      <c r="O71" s="27" t="s">
        <v>70</v>
      </c>
      <c r="P71" s="27" t="s">
        <v>71</v>
      </c>
      <c r="Q71" s="30"/>
      <c r="R71" s="26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S71" s="25" t="s">
        <v>299</v>
      </c>
      <c r="T71" s="25" t="s">
        <v>73</v>
      </c>
      <c r="U71" s="31" t="n">
        <v>400</v>
      </c>
      <c r="V71" s="26"/>
      <c r="W71" s="26" t="str">
        <f aca="false">IF($K71="","출고일 미정",IF($O71="X","작지 미발행",IF($O71="부분","작지 일부 미발행",IF(AND($Q71&lt;&gt;"",$Q71&gt;$M71),"소재입고 마감("&amp;TEXT($M71,"MM/DD")&amp;") 초과",IF($O71="","발행여부 확인 필요",IF($Q71="","소재 입고일정 확인 필요","정상"))))))</f>
        <v>소재 입고일정 확인 필요</v>
      </c>
      <c r="X71" s="24" t="str">
        <f aca="false">IF($K71="","",IF(OR(LEFT($W71,2)="작지",LEFT($W71,4)="소재입고"),IF(LEFT($G71,1)="S","★ 납기위험(S코드)","◆ 지연주의"),IF($W71="정상","✓ 정상","? 확인필요")))</f>
        <v>? 확인필요</v>
      </c>
      <c r="Y71" s="27"/>
      <c r="Z71" s="32"/>
    </row>
    <row r="72" customFormat="false" ht="15" hidden="false" customHeight="false" outlineLevel="0" collapsed="false">
      <c r="A72" s="24" t="n">
        <v>68</v>
      </c>
      <c r="B72" s="25" t="s">
        <v>62</v>
      </c>
      <c r="C72" s="25" t="s">
        <v>63</v>
      </c>
      <c r="D72" s="26" t="s">
        <v>300</v>
      </c>
      <c r="E72" s="25" t="s">
        <v>301</v>
      </c>
      <c r="F72" s="26" t="s">
        <v>211</v>
      </c>
      <c r="G72" s="24" t="str">
        <f aca="false">IF($D72="","",IF(MID($D72,5,1)="S","S(봄)",IF(MID($D72,5,1)="M","M(여름)",IF(MID($D72,5,1)="X","X(사계절)",MID($D72,5,1)))))</f>
        <v>S(봄)</v>
      </c>
      <c r="H72" s="25" t="s">
        <v>67</v>
      </c>
      <c r="I72" s="24" t="s">
        <v>68</v>
      </c>
      <c r="J72" s="27" t="s">
        <v>296</v>
      </c>
      <c r="K72" s="28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8" t="n">
        <f aca="false">IF($K72="","",$K72-기준정보!$C$5)</f>
        <v>46395</v>
      </c>
      <c r="M72" s="28" t="n">
        <f aca="false">IF($L72="","",$L72-기준정보!$C$6)</f>
        <v>46305</v>
      </c>
      <c r="N72" s="29" t="n">
        <f aca="false">IF($M72="","",$M72-기준정보!$C$4)</f>
        <v>63</v>
      </c>
      <c r="O72" s="27" t="s">
        <v>70</v>
      </c>
      <c r="P72" s="27" t="s">
        <v>71</v>
      </c>
      <c r="Q72" s="30"/>
      <c r="R72" s="26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S72" s="25" t="s">
        <v>77</v>
      </c>
      <c r="T72" s="25" t="s">
        <v>78</v>
      </c>
      <c r="U72" s="31" t="n">
        <v>305</v>
      </c>
      <c r="V72" s="26"/>
      <c r="W72" s="26" t="str">
        <f aca="false">IF($K72="","출고일 미정",IF($O72="X","작지 미발행",IF($O72="부분","작지 일부 미발행",IF(AND($Q72&lt;&gt;"",$Q72&gt;$M72),"소재입고 마감("&amp;TEXT($M72,"MM/DD")&amp;") 초과",IF($O72="","발행여부 확인 필요",IF($Q72="","소재 입고일정 확인 필요","정상"))))))</f>
        <v>소재 입고일정 확인 필요</v>
      </c>
      <c r="X72" s="24" t="str">
        <f aca="false">IF($K72="","",IF(OR(LEFT($W72,2)="작지",LEFT($W72,4)="소재입고"),IF(LEFT($G72,1)="S","★ 납기위험(S코드)","◆ 지연주의"),IF($W72="정상","✓ 정상","? 확인필요")))</f>
        <v>? 확인필요</v>
      </c>
      <c r="Y72" s="27"/>
      <c r="Z72" s="32"/>
    </row>
    <row r="73" customFormat="false" ht="15" hidden="false" customHeight="false" outlineLevel="0" collapsed="false">
      <c r="A73" s="24" t="n">
        <v>69</v>
      </c>
      <c r="B73" s="25" t="s">
        <v>62</v>
      </c>
      <c r="C73" s="25" t="s">
        <v>63</v>
      </c>
      <c r="D73" s="26" t="s">
        <v>302</v>
      </c>
      <c r="E73" s="25" t="s">
        <v>303</v>
      </c>
      <c r="F73" s="26" t="s">
        <v>107</v>
      </c>
      <c r="G73" s="24" t="str">
        <f aca="false">IF($D73="","",IF(MID($D73,5,1)="S","S(봄)",IF(MID($D73,5,1)="M","M(여름)",IF(MID($D73,5,1)="X","X(사계절)",MID($D73,5,1)))))</f>
        <v>S(봄)</v>
      </c>
      <c r="H73" s="25" t="s">
        <v>67</v>
      </c>
      <c r="I73" s="24" t="s">
        <v>68</v>
      </c>
      <c r="J73" s="27" t="s">
        <v>296</v>
      </c>
      <c r="K73" s="28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8" t="n">
        <f aca="false">IF($K73="","",$K73-기준정보!$C$5)</f>
        <v>46395</v>
      </c>
      <c r="M73" s="28" t="n">
        <f aca="false">IF($L73="","",$L73-기준정보!$C$6)</f>
        <v>46305</v>
      </c>
      <c r="N73" s="29" t="n">
        <f aca="false">IF($M73="","",$M73-기준정보!$C$4)</f>
        <v>63</v>
      </c>
      <c r="O73" s="27" t="s">
        <v>70</v>
      </c>
      <c r="P73" s="27" t="s">
        <v>71</v>
      </c>
      <c r="Q73" s="30"/>
      <c r="R73" s="26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S73" s="25" t="s">
        <v>94</v>
      </c>
      <c r="T73" s="25" t="s">
        <v>73</v>
      </c>
      <c r="U73" s="31" t="n">
        <v>650</v>
      </c>
      <c r="V73" s="26"/>
      <c r="W73" s="26" t="str">
        <f aca="false">IF($K73="","출고일 미정",IF($O73="X","작지 미발행",IF($O73="부분","작지 일부 미발행",IF(AND($Q73&lt;&gt;"",$Q73&gt;$M73),"소재입고 마감("&amp;TEXT($M73,"MM/DD")&amp;") 초과",IF($O73="","발행여부 확인 필요",IF($Q73="","소재 입고일정 확인 필요","정상"))))))</f>
        <v>소재 입고일정 확인 필요</v>
      </c>
      <c r="X73" s="24" t="str">
        <f aca="false">IF($K73="","",IF(OR(LEFT($W73,2)="작지",LEFT($W73,4)="소재입고"),IF(LEFT($G73,1)="S","★ 납기위험(S코드)","◆ 지연주의"),IF($W73="정상","✓ 정상","? 확인필요")))</f>
        <v>? 확인필요</v>
      </c>
      <c r="Y73" s="27"/>
      <c r="Z73" s="32"/>
    </row>
    <row r="74" customFormat="false" ht="15" hidden="false" customHeight="false" outlineLevel="0" collapsed="false">
      <c r="A74" s="24" t="n">
        <v>70</v>
      </c>
      <c r="B74" s="25" t="s">
        <v>208</v>
      </c>
      <c r="C74" s="25" t="s">
        <v>213</v>
      </c>
      <c r="D74" s="26" t="s">
        <v>304</v>
      </c>
      <c r="E74" s="25" t="s">
        <v>305</v>
      </c>
      <c r="F74" s="26" t="s">
        <v>306</v>
      </c>
      <c r="G74" s="24" t="str">
        <f aca="false">IF($D74="","",IF(MID($D74,5,1)="S","S(봄)",IF(MID($D74,5,1)="M","M(여름)",IF(MID($D74,5,1)="X","X(사계절)",MID($D74,5,1)))))</f>
        <v>S(봄)</v>
      </c>
      <c r="H74" s="25" t="s">
        <v>67</v>
      </c>
      <c r="I74" s="24"/>
      <c r="J74" s="27" t="s">
        <v>296</v>
      </c>
      <c r="K74" s="28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8" t="n">
        <f aca="false">IF($K74="","",$K74-기준정보!$C$5)</f>
        <v>46395</v>
      </c>
      <c r="M74" s="28" t="n">
        <f aca="false">IF($L74="","",$L74-기준정보!$C$6)</f>
        <v>46305</v>
      </c>
      <c r="N74" s="29" t="n">
        <f aca="false">IF($M74="","",$M74-기준정보!$C$4)</f>
        <v>63</v>
      </c>
      <c r="O74" s="27" t="s">
        <v>70</v>
      </c>
      <c r="P74" s="27" t="s">
        <v>71</v>
      </c>
      <c r="Q74" s="30"/>
      <c r="R74" s="26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S74" s="26" t="s">
        <v>231</v>
      </c>
      <c r="T74" s="25" t="s">
        <v>78</v>
      </c>
      <c r="U74" s="31" t="n">
        <v>1000</v>
      </c>
      <c r="V74" s="26"/>
      <c r="W74" s="26" t="str">
        <f aca="false">IF($K74="","출고일 미정",IF($O74="X","작지 미발행",IF($O74="부분","작지 일부 미발행",IF(AND($Q74&lt;&gt;"",$Q74&gt;$M74),"소재입고 마감("&amp;TEXT($M74,"MM/DD")&amp;") 초과",IF($O74="","발행여부 확인 필요",IF($Q74="","소재 입고일정 확인 필요","정상"))))))</f>
        <v>소재 입고일정 확인 필요</v>
      </c>
      <c r="X74" s="24" t="str">
        <f aca="false">IF($K74="","",IF(OR(LEFT($W74,2)="작지",LEFT($W74,4)="소재입고"),IF(LEFT($G74,1)="S","★ 납기위험(S코드)","◆ 지연주의"),IF($W74="정상","✓ 정상","? 확인필요")))</f>
        <v>? 확인필요</v>
      </c>
      <c r="Y74" s="27"/>
      <c r="Z74" s="32"/>
    </row>
    <row r="75" customFormat="false" ht="15" hidden="false" customHeight="false" outlineLevel="0" collapsed="false">
      <c r="A75" s="24" t="n">
        <v>71</v>
      </c>
      <c r="B75" s="25" t="s">
        <v>208</v>
      </c>
      <c r="C75" s="25" t="s">
        <v>213</v>
      </c>
      <c r="D75" s="26" t="s">
        <v>307</v>
      </c>
      <c r="E75" s="25" t="s">
        <v>308</v>
      </c>
      <c r="F75" s="26" t="s">
        <v>226</v>
      </c>
      <c r="G75" s="24" t="str">
        <f aca="false">IF($D75="","",IF(MID($D75,5,1)="S","S(봄)",IF(MID($D75,5,1)="M","M(여름)",IF(MID($D75,5,1)="X","X(사계절)",MID($D75,5,1)))))</f>
        <v>S(봄)</v>
      </c>
      <c r="H75" s="25" t="s">
        <v>67</v>
      </c>
      <c r="I75" s="24"/>
      <c r="J75" s="27" t="s">
        <v>296</v>
      </c>
      <c r="K75" s="28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8" t="n">
        <f aca="false">IF($K75="","",$K75-기준정보!$C$5)</f>
        <v>46395</v>
      </c>
      <c r="M75" s="28" t="n">
        <f aca="false">IF($L75="","",$L75-기준정보!$C$6)</f>
        <v>46305</v>
      </c>
      <c r="N75" s="29" t="n">
        <f aca="false">IF($M75="","",$M75-기준정보!$C$4)</f>
        <v>63</v>
      </c>
      <c r="O75" s="27" t="s">
        <v>70</v>
      </c>
      <c r="P75" s="27" t="s">
        <v>71</v>
      </c>
      <c r="Q75" s="30"/>
      <c r="R75" s="26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S75" s="25" t="s">
        <v>299</v>
      </c>
      <c r="T75" s="25" t="s">
        <v>73</v>
      </c>
      <c r="U75" s="31" t="n">
        <v>2000</v>
      </c>
      <c r="V75" s="26"/>
      <c r="W75" s="26" t="str">
        <f aca="false">IF($K75="","출고일 미정",IF($O75="X","작지 미발행",IF($O75="부분","작지 일부 미발행",IF(AND($Q75&lt;&gt;"",$Q75&gt;$M75),"소재입고 마감("&amp;TEXT($M75,"MM/DD")&amp;") 초과",IF($O75="","발행여부 확인 필요",IF($Q75="","소재 입고일정 확인 필요","정상"))))))</f>
        <v>소재 입고일정 확인 필요</v>
      </c>
      <c r="X75" s="24" t="str">
        <f aca="false">IF($K75="","",IF(OR(LEFT($W75,2)="작지",LEFT($W75,4)="소재입고"),IF(LEFT($G75,1)="S","★ 납기위험(S코드)","◆ 지연주의"),IF($W75="정상","✓ 정상","? 확인필요")))</f>
        <v>? 확인필요</v>
      </c>
      <c r="Y75" s="27"/>
      <c r="Z75" s="32"/>
    </row>
    <row r="76" customFormat="false" ht="15" hidden="false" customHeight="false" outlineLevel="0" collapsed="false">
      <c r="A76" s="24" t="n">
        <v>72</v>
      </c>
      <c r="B76" s="25" t="s">
        <v>62</v>
      </c>
      <c r="C76" s="25" t="s">
        <v>81</v>
      </c>
      <c r="D76" s="26" t="s">
        <v>309</v>
      </c>
      <c r="E76" s="25" t="s">
        <v>310</v>
      </c>
      <c r="F76" s="26" t="s">
        <v>107</v>
      </c>
      <c r="G76" s="24" t="str">
        <f aca="false">IF($D76="","",IF(MID($D76,5,1)="S","S(봄)",IF(MID($D76,5,1)="M","M(여름)",IF(MID($D76,5,1)="X","X(사계절)",MID($D76,5,1)))))</f>
        <v>S(봄)</v>
      </c>
      <c r="H76" s="25" t="s">
        <v>67</v>
      </c>
      <c r="I76" s="24" t="s">
        <v>68</v>
      </c>
      <c r="J76" s="27" t="s">
        <v>296</v>
      </c>
      <c r="K76" s="28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8" t="n">
        <f aca="false">IF($K76="","",$K76-기준정보!$C$5)</f>
        <v>46395</v>
      </c>
      <c r="M76" s="28" t="n">
        <f aca="false">IF($L76="","",$L76-기준정보!$C$6)</f>
        <v>46305</v>
      </c>
      <c r="N76" s="29" t="n">
        <f aca="false">IF($M76="","",$M76-기준정보!$C$4)</f>
        <v>63</v>
      </c>
      <c r="O76" s="27" t="s">
        <v>70</v>
      </c>
      <c r="P76" s="27" t="s">
        <v>71</v>
      </c>
      <c r="Q76" s="30"/>
      <c r="R76" s="26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S76" s="25" t="s">
        <v>299</v>
      </c>
      <c r="T76" s="25" t="s">
        <v>73</v>
      </c>
      <c r="U76" s="31" t="n">
        <v>500</v>
      </c>
      <c r="V76" s="26"/>
      <c r="W76" s="26" t="str">
        <f aca="false">IF($K76="","출고일 미정",IF($O76="X","작지 미발행",IF($O76="부분","작지 일부 미발행",IF(AND($Q76&lt;&gt;"",$Q76&gt;$M76),"소재입고 마감("&amp;TEXT($M76,"MM/DD")&amp;") 초과",IF($O76="","발행여부 확인 필요",IF($Q76="","소재 입고일정 확인 필요","정상"))))))</f>
        <v>소재 입고일정 확인 필요</v>
      </c>
      <c r="X76" s="24" t="str">
        <f aca="false">IF($K76="","",IF(OR(LEFT($W76,2)="작지",LEFT($W76,4)="소재입고"),IF(LEFT($G76,1)="S","★ 납기위험(S코드)","◆ 지연주의"),IF($W76="정상","✓ 정상","? 확인필요")))</f>
        <v>? 확인필요</v>
      </c>
      <c r="Y76" s="27"/>
      <c r="Z76" s="32"/>
    </row>
    <row r="77" customFormat="false" ht="15" hidden="false" customHeight="false" outlineLevel="0" collapsed="false">
      <c r="A77" s="24" t="n">
        <v>73</v>
      </c>
      <c r="B77" s="25" t="s">
        <v>62</v>
      </c>
      <c r="C77" s="25" t="s">
        <v>63</v>
      </c>
      <c r="D77" s="26" t="s">
        <v>311</v>
      </c>
      <c r="E77" s="25" t="s">
        <v>312</v>
      </c>
      <c r="F77" s="26" t="s">
        <v>93</v>
      </c>
      <c r="G77" s="24" t="str">
        <f aca="false">IF($D77="","",IF(MID($D77,5,1)="S","S(봄)",IF(MID($D77,5,1)="M","M(여름)",IF(MID($D77,5,1)="X","X(사계절)",MID($D77,5,1)))))</f>
        <v>S(봄)</v>
      </c>
      <c r="H77" s="25" t="s">
        <v>67</v>
      </c>
      <c r="I77" s="24" t="s">
        <v>68</v>
      </c>
      <c r="J77" s="27" t="s">
        <v>296</v>
      </c>
      <c r="K77" s="28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8" t="n">
        <f aca="false">IF($K77="","",$K77-기준정보!$C$5)</f>
        <v>46395</v>
      </c>
      <c r="M77" s="28" t="n">
        <f aca="false">IF($L77="","",$L77-기준정보!$C$6)</f>
        <v>46305</v>
      </c>
      <c r="N77" s="29" t="n">
        <f aca="false">IF($M77="","",$M77-기준정보!$C$4)</f>
        <v>63</v>
      </c>
      <c r="O77" s="27" t="s">
        <v>70</v>
      </c>
      <c r="P77" s="27" t="s">
        <v>71</v>
      </c>
      <c r="Q77" s="30"/>
      <c r="R77" s="26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S77" s="25" t="s">
        <v>77</v>
      </c>
      <c r="T77" s="25" t="s">
        <v>78</v>
      </c>
      <c r="U77" s="31" t="n">
        <v>870</v>
      </c>
      <c r="V77" s="26"/>
      <c r="W77" s="26" t="str">
        <f aca="false">IF($K77="","출고일 미정",IF($O77="X","작지 미발행",IF($O77="부분","작지 일부 미발행",IF(AND($Q77&lt;&gt;"",$Q77&gt;$M77),"소재입고 마감("&amp;TEXT($M77,"MM/DD")&amp;") 초과",IF($O77="","발행여부 확인 필요",IF($Q77="","소재 입고일정 확인 필요","정상"))))))</f>
        <v>소재 입고일정 확인 필요</v>
      </c>
      <c r="X77" s="24" t="str">
        <f aca="false">IF($K77="","",IF(OR(LEFT($W77,2)="작지",LEFT($W77,4)="소재입고"),IF(LEFT($G77,1)="S","★ 납기위험(S코드)","◆ 지연주의"),IF($W77="정상","✓ 정상","? 확인필요")))</f>
        <v>? 확인필요</v>
      </c>
      <c r="Y77" s="27"/>
      <c r="Z77" s="32"/>
    </row>
    <row r="78" customFormat="false" ht="15" hidden="false" customHeight="false" outlineLevel="0" collapsed="false">
      <c r="A78" s="24" t="n">
        <v>74</v>
      </c>
      <c r="B78" s="25" t="s">
        <v>208</v>
      </c>
      <c r="C78" s="25" t="s">
        <v>188</v>
      </c>
      <c r="D78" s="26" t="s">
        <v>313</v>
      </c>
      <c r="E78" s="25" t="s">
        <v>314</v>
      </c>
      <c r="F78" s="26" t="s">
        <v>315</v>
      </c>
      <c r="G78" s="24" t="str">
        <f aca="false">IF($D78="","",IF(MID($D78,5,1)="S","S(봄)",IF(MID($D78,5,1)="M","M(여름)",IF(MID($D78,5,1)="X","X(사계절)",MID($D78,5,1)))))</f>
        <v>S(봄)</v>
      </c>
      <c r="H78" s="26" t="s">
        <v>197</v>
      </c>
      <c r="I78" s="24" t="s">
        <v>216</v>
      </c>
      <c r="J78" s="27" t="s">
        <v>316</v>
      </c>
      <c r="K78" s="28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8" t="n">
        <f aca="false">IF($K78="","",$K78-기준정보!$C$5)</f>
        <v>46405</v>
      </c>
      <c r="M78" s="28" t="n">
        <f aca="false">IF($L78="","",$L78-기준정보!$C$6)</f>
        <v>46315</v>
      </c>
      <c r="N78" s="29" t="n">
        <f aca="false">IF($M78="","",$M78-기준정보!$C$4)</f>
        <v>73</v>
      </c>
      <c r="O78" s="27" t="s">
        <v>70</v>
      </c>
      <c r="P78" s="27" t="s">
        <v>71</v>
      </c>
      <c r="Q78" s="30"/>
      <c r="R78" s="26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S78" s="25" t="s">
        <v>72</v>
      </c>
      <c r="T78" s="25" t="s">
        <v>73</v>
      </c>
      <c r="U78" s="31" t="n">
        <v>2500</v>
      </c>
      <c r="V78" s="26"/>
      <c r="W78" s="26" t="str">
        <f aca="false">IF($K78="","출고일 미정",IF($O78="X","작지 미발행",IF($O78="부분","작지 일부 미발행",IF(AND($Q78&lt;&gt;"",$Q78&gt;$M78),"소재입고 마감("&amp;TEXT($M78,"MM/DD")&amp;") 초과",IF($O78="","발행여부 확인 필요",IF($Q78="","소재 입고일정 확인 필요","정상"))))))</f>
        <v>소재 입고일정 확인 필요</v>
      </c>
      <c r="X78" s="24" t="str">
        <f aca="false">IF($K78="","",IF(OR(LEFT($W78,2)="작지",LEFT($W78,4)="소재입고"),IF(LEFT($G78,1)="S","★ 납기위험(S코드)","◆ 지연주의"),IF($W78="정상","✓ 정상","? 확인필요")))</f>
        <v>? 확인필요</v>
      </c>
      <c r="Y78" s="27"/>
      <c r="Z78" s="32"/>
    </row>
    <row r="79" customFormat="false" ht="15" hidden="false" customHeight="false" outlineLevel="0" collapsed="false">
      <c r="A79" s="24" t="n">
        <v>75</v>
      </c>
      <c r="B79" s="25" t="s">
        <v>208</v>
      </c>
      <c r="C79" s="25" t="s">
        <v>188</v>
      </c>
      <c r="D79" s="26" t="s">
        <v>317</v>
      </c>
      <c r="E79" s="25" t="s">
        <v>318</v>
      </c>
      <c r="F79" s="26" t="s">
        <v>319</v>
      </c>
      <c r="G79" s="24" t="str">
        <f aca="false">IF($D79="","",IF(MID($D79,5,1)="S","S(봄)",IF(MID($D79,5,1)="M","M(여름)",IF(MID($D79,5,1)="X","X(사계절)",MID($D79,5,1)))))</f>
        <v>S(봄)</v>
      </c>
      <c r="H79" s="26" t="s">
        <v>197</v>
      </c>
      <c r="I79" s="24" t="s">
        <v>216</v>
      </c>
      <c r="J79" s="27" t="s">
        <v>316</v>
      </c>
      <c r="K79" s="28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8" t="n">
        <f aca="false">IF($K79="","",$K79-기준정보!$C$5)</f>
        <v>46405</v>
      </c>
      <c r="M79" s="28" t="n">
        <f aca="false">IF($L79="","",$L79-기준정보!$C$6)</f>
        <v>46315</v>
      </c>
      <c r="N79" s="29" t="n">
        <f aca="false">IF($M79="","",$M79-기준정보!$C$4)</f>
        <v>73</v>
      </c>
      <c r="O79" s="27" t="s">
        <v>70</v>
      </c>
      <c r="P79" s="27" t="s">
        <v>71</v>
      </c>
      <c r="Q79" s="30"/>
      <c r="R79" s="26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S79" s="25" t="s">
        <v>246</v>
      </c>
      <c r="T79" s="25" t="s">
        <v>320</v>
      </c>
      <c r="U79" s="31" t="n">
        <v>7000</v>
      </c>
      <c r="V79" s="26"/>
      <c r="W79" s="26" t="str">
        <f aca="false">IF($K79="","출고일 미정",IF($O79="X","작지 미발행",IF($O79="부분","작지 일부 미발행",IF(AND($Q79&lt;&gt;"",$Q79&gt;$M79),"소재입고 마감("&amp;TEXT($M79,"MM/DD")&amp;") 초과",IF($O79="","발행여부 확인 필요",IF($Q79="","소재 입고일정 확인 필요","정상"))))))</f>
        <v>소재 입고일정 확인 필요</v>
      </c>
      <c r="X79" s="24" t="str">
        <f aca="false">IF($K79="","",IF(OR(LEFT($W79,2)="작지",LEFT($W79,4)="소재입고"),IF(LEFT($G79,1)="S","★ 납기위험(S코드)","◆ 지연주의"),IF($W79="정상","✓ 정상","? 확인필요")))</f>
        <v>? 확인필요</v>
      </c>
      <c r="Y79" s="27"/>
      <c r="Z79" s="32"/>
    </row>
    <row r="80" customFormat="false" ht="15" hidden="false" customHeight="false" outlineLevel="0" collapsed="false">
      <c r="A80" s="24" t="n">
        <v>76</v>
      </c>
      <c r="B80" s="25" t="s">
        <v>187</v>
      </c>
      <c r="C80" s="25" t="s">
        <v>188</v>
      </c>
      <c r="D80" s="26" t="s">
        <v>321</v>
      </c>
      <c r="E80" s="25" t="s">
        <v>322</v>
      </c>
      <c r="F80" s="26" t="s">
        <v>148</v>
      </c>
      <c r="G80" s="24" t="str">
        <f aca="false">IF($D80="","",IF(MID($D80,5,1)="S","S(봄)",IF(MID($D80,5,1)="M","M(여름)",IF(MID($D80,5,1)="X","X(사계절)",MID($D80,5,1)))))</f>
        <v>S(봄)</v>
      </c>
      <c r="H80" s="25" t="s">
        <v>67</v>
      </c>
      <c r="I80" s="24"/>
      <c r="J80" s="27" t="s">
        <v>316</v>
      </c>
      <c r="K80" s="28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8" t="n">
        <f aca="false">IF($K80="","",$K80-기준정보!$C$5)</f>
        <v>46405</v>
      </c>
      <c r="M80" s="28" t="n">
        <f aca="false">IF($L80="","",$L80-기준정보!$C$6)</f>
        <v>46315</v>
      </c>
      <c r="N80" s="29" t="n">
        <f aca="false">IF($M80="","",$M80-기준정보!$C$4)</f>
        <v>73</v>
      </c>
      <c r="O80" s="27" t="s">
        <v>70</v>
      </c>
      <c r="P80" s="27" t="s">
        <v>71</v>
      </c>
      <c r="Q80" s="30"/>
      <c r="R80" s="26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S80" s="25" t="s">
        <v>77</v>
      </c>
      <c r="T80" s="26"/>
      <c r="U80" s="31" t="n">
        <v>800</v>
      </c>
      <c r="V80" s="26" t="s">
        <v>316</v>
      </c>
      <c r="W80" s="26" t="str">
        <f aca="false">IF($K80="","출고일 미정",IF($O80="X","작지 미발행",IF($O80="부분","작지 일부 미발행",IF(AND($Q80&lt;&gt;"",$Q80&gt;$M80),"소재입고 마감("&amp;TEXT($M80,"MM/DD")&amp;") 초과",IF($O80="","발행여부 확인 필요",IF($Q80="","소재 입고일정 확인 필요","정상"))))))</f>
        <v>소재 입고일정 확인 필요</v>
      </c>
      <c r="X80" s="24" t="str">
        <f aca="false">IF($K80="","",IF(OR(LEFT($W80,2)="작지",LEFT($W80,4)="소재입고"),IF(LEFT($G80,1)="S","★ 납기위험(S코드)","◆ 지연주의"),IF($W80="정상","✓ 정상","? 확인필요")))</f>
        <v>? 확인필요</v>
      </c>
      <c r="Y80" s="27"/>
      <c r="Z80" s="32"/>
    </row>
    <row r="81" customFormat="false" ht="15" hidden="false" customHeight="false" outlineLevel="0" collapsed="false">
      <c r="A81" s="24" t="n">
        <v>77</v>
      </c>
      <c r="B81" s="25" t="s">
        <v>208</v>
      </c>
      <c r="C81" s="25" t="s">
        <v>188</v>
      </c>
      <c r="D81" s="26" t="s">
        <v>323</v>
      </c>
      <c r="E81" s="25" t="s">
        <v>324</v>
      </c>
      <c r="F81" s="26" t="s">
        <v>325</v>
      </c>
      <c r="G81" s="24" t="str">
        <f aca="false">IF($D81="","",IF(MID($D81,5,1)="S","S(봄)",IF(MID($D81,5,1)="M","M(여름)",IF(MID($D81,5,1)="X","X(사계절)",MID($D81,5,1)))))</f>
        <v>S(봄)</v>
      </c>
      <c r="H81" s="26" t="s">
        <v>197</v>
      </c>
      <c r="I81" s="24" t="s">
        <v>216</v>
      </c>
      <c r="J81" s="27" t="s">
        <v>316</v>
      </c>
      <c r="K81" s="28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8" t="n">
        <f aca="false">IF($K81="","",$K81-기준정보!$C$5)</f>
        <v>46405</v>
      </c>
      <c r="M81" s="28" t="n">
        <f aca="false">IF($L81="","",$L81-기준정보!$C$6)</f>
        <v>46315</v>
      </c>
      <c r="N81" s="29" t="n">
        <f aca="false">IF($M81="","",$M81-기준정보!$C$4)</f>
        <v>73</v>
      </c>
      <c r="O81" s="27" t="s">
        <v>70</v>
      </c>
      <c r="P81" s="27" t="s">
        <v>71</v>
      </c>
      <c r="Q81" s="30"/>
      <c r="R81" s="26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S81" s="25" t="s">
        <v>77</v>
      </c>
      <c r="T81" s="25" t="s">
        <v>78</v>
      </c>
      <c r="U81" s="31" t="n">
        <v>4000</v>
      </c>
      <c r="V81" s="26"/>
      <c r="W81" s="26" t="str">
        <f aca="false">IF($K81="","출고일 미정",IF($O81="X","작지 미발행",IF($O81="부분","작지 일부 미발행",IF(AND($Q81&lt;&gt;"",$Q81&gt;$M81),"소재입고 마감("&amp;TEXT($M81,"MM/DD")&amp;") 초과",IF($O81="","발행여부 확인 필요",IF($Q81="","소재 입고일정 확인 필요","정상"))))))</f>
        <v>소재 입고일정 확인 필요</v>
      </c>
      <c r="X81" s="24" t="str">
        <f aca="false">IF($K81="","",IF(OR(LEFT($W81,2)="작지",LEFT($W81,4)="소재입고"),IF(LEFT($G81,1)="S","★ 납기위험(S코드)","◆ 지연주의"),IF($W81="정상","✓ 정상","? 확인필요")))</f>
        <v>? 확인필요</v>
      </c>
      <c r="Y81" s="27"/>
      <c r="Z81" s="32"/>
    </row>
    <row r="82" customFormat="false" ht="15" hidden="false" customHeight="false" outlineLevel="0" collapsed="false">
      <c r="A82" s="24" t="n">
        <v>78</v>
      </c>
      <c r="B82" s="25" t="s">
        <v>192</v>
      </c>
      <c r="C82" s="25" t="s">
        <v>193</v>
      </c>
      <c r="D82" s="26" t="s">
        <v>326</v>
      </c>
      <c r="E82" s="26" t="s">
        <v>327</v>
      </c>
      <c r="F82" s="26" t="s">
        <v>237</v>
      </c>
      <c r="G82" s="24" t="str">
        <f aca="false">IF($D82="","",IF(MID($D82,5,1)="S","S(봄)",IF(MID($D82,5,1)="M","M(여름)",IF(MID($D82,5,1)="X","X(사계절)",MID($D82,5,1)))))</f>
        <v>S(봄)</v>
      </c>
      <c r="H82" s="26" t="s">
        <v>197</v>
      </c>
      <c r="I82" s="24"/>
      <c r="J82" s="27" t="s">
        <v>316</v>
      </c>
      <c r="K82" s="28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8" t="n">
        <f aca="false">IF($K82="","",$K82-기준정보!$C$5)</f>
        <v>46405</v>
      </c>
      <c r="M82" s="28" t="n">
        <f aca="false">IF($L82="","",$L82-기준정보!$C$6)</f>
        <v>46315</v>
      </c>
      <c r="N82" s="29" t="n">
        <f aca="false">IF($M82="","",$M82-기준정보!$C$4)</f>
        <v>73</v>
      </c>
      <c r="O82" s="27" t="s">
        <v>70</v>
      </c>
      <c r="P82" s="27" t="s">
        <v>71</v>
      </c>
      <c r="Q82" s="30"/>
      <c r="R82" s="26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S82" s="26" t="s">
        <v>223</v>
      </c>
      <c r="T82" s="25" t="s">
        <v>73</v>
      </c>
      <c r="U82" s="31" t="n">
        <v>1800</v>
      </c>
      <c r="V82" s="26" t="s">
        <v>316</v>
      </c>
      <c r="W82" s="26" t="str">
        <f aca="false">IF($K82="","출고일 미정",IF($O82="X","작지 미발행",IF($O82="부분","작지 일부 미발행",IF(AND($Q82&lt;&gt;"",$Q82&gt;$M82),"소재입고 마감("&amp;TEXT($M82,"MM/DD")&amp;") 초과",IF($O82="","발행여부 확인 필요",IF($Q82="","소재 입고일정 확인 필요","정상"))))))</f>
        <v>소재 입고일정 확인 필요</v>
      </c>
      <c r="X82" s="24" t="str">
        <f aca="false">IF($K82="","",IF(OR(LEFT($W82,2)="작지",LEFT($W82,4)="소재입고"),IF(LEFT($G82,1)="S","★ 납기위험(S코드)","◆ 지연주의"),IF($W82="정상","✓ 정상","? 확인필요")))</f>
        <v>? 확인필요</v>
      </c>
      <c r="Y82" s="27"/>
      <c r="Z82" s="32"/>
    </row>
    <row r="83" customFormat="false" ht="15" hidden="false" customHeight="false" outlineLevel="0" collapsed="false">
      <c r="A83" s="24" t="n">
        <v>79</v>
      </c>
      <c r="B83" s="25" t="s">
        <v>192</v>
      </c>
      <c r="C83" s="25" t="s">
        <v>193</v>
      </c>
      <c r="D83" s="26" t="s">
        <v>328</v>
      </c>
      <c r="E83" s="25" t="s">
        <v>329</v>
      </c>
      <c r="F83" s="26" t="s">
        <v>330</v>
      </c>
      <c r="G83" s="24" t="str">
        <f aca="false">IF($D83="","",IF(MID($D83,5,1)="S","S(봄)",IF(MID($D83,5,1)="M","M(여름)",IF(MID($D83,5,1)="X","X(사계절)",MID($D83,5,1)))))</f>
        <v>S(봄)</v>
      </c>
      <c r="H83" s="25" t="s">
        <v>67</v>
      </c>
      <c r="I83" s="24"/>
      <c r="J83" s="27" t="s">
        <v>316</v>
      </c>
      <c r="K83" s="28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8" t="n">
        <f aca="false">IF($K83="","",$K83-기준정보!$C$5)</f>
        <v>46405</v>
      </c>
      <c r="M83" s="28" t="n">
        <f aca="false">IF($L83="","",$L83-기준정보!$C$6)</f>
        <v>46315</v>
      </c>
      <c r="N83" s="29" t="n">
        <f aca="false">IF($M83="","",$M83-기준정보!$C$4)</f>
        <v>73</v>
      </c>
      <c r="O83" s="27" t="s">
        <v>70</v>
      </c>
      <c r="P83" s="27" t="s">
        <v>71</v>
      </c>
      <c r="Q83" s="30"/>
      <c r="R83" s="26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S83" s="26" t="s">
        <v>231</v>
      </c>
      <c r="T83" s="25" t="s">
        <v>78</v>
      </c>
      <c r="U83" s="31" t="n">
        <v>2000</v>
      </c>
      <c r="V83" s="26" t="s">
        <v>316</v>
      </c>
      <c r="W83" s="26" t="str">
        <f aca="false">IF($K83="","출고일 미정",IF($O83="X","작지 미발행",IF($O83="부분","작지 일부 미발행",IF(AND($Q83&lt;&gt;"",$Q83&gt;$M83),"소재입고 마감("&amp;TEXT($M83,"MM/DD")&amp;") 초과",IF($O83="","발행여부 확인 필요",IF($Q83="","소재 입고일정 확인 필요","정상"))))))</f>
        <v>소재 입고일정 확인 필요</v>
      </c>
      <c r="X83" s="24" t="str">
        <f aca="false">IF($K83="","",IF(OR(LEFT($W83,2)="작지",LEFT($W83,4)="소재입고"),IF(LEFT($G83,1)="S","★ 납기위험(S코드)","◆ 지연주의"),IF($W83="정상","✓ 정상","? 확인필요")))</f>
        <v>? 확인필요</v>
      </c>
      <c r="Y83" s="27"/>
      <c r="Z83" s="32"/>
    </row>
    <row r="84" customFormat="false" ht="15" hidden="false" customHeight="false" outlineLevel="0" collapsed="false">
      <c r="A84" s="24" t="n">
        <v>80</v>
      </c>
      <c r="B84" s="25" t="s">
        <v>192</v>
      </c>
      <c r="C84" s="25" t="s">
        <v>193</v>
      </c>
      <c r="D84" s="26" t="s">
        <v>331</v>
      </c>
      <c r="E84" s="25" t="s">
        <v>332</v>
      </c>
      <c r="F84" s="26" t="s">
        <v>333</v>
      </c>
      <c r="G84" s="24" t="str">
        <f aca="false">IF($D84="","",IF(MID($D84,5,1)="S","S(봄)",IF(MID($D84,5,1)="M","M(여름)",IF(MID($D84,5,1)="X","X(사계절)",MID($D84,5,1)))))</f>
        <v>S(봄)</v>
      </c>
      <c r="H84" s="25" t="s">
        <v>67</v>
      </c>
      <c r="I84" s="24"/>
      <c r="J84" s="27" t="s">
        <v>316</v>
      </c>
      <c r="K84" s="28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8" t="n">
        <f aca="false">IF($K84="","",$K84-기준정보!$C$5)</f>
        <v>46405</v>
      </c>
      <c r="M84" s="28" t="n">
        <f aca="false">IF($L84="","",$L84-기준정보!$C$6)</f>
        <v>46315</v>
      </c>
      <c r="N84" s="29" t="n">
        <f aca="false">IF($M84="","",$M84-기준정보!$C$4)</f>
        <v>73</v>
      </c>
      <c r="O84" s="27" t="s">
        <v>70</v>
      </c>
      <c r="P84" s="27" t="s">
        <v>71</v>
      </c>
      <c r="Q84" s="30"/>
      <c r="R84" s="26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S84" s="26" t="s">
        <v>231</v>
      </c>
      <c r="T84" s="25" t="s">
        <v>78</v>
      </c>
      <c r="U84" s="31" t="n">
        <v>1300</v>
      </c>
      <c r="V84" s="26" t="s">
        <v>316</v>
      </c>
      <c r="W84" s="26" t="str">
        <f aca="false">IF($K84="","출고일 미정",IF($O84="X","작지 미발행",IF($O84="부분","작지 일부 미발행",IF(AND($Q84&lt;&gt;"",$Q84&gt;$M84),"소재입고 마감("&amp;TEXT($M84,"MM/DD")&amp;") 초과",IF($O84="","발행여부 확인 필요",IF($Q84="","소재 입고일정 확인 필요","정상"))))))</f>
        <v>소재 입고일정 확인 필요</v>
      </c>
      <c r="X84" s="24" t="str">
        <f aca="false">IF($K84="","",IF(OR(LEFT($W84,2)="작지",LEFT($W84,4)="소재입고"),IF(LEFT($G84,1)="S","★ 납기위험(S코드)","◆ 지연주의"),IF($W84="정상","✓ 정상","? 확인필요")))</f>
        <v>? 확인필요</v>
      </c>
      <c r="Y84" s="27"/>
      <c r="Z84" s="32"/>
    </row>
    <row r="85" customFormat="false" ht="15" hidden="false" customHeight="false" outlineLevel="0" collapsed="false">
      <c r="A85" s="24" t="n">
        <v>81</v>
      </c>
      <c r="B85" s="25" t="s">
        <v>192</v>
      </c>
      <c r="C85" s="25" t="s">
        <v>193</v>
      </c>
      <c r="D85" s="26" t="s">
        <v>334</v>
      </c>
      <c r="E85" s="25" t="s">
        <v>335</v>
      </c>
      <c r="F85" s="26" t="s">
        <v>336</v>
      </c>
      <c r="G85" s="24" t="str">
        <f aca="false">IF($D85="","",IF(MID($D85,5,1)="S","S(봄)",IF(MID($D85,5,1)="M","M(여름)",IF(MID($D85,5,1)="X","X(사계절)",MID($D85,5,1)))))</f>
        <v>S(봄)</v>
      </c>
      <c r="H85" s="25" t="s">
        <v>67</v>
      </c>
      <c r="I85" s="24"/>
      <c r="J85" s="27" t="s">
        <v>316</v>
      </c>
      <c r="K85" s="28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8" t="n">
        <f aca="false">IF($K85="","",$K85-기준정보!$C$5)</f>
        <v>46405</v>
      </c>
      <c r="M85" s="28" t="n">
        <f aca="false">IF($L85="","",$L85-기준정보!$C$6)</f>
        <v>46315</v>
      </c>
      <c r="N85" s="29" t="n">
        <f aca="false">IF($M85="","",$M85-기준정보!$C$4)</f>
        <v>73</v>
      </c>
      <c r="O85" s="27" t="s">
        <v>70</v>
      </c>
      <c r="P85" s="27" t="s">
        <v>71</v>
      </c>
      <c r="Q85" s="30"/>
      <c r="R85" s="26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S85" s="26" t="s">
        <v>231</v>
      </c>
      <c r="T85" s="25" t="s">
        <v>78</v>
      </c>
      <c r="U85" s="31" t="n">
        <v>1200</v>
      </c>
      <c r="V85" s="26" t="s">
        <v>316</v>
      </c>
      <c r="W85" s="26" t="str">
        <f aca="false">IF($K85="","출고일 미정",IF($O85="X","작지 미발행",IF($O85="부분","작지 일부 미발행",IF(AND($Q85&lt;&gt;"",$Q85&gt;$M85),"소재입고 마감("&amp;TEXT($M85,"MM/DD")&amp;") 초과",IF($O85="","발행여부 확인 필요",IF($Q85="","소재 입고일정 확인 필요","정상"))))))</f>
        <v>소재 입고일정 확인 필요</v>
      </c>
      <c r="X85" s="24" t="str">
        <f aca="false">IF($K85="","",IF(OR(LEFT($W85,2)="작지",LEFT($W85,4)="소재입고"),IF(LEFT($G85,1)="S","★ 납기위험(S코드)","◆ 지연주의"),IF($W85="정상","✓ 정상","? 확인필요")))</f>
        <v>? 확인필요</v>
      </c>
      <c r="Y85" s="27"/>
      <c r="Z85" s="32"/>
    </row>
    <row r="86" customFormat="false" ht="15" hidden="false" customHeight="false" outlineLevel="0" collapsed="false">
      <c r="A86" s="24" t="n">
        <v>82</v>
      </c>
      <c r="B86" s="25" t="s">
        <v>192</v>
      </c>
      <c r="C86" s="25" t="s">
        <v>193</v>
      </c>
      <c r="D86" s="26" t="s">
        <v>337</v>
      </c>
      <c r="E86" s="25" t="s">
        <v>338</v>
      </c>
      <c r="F86" s="26" t="s">
        <v>339</v>
      </c>
      <c r="G86" s="24" t="str">
        <f aca="false">IF($D86="","",IF(MID($D86,5,1)="S","S(봄)",IF(MID($D86,5,1)="M","M(여름)",IF(MID($D86,5,1)="X","X(사계절)",MID($D86,5,1)))))</f>
        <v>S(봄)</v>
      </c>
      <c r="H86" s="25" t="s">
        <v>67</v>
      </c>
      <c r="I86" s="24"/>
      <c r="J86" s="27" t="s">
        <v>316</v>
      </c>
      <c r="K86" s="28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8" t="n">
        <f aca="false">IF($K86="","",$K86-기준정보!$C$5)</f>
        <v>46405</v>
      </c>
      <c r="M86" s="28" t="n">
        <f aca="false">IF($L86="","",$L86-기준정보!$C$6)</f>
        <v>46315</v>
      </c>
      <c r="N86" s="29" t="n">
        <f aca="false">IF($M86="","",$M86-기준정보!$C$4)</f>
        <v>73</v>
      </c>
      <c r="O86" s="27" t="s">
        <v>70</v>
      </c>
      <c r="P86" s="27" t="s">
        <v>71</v>
      </c>
      <c r="Q86" s="30"/>
      <c r="R86" s="26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S86" s="25" t="s">
        <v>299</v>
      </c>
      <c r="T86" s="25" t="s">
        <v>78</v>
      </c>
      <c r="U86" s="31" t="n">
        <v>3000</v>
      </c>
      <c r="V86" s="26" t="s">
        <v>316</v>
      </c>
      <c r="W86" s="26" t="str">
        <f aca="false">IF($K86="","출고일 미정",IF($O86="X","작지 미발행",IF($O86="부분","작지 일부 미발행",IF(AND($Q86&lt;&gt;"",$Q86&gt;$M86),"소재입고 마감("&amp;TEXT($M86,"MM/DD")&amp;") 초과",IF($O86="","발행여부 확인 필요",IF($Q86="","소재 입고일정 확인 필요","정상"))))))</f>
        <v>소재 입고일정 확인 필요</v>
      </c>
      <c r="X86" s="24" t="str">
        <f aca="false">IF($K86="","",IF(OR(LEFT($W86,2)="작지",LEFT($W86,4)="소재입고"),IF(LEFT($G86,1)="S","★ 납기위험(S코드)","◆ 지연주의"),IF($W86="정상","✓ 정상","? 확인필요")))</f>
        <v>? 확인필요</v>
      </c>
      <c r="Y86" s="27"/>
      <c r="Z86" s="32"/>
    </row>
    <row r="87" customFormat="false" ht="15" hidden="false" customHeight="false" outlineLevel="0" collapsed="false">
      <c r="A87" s="24" t="n">
        <v>83</v>
      </c>
      <c r="B87" s="25" t="s">
        <v>192</v>
      </c>
      <c r="C87" s="25" t="s">
        <v>193</v>
      </c>
      <c r="D87" s="26" t="s">
        <v>340</v>
      </c>
      <c r="E87" s="25" t="s">
        <v>341</v>
      </c>
      <c r="F87" s="26" t="s">
        <v>134</v>
      </c>
      <c r="G87" s="24" t="str">
        <f aca="false">IF($D87="","",IF(MID($D87,5,1)="S","S(봄)",IF(MID($D87,5,1)="M","M(여름)",IF(MID($D87,5,1)="X","X(사계절)",MID($D87,5,1)))))</f>
        <v>S(봄)</v>
      </c>
      <c r="H87" s="25" t="s">
        <v>67</v>
      </c>
      <c r="I87" s="24"/>
      <c r="J87" s="27" t="s">
        <v>316</v>
      </c>
      <c r="K87" s="28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8" t="n">
        <f aca="false">IF($K87="","",$K87-기준정보!$C$5)</f>
        <v>46405</v>
      </c>
      <c r="M87" s="28" t="n">
        <f aca="false">IF($L87="","",$L87-기준정보!$C$6)</f>
        <v>46315</v>
      </c>
      <c r="N87" s="29" t="n">
        <f aca="false">IF($M87="","",$M87-기준정보!$C$4)</f>
        <v>73</v>
      </c>
      <c r="O87" s="27" t="s">
        <v>70</v>
      </c>
      <c r="P87" s="27" t="s">
        <v>71</v>
      </c>
      <c r="Q87" s="30"/>
      <c r="R87" s="26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S87" s="26" t="s">
        <v>231</v>
      </c>
      <c r="T87" s="25" t="s">
        <v>78</v>
      </c>
      <c r="U87" s="31" t="n">
        <v>1400</v>
      </c>
      <c r="V87" s="26" t="s">
        <v>316</v>
      </c>
      <c r="W87" s="26" t="str">
        <f aca="false">IF($K87="","출고일 미정",IF($O87="X","작지 미발행",IF($O87="부분","작지 일부 미발행",IF(AND($Q87&lt;&gt;"",$Q87&gt;$M87),"소재입고 마감("&amp;TEXT($M87,"MM/DD")&amp;") 초과",IF($O87="","발행여부 확인 필요",IF($Q87="","소재 입고일정 확인 필요","정상"))))))</f>
        <v>소재 입고일정 확인 필요</v>
      </c>
      <c r="X87" s="24" t="str">
        <f aca="false">IF($K87="","",IF(OR(LEFT($W87,2)="작지",LEFT($W87,4)="소재입고"),IF(LEFT($G87,1)="S","★ 납기위험(S코드)","◆ 지연주의"),IF($W87="정상","✓ 정상","? 확인필요")))</f>
        <v>? 확인필요</v>
      </c>
      <c r="Y87" s="27"/>
      <c r="Z87" s="32"/>
    </row>
    <row r="88" customFormat="false" ht="15" hidden="false" customHeight="false" outlineLevel="0" collapsed="false">
      <c r="A88" s="24" t="n">
        <v>84</v>
      </c>
      <c r="B88" s="25" t="s">
        <v>208</v>
      </c>
      <c r="C88" s="25" t="s">
        <v>188</v>
      </c>
      <c r="D88" s="26" t="s">
        <v>342</v>
      </c>
      <c r="E88" s="25" t="s">
        <v>343</v>
      </c>
      <c r="F88" s="26" t="s">
        <v>344</v>
      </c>
      <c r="G88" s="24" t="str">
        <f aca="false">IF($D88="","",IF(MID($D88,5,1)="S","S(봄)",IF(MID($D88,5,1)="M","M(여름)",IF(MID($D88,5,1)="X","X(사계절)",MID($D88,5,1)))))</f>
        <v>S(봄)</v>
      </c>
      <c r="H88" s="26" t="s">
        <v>197</v>
      </c>
      <c r="I88" s="24" t="s">
        <v>216</v>
      </c>
      <c r="J88" s="27" t="s">
        <v>316</v>
      </c>
      <c r="K88" s="28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8" t="n">
        <f aca="false">IF($K88="","",$K88-기준정보!$C$5)</f>
        <v>46405</v>
      </c>
      <c r="M88" s="28" t="n">
        <f aca="false">IF($L88="","",$L88-기준정보!$C$6)</f>
        <v>46315</v>
      </c>
      <c r="N88" s="29" t="n">
        <f aca="false">IF($M88="","",$M88-기준정보!$C$4)</f>
        <v>73</v>
      </c>
      <c r="O88" s="27" t="s">
        <v>70</v>
      </c>
      <c r="P88" s="27" t="s">
        <v>71</v>
      </c>
      <c r="Q88" s="30"/>
      <c r="R88" s="26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S88" s="25" t="s">
        <v>72</v>
      </c>
      <c r="T88" s="25" t="s">
        <v>73</v>
      </c>
      <c r="U88" s="31" t="n">
        <v>2500</v>
      </c>
      <c r="V88" s="26"/>
      <c r="W88" s="26" t="str">
        <f aca="false">IF($K88="","출고일 미정",IF($O88="X","작지 미발행",IF($O88="부분","작지 일부 미발행",IF(AND($Q88&lt;&gt;"",$Q88&gt;$M88),"소재입고 마감("&amp;TEXT($M88,"MM/DD")&amp;") 초과",IF($O88="","발행여부 확인 필요",IF($Q88="","소재 입고일정 확인 필요","정상"))))))</f>
        <v>소재 입고일정 확인 필요</v>
      </c>
      <c r="X88" s="24" t="str">
        <f aca="false">IF($K88="","",IF(OR(LEFT($W88,2)="작지",LEFT($W88,4)="소재입고"),IF(LEFT($G88,1)="S","★ 납기위험(S코드)","◆ 지연주의"),IF($W88="정상","✓ 정상","? 확인필요")))</f>
        <v>? 확인필요</v>
      </c>
      <c r="Y88" s="27"/>
      <c r="Z88" s="32"/>
    </row>
    <row r="89" customFormat="false" ht="15" hidden="false" customHeight="false" outlineLevel="0" collapsed="false">
      <c r="A89" s="24" t="n">
        <v>85</v>
      </c>
      <c r="B89" s="25" t="s">
        <v>208</v>
      </c>
      <c r="C89" s="25" t="s">
        <v>188</v>
      </c>
      <c r="D89" s="26" t="s">
        <v>345</v>
      </c>
      <c r="E89" s="25" t="s">
        <v>346</v>
      </c>
      <c r="F89" s="26" t="s">
        <v>347</v>
      </c>
      <c r="G89" s="24" t="str">
        <f aca="false">IF($D89="","",IF(MID($D89,5,1)="S","S(봄)",IF(MID($D89,5,1)="M","M(여름)",IF(MID($D89,5,1)="X","X(사계절)",MID($D89,5,1)))))</f>
        <v>S(봄)</v>
      </c>
      <c r="H89" s="26" t="s">
        <v>197</v>
      </c>
      <c r="I89" s="24" t="s">
        <v>216</v>
      </c>
      <c r="J89" s="27" t="s">
        <v>316</v>
      </c>
      <c r="K89" s="28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8" t="n">
        <f aca="false">IF($K89="","",$K89-기준정보!$C$5)</f>
        <v>46405</v>
      </c>
      <c r="M89" s="28" t="n">
        <f aca="false">IF($L89="","",$L89-기준정보!$C$6)</f>
        <v>46315</v>
      </c>
      <c r="N89" s="29" t="n">
        <f aca="false">IF($M89="","",$M89-기준정보!$C$4)</f>
        <v>73</v>
      </c>
      <c r="O89" s="27" t="s">
        <v>70</v>
      </c>
      <c r="P89" s="27" t="s">
        <v>71</v>
      </c>
      <c r="Q89" s="30"/>
      <c r="R89" s="26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S89" s="25" t="s">
        <v>246</v>
      </c>
      <c r="T89" s="25" t="s">
        <v>320</v>
      </c>
      <c r="U89" s="31" t="n">
        <v>7640</v>
      </c>
      <c r="V89" s="26"/>
      <c r="W89" s="26" t="str">
        <f aca="false">IF($K89="","출고일 미정",IF($O89="X","작지 미발행",IF($O89="부분","작지 일부 미발행",IF(AND($Q89&lt;&gt;"",$Q89&gt;$M89),"소재입고 마감("&amp;TEXT($M89,"MM/DD")&amp;") 초과",IF($O89="","발행여부 확인 필요",IF($Q89="","소재 입고일정 확인 필요","정상"))))))</f>
        <v>소재 입고일정 확인 필요</v>
      </c>
      <c r="X89" s="24" t="str">
        <f aca="false">IF($K89="","",IF(OR(LEFT($W89,2)="작지",LEFT($W89,4)="소재입고"),IF(LEFT($G89,1)="S","★ 납기위험(S코드)","◆ 지연주의"),IF($W89="정상","✓ 정상","? 확인필요")))</f>
        <v>? 확인필요</v>
      </c>
      <c r="Y89" s="27"/>
      <c r="Z89" s="32"/>
    </row>
    <row r="90" customFormat="false" ht="15" hidden="false" customHeight="false" outlineLevel="0" collapsed="false">
      <c r="A90" s="24" t="n">
        <v>86</v>
      </c>
      <c r="B90" s="25" t="s">
        <v>208</v>
      </c>
      <c r="C90" s="25" t="s">
        <v>188</v>
      </c>
      <c r="D90" s="26" t="s">
        <v>348</v>
      </c>
      <c r="E90" s="25" t="s">
        <v>349</v>
      </c>
      <c r="F90" s="26" t="s">
        <v>134</v>
      </c>
      <c r="G90" s="24" t="str">
        <f aca="false">IF($D90="","",IF(MID($D90,5,1)="S","S(봄)",IF(MID($D90,5,1)="M","M(여름)",IF(MID($D90,5,1)="X","X(사계절)",MID($D90,5,1)))))</f>
        <v>S(봄)</v>
      </c>
      <c r="H90" s="25" t="s">
        <v>67</v>
      </c>
      <c r="I90" s="24"/>
      <c r="J90" s="27" t="s">
        <v>316</v>
      </c>
      <c r="K90" s="28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8" t="n">
        <f aca="false">IF($K90="","",$K90-기준정보!$C$5)</f>
        <v>46405</v>
      </c>
      <c r="M90" s="28" t="n">
        <f aca="false">IF($L90="","",$L90-기준정보!$C$6)</f>
        <v>46315</v>
      </c>
      <c r="N90" s="29" t="n">
        <f aca="false">IF($M90="","",$M90-기준정보!$C$4)</f>
        <v>73</v>
      </c>
      <c r="O90" s="27" t="s">
        <v>70</v>
      </c>
      <c r="P90" s="27" t="s">
        <v>71</v>
      </c>
      <c r="Q90" s="30"/>
      <c r="R90" s="26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S90" s="25" t="s">
        <v>77</v>
      </c>
      <c r="T90" s="25" t="s">
        <v>78</v>
      </c>
      <c r="U90" s="31" t="n">
        <v>2200</v>
      </c>
      <c r="V90" s="26"/>
      <c r="W90" s="26" t="str">
        <f aca="false">IF($K90="","출고일 미정",IF($O90="X","작지 미발행",IF($O90="부분","작지 일부 미발행",IF(AND($Q90&lt;&gt;"",$Q90&gt;$M90),"소재입고 마감("&amp;TEXT($M90,"MM/DD")&amp;") 초과",IF($O90="","발행여부 확인 필요",IF($Q90="","소재 입고일정 확인 필요","정상"))))))</f>
        <v>소재 입고일정 확인 필요</v>
      </c>
      <c r="X90" s="24" t="str">
        <f aca="false">IF($K90="","",IF(OR(LEFT($W90,2)="작지",LEFT($W90,4)="소재입고"),IF(LEFT($G90,1)="S","★ 납기위험(S코드)","◆ 지연주의"),IF($W90="정상","✓ 정상","? 확인필요")))</f>
        <v>? 확인필요</v>
      </c>
      <c r="Y90" s="27"/>
      <c r="Z90" s="32"/>
    </row>
    <row r="91" customFormat="false" ht="15" hidden="false" customHeight="false" outlineLevel="0" collapsed="false">
      <c r="A91" s="24" t="n">
        <v>87</v>
      </c>
      <c r="B91" s="25" t="s">
        <v>208</v>
      </c>
      <c r="C91" s="25" t="s">
        <v>188</v>
      </c>
      <c r="D91" s="26" t="s">
        <v>350</v>
      </c>
      <c r="E91" s="25" t="s">
        <v>351</v>
      </c>
      <c r="F91" s="26" t="s">
        <v>352</v>
      </c>
      <c r="G91" s="24" t="str">
        <f aca="false">IF($D91="","",IF(MID($D91,5,1)="S","S(봄)",IF(MID($D91,5,1)="M","M(여름)",IF(MID($D91,5,1)="X","X(사계절)",MID($D91,5,1)))))</f>
        <v>S(봄)</v>
      </c>
      <c r="H91" s="26" t="s">
        <v>197</v>
      </c>
      <c r="I91" s="24" t="s">
        <v>216</v>
      </c>
      <c r="J91" s="27" t="s">
        <v>316</v>
      </c>
      <c r="K91" s="28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8" t="n">
        <f aca="false">IF($K91="","",$K91-기준정보!$C$5)</f>
        <v>46405</v>
      </c>
      <c r="M91" s="28" t="n">
        <f aca="false">IF($L91="","",$L91-기준정보!$C$6)</f>
        <v>46315</v>
      </c>
      <c r="N91" s="29" t="n">
        <f aca="false">IF($M91="","",$M91-기준정보!$C$4)</f>
        <v>73</v>
      </c>
      <c r="O91" s="27" t="s">
        <v>70</v>
      </c>
      <c r="P91" s="27" t="s">
        <v>71</v>
      </c>
      <c r="Q91" s="30"/>
      <c r="R91" s="26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S91" s="25" t="s">
        <v>77</v>
      </c>
      <c r="T91" s="25" t="s">
        <v>78</v>
      </c>
      <c r="U91" s="31" t="n">
        <v>7000</v>
      </c>
      <c r="V91" s="26"/>
      <c r="W91" s="26" t="str">
        <f aca="false">IF($K91="","출고일 미정",IF($O91="X","작지 미발행",IF($O91="부분","작지 일부 미발행",IF(AND($Q91&lt;&gt;"",$Q91&gt;$M91),"소재입고 마감("&amp;TEXT($M91,"MM/DD")&amp;") 초과",IF($O91="","발행여부 확인 필요",IF($Q91="","소재 입고일정 확인 필요","정상"))))))</f>
        <v>소재 입고일정 확인 필요</v>
      </c>
      <c r="X91" s="24" t="str">
        <f aca="false">IF($K91="","",IF(OR(LEFT($W91,2)="작지",LEFT($W91,4)="소재입고"),IF(LEFT($G91,1)="S","★ 납기위험(S코드)","◆ 지연주의"),IF($W91="정상","✓ 정상","? 확인필요")))</f>
        <v>? 확인필요</v>
      </c>
      <c r="Y91" s="27"/>
      <c r="Z91" s="32"/>
    </row>
    <row r="92" customFormat="false" ht="15" hidden="false" customHeight="false" outlineLevel="0" collapsed="false">
      <c r="A92" s="24" t="n">
        <v>88</v>
      </c>
      <c r="B92" s="25" t="s">
        <v>241</v>
      </c>
      <c r="C92" s="25" t="s">
        <v>242</v>
      </c>
      <c r="D92" s="26" t="s">
        <v>353</v>
      </c>
      <c r="E92" s="25" t="s">
        <v>354</v>
      </c>
      <c r="F92" s="26" t="s">
        <v>355</v>
      </c>
      <c r="G92" s="24" t="str">
        <f aca="false">IF($D92="","",IF(MID($D92,5,1)="S","S(봄)",IF(MID($D92,5,1)="M","M(여름)",IF(MID($D92,5,1)="X","X(사계절)",MID($D92,5,1)))))</f>
        <v>S(봄)</v>
      </c>
      <c r="H92" s="25" t="s">
        <v>67</v>
      </c>
      <c r="I92" s="24"/>
      <c r="J92" s="27" t="s">
        <v>316</v>
      </c>
      <c r="K92" s="28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8" t="n">
        <f aca="false">IF($K92="","",$K92-기준정보!$C$5)</f>
        <v>46405</v>
      </c>
      <c r="M92" s="28" t="n">
        <f aca="false">IF($L92="","",$L92-기준정보!$C$6)</f>
        <v>46315</v>
      </c>
      <c r="N92" s="29" t="n">
        <f aca="false">IF($M92="","",$M92-기준정보!$C$4)</f>
        <v>73</v>
      </c>
      <c r="O92" s="27" t="s">
        <v>70</v>
      </c>
      <c r="P92" s="27" t="s">
        <v>71</v>
      </c>
      <c r="Q92" s="30"/>
      <c r="R92" s="26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S92" s="25" t="s">
        <v>72</v>
      </c>
      <c r="T92" s="25" t="s">
        <v>73</v>
      </c>
      <c r="U92" s="31" t="n">
        <v>2800</v>
      </c>
      <c r="V92" s="26" t="s">
        <v>316</v>
      </c>
      <c r="W92" s="26" t="str">
        <f aca="false">IF($K92="","출고일 미정",IF($O92="X","작지 미발행",IF($O92="부분","작지 일부 미발행",IF(AND($Q92&lt;&gt;"",$Q92&gt;$M92),"소재입고 마감("&amp;TEXT($M92,"MM/DD")&amp;") 초과",IF($O92="","발행여부 확인 필요",IF($Q92="","소재 입고일정 확인 필요","정상"))))))</f>
        <v>소재 입고일정 확인 필요</v>
      </c>
      <c r="X92" s="24" t="str">
        <f aca="false">IF($K92="","",IF(OR(LEFT($W92,2)="작지",LEFT($W92,4)="소재입고"),IF(LEFT($G92,1)="S","★ 납기위험(S코드)","◆ 지연주의"),IF($W92="정상","✓ 정상","? 확인필요")))</f>
        <v>? 확인필요</v>
      </c>
      <c r="Y92" s="27"/>
      <c r="Z92" s="32"/>
    </row>
    <row r="93" customFormat="false" ht="15" hidden="false" customHeight="false" outlineLevel="0" collapsed="false">
      <c r="A93" s="24" t="n">
        <v>89</v>
      </c>
      <c r="B93" s="25" t="s">
        <v>241</v>
      </c>
      <c r="C93" s="25" t="s">
        <v>242</v>
      </c>
      <c r="D93" s="26" t="s">
        <v>356</v>
      </c>
      <c r="E93" s="25" t="s">
        <v>357</v>
      </c>
      <c r="F93" s="26" t="s">
        <v>358</v>
      </c>
      <c r="G93" s="24" t="str">
        <f aca="false">IF($D93="","",IF(MID($D93,5,1)="S","S(봄)",IF(MID($D93,5,1)="M","M(여름)",IF(MID($D93,5,1)="X","X(사계절)",MID($D93,5,1)))))</f>
        <v>S(봄)</v>
      </c>
      <c r="H93" s="25" t="s">
        <v>67</v>
      </c>
      <c r="I93" s="24"/>
      <c r="J93" s="27" t="s">
        <v>316</v>
      </c>
      <c r="K93" s="28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8" t="n">
        <f aca="false">IF($K93="","",$K93-기준정보!$C$5)</f>
        <v>46405</v>
      </c>
      <c r="M93" s="28" t="n">
        <f aca="false">IF($L93="","",$L93-기준정보!$C$6)</f>
        <v>46315</v>
      </c>
      <c r="N93" s="29" t="n">
        <f aca="false">IF($M93="","",$M93-기준정보!$C$4)</f>
        <v>73</v>
      </c>
      <c r="O93" s="27" t="s">
        <v>70</v>
      </c>
      <c r="P93" s="27" t="s">
        <v>71</v>
      </c>
      <c r="Q93" s="30"/>
      <c r="R93" s="26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S93" s="25" t="s">
        <v>72</v>
      </c>
      <c r="T93" s="25" t="s">
        <v>73</v>
      </c>
      <c r="U93" s="31" t="n">
        <v>1700</v>
      </c>
      <c r="V93" s="26"/>
      <c r="W93" s="26" t="str">
        <f aca="false">IF($K93="","출고일 미정",IF($O93="X","작지 미발행",IF($O93="부분","작지 일부 미발행",IF(AND($Q93&lt;&gt;"",$Q93&gt;$M93),"소재입고 마감("&amp;TEXT($M93,"MM/DD")&amp;") 초과",IF($O93="","발행여부 확인 필요",IF($Q93="","소재 입고일정 확인 필요","정상"))))))</f>
        <v>소재 입고일정 확인 필요</v>
      </c>
      <c r="X93" s="24" t="str">
        <f aca="false">IF($K93="","",IF(OR(LEFT($W93,2)="작지",LEFT($W93,4)="소재입고"),IF(LEFT($G93,1)="S","★ 납기위험(S코드)","◆ 지연주의"),IF($W93="정상","✓ 정상","? 확인필요")))</f>
        <v>? 확인필요</v>
      </c>
      <c r="Y93" s="27"/>
      <c r="Z93" s="32"/>
    </row>
    <row r="94" customFormat="false" ht="15" hidden="false" customHeight="false" outlineLevel="0" collapsed="false">
      <c r="A94" s="24" t="n">
        <v>90</v>
      </c>
      <c r="B94" s="25" t="s">
        <v>241</v>
      </c>
      <c r="C94" s="25" t="s">
        <v>242</v>
      </c>
      <c r="D94" s="26" t="s">
        <v>359</v>
      </c>
      <c r="E94" s="25" t="s">
        <v>360</v>
      </c>
      <c r="F94" s="26" t="s">
        <v>361</v>
      </c>
      <c r="G94" s="24" t="str">
        <f aca="false">IF($D94="","",IF(MID($D94,5,1)="S","S(봄)",IF(MID($D94,5,1)="M","M(여름)",IF(MID($D94,5,1)="X","X(사계절)",MID($D94,5,1)))))</f>
        <v>S(봄)</v>
      </c>
      <c r="H94" s="25" t="s">
        <v>67</v>
      </c>
      <c r="I94" s="24"/>
      <c r="J94" s="27" t="s">
        <v>316</v>
      </c>
      <c r="K94" s="28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8" t="n">
        <f aca="false">IF($K94="","",$K94-기준정보!$C$5)</f>
        <v>46405</v>
      </c>
      <c r="M94" s="28" t="n">
        <f aca="false">IF($L94="","",$L94-기준정보!$C$6)</f>
        <v>46315</v>
      </c>
      <c r="N94" s="29" t="n">
        <f aca="false">IF($M94="","",$M94-기준정보!$C$4)</f>
        <v>73</v>
      </c>
      <c r="O94" s="27" t="s">
        <v>70</v>
      </c>
      <c r="P94" s="27" t="s">
        <v>71</v>
      </c>
      <c r="Q94" s="30"/>
      <c r="R94" s="26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S94" s="26" t="s">
        <v>231</v>
      </c>
      <c r="T94" s="25" t="s">
        <v>78</v>
      </c>
      <c r="U94" s="31" t="n">
        <v>1400</v>
      </c>
      <c r="V94" s="26"/>
      <c r="W94" s="26" t="str">
        <f aca="false">IF($K94="","출고일 미정",IF($O94="X","작지 미발행",IF($O94="부분","작지 일부 미발행",IF(AND($Q94&lt;&gt;"",$Q94&gt;$M94),"소재입고 마감("&amp;TEXT($M94,"MM/DD")&amp;") 초과",IF($O94="","발행여부 확인 필요",IF($Q94="","소재 입고일정 확인 필요","정상"))))))</f>
        <v>소재 입고일정 확인 필요</v>
      </c>
      <c r="X94" s="24" t="str">
        <f aca="false">IF($K94="","",IF(OR(LEFT($W94,2)="작지",LEFT($W94,4)="소재입고"),IF(LEFT($G94,1)="S","★ 납기위험(S코드)","◆ 지연주의"),IF($W94="정상","✓ 정상","? 확인필요")))</f>
        <v>? 확인필요</v>
      </c>
      <c r="Y94" s="27"/>
      <c r="Z94" s="32"/>
    </row>
    <row r="95" customFormat="false" ht="15" hidden="false" customHeight="false" outlineLevel="0" collapsed="false">
      <c r="A95" s="24" t="n">
        <v>91</v>
      </c>
      <c r="B95" s="25" t="s">
        <v>241</v>
      </c>
      <c r="C95" s="25" t="s">
        <v>242</v>
      </c>
      <c r="D95" s="26" t="s">
        <v>362</v>
      </c>
      <c r="E95" s="25" t="s">
        <v>363</v>
      </c>
      <c r="F95" s="26" t="s">
        <v>245</v>
      </c>
      <c r="G95" s="24" t="str">
        <f aca="false">IF($D95="","",IF(MID($D95,5,1)="S","S(봄)",IF(MID($D95,5,1)="M","M(여름)",IF(MID($D95,5,1)="X","X(사계절)",MID($D95,5,1)))))</f>
        <v>S(봄)</v>
      </c>
      <c r="H95" s="25" t="s">
        <v>67</v>
      </c>
      <c r="I95" s="24"/>
      <c r="J95" s="27" t="s">
        <v>316</v>
      </c>
      <c r="K95" s="28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8" t="n">
        <f aca="false">IF($K95="","",$K95-기준정보!$C$5)</f>
        <v>46405</v>
      </c>
      <c r="M95" s="28" t="n">
        <f aca="false">IF($L95="","",$L95-기준정보!$C$6)</f>
        <v>46315</v>
      </c>
      <c r="N95" s="29" t="n">
        <f aca="false">IF($M95="","",$M95-기준정보!$C$4)</f>
        <v>73</v>
      </c>
      <c r="O95" s="27" t="s">
        <v>70</v>
      </c>
      <c r="P95" s="27" t="s">
        <v>71</v>
      </c>
      <c r="Q95" s="30"/>
      <c r="R95" s="26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S95" s="25" t="s">
        <v>72</v>
      </c>
      <c r="T95" s="25" t="s">
        <v>73</v>
      </c>
      <c r="U95" s="31" t="n">
        <v>1200</v>
      </c>
      <c r="V95" s="26"/>
      <c r="W95" s="26" t="str">
        <f aca="false">IF($K95="","출고일 미정",IF($O95="X","작지 미발행",IF($O95="부분","작지 일부 미발행",IF(AND($Q95&lt;&gt;"",$Q95&gt;$M95),"소재입고 마감("&amp;TEXT($M95,"MM/DD")&amp;") 초과",IF($O95="","발행여부 확인 필요",IF($Q95="","소재 입고일정 확인 필요","정상"))))))</f>
        <v>소재 입고일정 확인 필요</v>
      </c>
      <c r="X95" s="24" t="str">
        <f aca="false">IF($K95="","",IF(OR(LEFT($W95,2)="작지",LEFT($W95,4)="소재입고"),IF(LEFT($G95,1)="S","★ 납기위험(S코드)","◆ 지연주의"),IF($W95="정상","✓ 정상","? 확인필요")))</f>
        <v>? 확인필요</v>
      </c>
      <c r="Y95" s="27"/>
      <c r="Z95" s="32"/>
    </row>
    <row r="96" customFormat="false" ht="15" hidden="false" customHeight="false" outlineLevel="0" collapsed="false">
      <c r="A96" s="24" t="n">
        <v>92</v>
      </c>
      <c r="B96" s="25" t="s">
        <v>241</v>
      </c>
      <c r="C96" s="25" t="s">
        <v>250</v>
      </c>
      <c r="D96" s="26" t="s">
        <v>364</v>
      </c>
      <c r="E96" s="25" t="s">
        <v>365</v>
      </c>
      <c r="F96" s="26" t="s">
        <v>366</v>
      </c>
      <c r="G96" s="24" t="str">
        <f aca="false">IF($D96="","",IF(MID($D96,5,1)="S","S(봄)",IF(MID($D96,5,1)="M","M(여름)",IF(MID($D96,5,1)="X","X(사계절)",MID($D96,5,1)))))</f>
        <v>S(봄)</v>
      </c>
      <c r="H96" s="25" t="s">
        <v>67</v>
      </c>
      <c r="I96" s="24"/>
      <c r="J96" s="27" t="s">
        <v>316</v>
      </c>
      <c r="K96" s="28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8" t="n">
        <f aca="false">IF($K96="","",$K96-기준정보!$C$5)</f>
        <v>46405</v>
      </c>
      <c r="M96" s="28" t="n">
        <f aca="false">IF($L96="","",$L96-기준정보!$C$6)</f>
        <v>46315</v>
      </c>
      <c r="N96" s="29" t="n">
        <f aca="false">IF($M96="","",$M96-기준정보!$C$4)</f>
        <v>73</v>
      </c>
      <c r="O96" s="27" t="s">
        <v>70</v>
      </c>
      <c r="P96" s="27" t="s">
        <v>71</v>
      </c>
      <c r="Q96" s="30"/>
      <c r="R96" s="26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S96" s="25" t="s">
        <v>77</v>
      </c>
      <c r="T96" s="25" t="s">
        <v>320</v>
      </c>
      <c r="U96" s="31" t="n">
        <v>5000</v>
      </c>
      <c r="V96" s="26"/>
      <c r="W96" s="26" t="str">
        <f aca="false">IF($K96="","출고일 미정",IF($O96="X","작지 미발행",IF($O96="부분","작지 일부 미발행",IF(AND($Q96&lt;&gt;"",$Q96&gt;$M96),"소재입고 마감("&amp;TEXT($M96,"MM/DD")&amp;") 초과",IF($O96="","발행여부 확인 필요",IF($Q96="","소재 입고일정 확인 필요","정상"))))))</f>
        <v>소재 입고일정 확인 필요</v>
      </c>
      <c r="X96" s="24" t="str">
        <f aca="false">IF($K96="","",IF(OR(LEFT($W96,2)="작지",LEFT($W96,4)="소재입고"),IF(LEFT($G96,1)="S","★ 납기위험(S코드)","◆ 지연주의"),IF($W96="정상","✓ 정상","? 확인필요")))</f>
        <v>? 확인필요</v>
      </c>
      <c r="Y96" s="27"/>
      <c r="Z96" s="32"/>
    </row>
    <row r="97" customFormat="false" ht="15" hidden="false" customHeight="false" outlineLevel="0" collapsed="false">
      <c r="A97" s="24" t="n">
        <v>93</v>
      </c>
      <c r="B97" s="25" t="s">
        <v>255</v>
      </c>
      <c r="C97" s="25" t="s">
        <v>256</v>
      </c>
      <c r="D97" s="26" t="s">
        <v>367</v>
      </c>
      <c r="E97" s="25" t="s">
        <v>368</v>
      </c>
      <c r="F97" s="26" t="s">
        <v>369</v>
      </c>
      <c r="G97" s="24" t="str">
        <f aca="false">IF($D97="","",IF(MID($D97,5,1)="S","S(봄)",IF(MID($D97,5,1)="M","M(여름)",IF(MID($D97,5,1)="X","X(사계절)",MID($D97,5,1)))))</f>
        <v>S(봄)</v>
      </c>
      <c r="H97" s="26" t="s">
        <v>197</v>
      </c>
      <c r="I97" s="24" t="s">
        <v>370</v>
      </c>
      <c r="J97" s="27" t="s">
        <v>316</v>
      </c>
      <c r="K97" s="28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8" t="n">
        <f aca="false">IF($K97="","",$K97-기준정보!$C$5)</f>
        <v>46405</v>
      </c>
      <c r="M97" s="28" t="n">
        <f aca="false">IF($L97="","",$L97-기준정보!$C$6)</f>
        <v>46315</v>
      </c>
      <c r="N97" s="29" t="n">
        <f aca="false">IF($M97="","",$M97-기준정보!$C$4)</f>
        <v>73</v>
      </c>
      <c r="O97" s="27" t="s">
        <v>70</v>
      </c>
      <c r="P97" s="27" t="s">
        <v>71</v>
      </c>
      <c r="Q97" s="30"/>
      <c r="R97" s="26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S97" s="26" t="s">
        <v>137</v>
      </c>
      <c r="T97" s="25" t="s">
        <v>73</v>
      </c>
      <c r="U97" s="31" t="n">
        <v>1600</v>
      </c>
      <c r="V97" s="26"/>
      <c r="W97" s="26" t="str">
        <f aca="false">IF($K97="","출고일 미정",IF($O97="X","작지 미발행",IF($O97="부분","작지 일부 미발행",IF(AND($Q97&lt;&gt;"",$Q97&gt;$M97),"소재입고 마감("&amp;TEXT($M97,"MM/DD")&amp;") 초과",IF($O97="","발행여부 확인 필요",IF($Q97="","소재 입고일정 확인 필요","정상"))))))</f>
        <v>소재 입고일정 확인 필요</v>
      </c>
      <c r="X97" s="24" t="str">
        <f aca="false">IF($K97="","",IF(OR(LEFT($W97,2)="작지",LEFT($W97,4)="소재입고"),IF(LEFT($G97,1)="S","★ 납기위험(S코드)","◆ 지연주의"),IF($W97="정상","✓ 정상","? 확인필요")))</f>
        <v>? 확인필요</v>
      </c>
      <c r="Y97" s="27"/>
      <c r="Z97" s="32"/>
    </row>
    <row r="98" customFormat="false" ht="15" hidden="false" customHeight="false" outlineLevel="0" collapsed="false">
      <c r="A98" s="24" t="n">
        <v>94</v>
      </c>
      <c r="B98" s="25" t="s">
        <v>255</v>
      </c>
      <c r="C98" s="25" t="s">
        <v>242</v>
      </c>
      <c r="D98" s="26" t="s">
        <v>371</v>
      </c>
      <c r="E98" s="25" t="s">
        <v>372</v>
      </c>
      <c r="F98" s="26" t="s">
        <v>259</v>
      </c>
      <c r="G98" s="24" t="str">
        <f aca="false">IF($D98="","",IF(MID($D98,5,1)="S","S(봄)",IF(MID($D98,5,1)="M","M(여름)",IF(MID($D98,5,1)="X","X(사계절)",MID($D98,5,1)))))</f>
        <v>S(봄)</v>
      </c>
      <c r="H98" s="25" t="s">
        <v>67</v>
      </c>
      <c r="I98" s="24" t="s">
        <v>370</v>
      </c>
      <c r="J98" s="27" t="s">
        <v>316</v>
      </c>
      <c r="K98" s="28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8" t="n">
        <f aca="false">IF($K98="","",$K98-기준정보!$C$5)</f>
        <v>46405</v>
      </c>
      <c r="M98" s="28" t="n">
        <f aca="false">IF($L98="","",$L98-기준정보!$C$6)</f>
        <v>46315</v>
      </c>
      <c r="N98" s="29" t="n">
        <f aca="false">IF($M98="","",$M98-기준정보!$C$4)</f>
        <v>73</v>
      </c>
      <c r="O98" s="27" t="s">
        <v>70</v>
      </c>
      <c r="P98" s="27" t="s">
        <v>71</v>
      </c>
      <c r="Q98" s="30"/>
      <c r="R98" s="26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S98" s="25" t="s">
        <v>77</v>
      </c>
      <c r="T98" s="25" t="s">
        <v>73</v>
      </c>
      <c r="U98" s="31" t="n">
        <v>2200</v>
      </c>
      <c r="V98" s="26" t="s">
        <v>316</v>
      </c>
      <c r="W98" s="26" t="str">
        <f aca="false">IF($K98="","출고일 미정",IF($O98="X","작지 미발행",IF($O98="부분","작지 일부 미발행",IF(AND($Q98&lt;&gt;"",$Q98&gt;$M98),"소재입고 마감("&amp;TEXT($M98,"MM/DD")&amp;") 초과",IF($O98="","발행여부 확인 필요",IF($Q98="","소재 입고일정 확인 필요","정상"))))))</f>
        <v>소재 입고일정 확인 필요</v>
      </c>
      <c r="X98" s="24" t="str">
        <f aca="false">IF($K98="","",IF(OR(LEFT($W98,2)="작지",LEFT($W98,4)="소재입고"),IF(LEFT($G98,1)="S","★ 납기위험(S코드)","◆ 지연주의"),IF($W98="정상","✓ 정상","? 확인필요")))</f>
        <v>? 확인필요</v>
      </c>
      <c r="Y98" s="27"/>
      <c r="Z98" s="32"/>
    </row>
    <row r="99" customFormat="false" ht="15" hidden="false" customHeight="false" outlineLevel="0" collapsed="false">
      <c r="A99" s="24" t="n">
        <v>95</v>
      </c>
      <c r="B99" s="25" t="s">
        <v>241</v>
      </c>
      <c r="C99" s="25" t="s">
        <v>250</v>
      </c>
      <c r="D99" s="26" t="s">
        <v>373</v>
      </c>
      <c r="E99" s="25" t="s">
        <v>374</v>
      </c>
      <c r="F99" s="26" t="s">
        <v>375</v>
      </c>
      <c r="G99" s="24" t="str">
        <f aca="false">IF($D99="","",IF(MID($D99,5,1)="S","S(봄)",IF(MID($D99,5,1)="M","M(여름)",IF(MID($D99,5,1)="X","X(사계절)",MID($D99,5,1)))))</f>
        <v>S(봄)</v>
      </c>
      <c r="H99" s="25" t="s">
        <v>67</v>
      </c>
      <c r="I99" s="24"/>
      <c r="J99" s="27" t="s">
        <v>316</v>
      </c>
      <c r="K99" s="28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8" t="n">
        <f aca="false">IF($K99="","",$K99-기준정보!$C$5)</f>
        <v>46405</v>
      </c>
      <c r="M99" s="28" t="n">
        <f aca="false">IF($L99="","",$L99-기준정보!$C$6)</f>
        <v>46315</v>
      </c>
      <c r="N99" s="29" t="n">
        <f aca="false">IF($M99="","",$M99-기준정보!$C$4)</f>
        <v>73</v>
      </c>
      <c r="O99" s="27" t="s">
        <v>70</v>
      </c>
      <c r="P99" s="27" t="s">
        <v>71</v>
      </c>
      <c r="Q99" s="30"/>
      <c r="R99" s="26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S99" s="26" t="s">
        <v>231</v>
      </c>
      <c r="T99" s="25" t="s">
        <v>78</v>
      </c>
      <c r="U99" s="31" t="n">
        <v>1200</v>
      </c>
      <c r="V99" s="26" t="s">
        <v>316</v>
      </c>
      <c r="W99" s="26" t="str">
        <f aca="false">IF($K99="","출고일 미정",IF($O99="X","작지 미발행",IF($O99="부분","작지 일부 미발행",IF(AND($Q99&lt;&gt;"",$Q99&gt;$M99),"소재입고 마감("&amp;TEXT($M99,"MM/DD")&amp;") 초과",IF($O99="","발행여부 확인 필요",IF($Q99="","소재 입고일정 확인 필요","정상"))))))</f>
        <v>소재 입고일정 확인 필요</v>
      </c>
      <c r="X99" s="24" t="str">
        <f aca="false">IF($K99="","",IF(OR(LEFT($W99,2)="작지",LEFT($W99,4)="소재입고"),IF(LEFT($G99,1)="S","★ 납기위험(S코드)","◆ 지연주의"),IF($W99="정상","✓ 정상","? 확인필요")))</f>
        <v>? 확인필요</v>
      </c>
      <c r="Y99" s="27"/>
      <c r="Z99" s="32"/>
    </row>
    <row r="100" customFormat="false" ht="15" hidden="false" customHeight="false" outlineLevel="0" collapsed="false">
      <c r="A100" s="24" t="n">
        <v>96</v>
      </c>
      <c r="B100" s="25" t="s">
        <v>241</v>
      </c>
      <c r="C100" s="25" t="s">
        <v>250</v>
      </c>
      <c r="D100" s="26" t="s">
        <v>376</v>
      </c>
      <c r="E100" s="25" t="s">
        <v>377</v>
      </c>
      <c r="F100" s="26" t="s">
        <v>378</v>
      </c>
      <c r="G100" s="24" t="str">
        <f aca="false">IF($D100="","",IF(MID($D100,5,1)="S","S(봄)",IF(MID($D100,5,1)="M","M(여름)",IF(MID($D100,5,1)="X","X(사계절)",MID($D100,5,1)))))</f>
        <v>S(봄)</v>
      </c>
      <c r="H100" s="25" t="s">
        <v>67</v>
      </c>
      <c r="I100" s="24"/>
      <c r="J100" s="27" t="s">
        <v>316</v>
      </c>
      <c r="K100" s="28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8" t="n">
        <f aca="false">IF($K100="","",$K100-기준정보!$C$5)</f>
        <v>46405</v>
      </c>
      <c r="M100" s="28" t="n">
        <f aca="false">IF($L100="","",$L100-기준정보!$C$6)</f>
        <v>46315</v>
      </c>
      <c r="N100" s="29" t="n">
        <f aca="false">IF($M100="","",$M100-기준정보!$C$4)</f>
        <v>73</v>
      </c>
      <c r="O100" s="27" t="s">
        <v>70</v>
      </c>
      <c r="P100" s="27" t="s">
        <v>71</v>
      </c>
      <c r="Q100" s="30"/>
      <c r="R100" s="26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S100" s="25" t="s">
        <v>379</v>
      </c>
      <c r="T100" s="25" t="s">
        <v>73</v>
      </c>
      <c r="U100" s="31" t="n">
        <v>1000</v>
      </c>
      <c r="V100" s="26"/>
      <c r="W100" s="26" t="str">
        <f aca="false">IF($K100="","출고일 미정",IF($O100="X","작지 미발행",IF($O100="부분","작지 일부 미발행",IF(AND($Q100&lt;&gt;"",$Q100&gt;$M100),"소재입고 마감("&amp;TEXT($M100,"MM/DD")&amp;") 초과",IF($O100="","발행여부 확인 필요",IF($Q100="","소재 입고일정 확인 필요","정상"))))))</f>
        <v>소재 입고일정 확인 필요</v>
      </c>
      <c r="X100" s="24" t="str">
        <f aca="false">IF($K100="","",IF(OR(LEFT($W100,2)="작지",LEFT($W100,4)="소재입고"),IF(LEFT($G100,1)="S","★ 납기위험(S코드)","◆ 지연주의"),IF($W100="정상","✓ 정상","? 확인필요")))</f>
        <v>? 확인필요</v>
      </c>
      <c r="Y100" s="27"/>
      <c r="Z100" s="32"/>
    </row>
    <row r="101" customFormat="false" ht="15" hidden="false" customHeight="false" outlineLevel="0" collapsed="false">
      <c r="A101" s="24" t="n">
        <v>97</v>
      </c>
      <c r="B101" s="25" t="s">
        <v>241</v>
      </c>
      <c r="C101" s="25" t="s">
        <v>250</v>
      </c>
      <c r="D101" s="26" t="s">
        <v>380</v>
      </c>
      <c r="E101" s="25" t="s">
        <v>381</v>
      </c>
      <c r="F101" s="26" t="s">
        <v>148</v>
      </c>
      <c r="G101" s="24" t="str">
        <f aca="false">IF($D101="","",IF(MID($D101,5,1)="S","S(봄)",IF(MID($D101,5,1)="M","M(여름)",IF(MID($D101,5,1)="X","X(사계절)",MID($D101,5,1)))))</f>
        <v>S(봄)</v>
      </c>
      <c r="H101" s="25" t="s">
        <v>67</v>
      </c>
      <c r="I101" s="24"/>
      <c r="J101" s="27" t="s">
        <v>316</v>
      </c>
      <c r="K101" s="28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8" t="n">
        <f aca="false">IF($K101="","",$K101-기준정보!$C$5)</f>
        <v>46405</v>
      </c>
      <c r="M101" s="28" t="n">
        <f aca="false">IF($L101="","",$L101-기준정보!$C$6)</f>
        <v>46315</v>
      </c>
      <c r="N101" s="29" t="n">
        <f aca="false">IF($M101="","",$M101-기준정보!$C$4)</f>
        <v>73</v>
      </c>
      <c r="O101" s="27" t="s">
        <v>70</v>
      </c>
      <c r="P101" s="27" t="s">
        <v>71</v>
      </c>
      <c r="Q101" s="30"/>
      <c r="R101" s="26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S101" s="26" t="s">
        <v>137</v>
      </c>
      <c r="T101" s="25" t="s">
        <v>73</v>
      </c>
      <c r="U101" s="31" t="n">
        <v>1500</v>
      </c>
      <c r="V101" s="26" t="s">
        <v>316</v>
      </c>
      <c r="W101" s="26" t="str">
        <f aca="false">IF($K101="","출고일 미정",IF($O101="X","작지 미발행",IF($O101="부분","작지 일부 미발행",IF(AND($Q101&lt;&gt;"",$Q101&gt;$M101),"소재입고 마감("&amp;TEXT($M101,"MM/DD")&amp;") 초과",IF($O101="","발행여부 확인 필요",IF($Q101="","소재 입고일정 확인 필요","정상"))))))</f>
        <v>소재 입고일정 확인 필요</v>
      </c>
      <c r="X101" s="24" t="str">
        <f aca="false">IF($K101="","",IF(OR(LEFT($W101,2)="작지",LEFT($W101,4)="소재입고"),IF(LEFT($G101,1)="S","★ 납기위험(S코드)","◆ 지연주의"),IF($W101="정상","✓ 정상","? 확인필요")))</f>
        <v>? 확인필요</v>
      </c>
      <c r="Y101" s="27"/>
      <c r="Z101" s="32"/>
    </row>
    <row r="102" customFormat="false" ht="15" hidden="false" customHeight="false" outlineLevel="0" collapsed="false">
      <c r="A102" s="24" t="n">
        <v>98</v>
      </c>
      <c r="B102" s="25" t="s">
        <v>255</v>
      </c>
      <c r="C102" s="25" t="s">
        <v>256</v>
      </c>
      <c r="D102" s="26" t="s">
        <v>382</v>
      </c>
      <c r="E102" s="25" t="s">
        <v>383</v>
      </c>
      <c r="F102" s="26" t="s">
        <v>259</v>
      </c>
      <c r="G102" s="24" t="str">
        <f aca="false">IF($D102="","",IF(MID($D102,5,1)="S","S(봄)",IF(MID($D102,5,1)="M","M(여름)",IF(MID($D102,5,1)="X","X(사계절)",MID($D102,5,1)))))</f>
        <v>S(봄)</v>
      </c>
      <c r="H102" s="26" t="s">
        <v>197</v>
      </c>
      <c r="I102" s="24" t="s">
        <v>370</v>
      </c>
      <c r="J102" s="27" t="s">
        <v>384</v>
      </c>
      <c r="K102" s="28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8" t="n">
        <f aca="false">IF($K102="","",$K102-기준정보!$C$5)</f>
        <v>46412</v>
      </c>
      <c r="M102" s="28" t="n">
        <f aca="false">IF($L102="","",$L102-기준정보!$C$6)</f>
        <v>46322</v>
      </c>
      <c r="N102" s="29" t="n">
        <f aca="false">IF($M102="","",$M102-기준정보!$C$4)</f>
        <v>80</v>
      </c>
      <c r="O102" s="27" t="s">
        <v>70</v>
      </c>
      <c r="P102" s="27" t="s">
        <v>71</v>
      </c>
      <c r="Q102" s="30"/>
      <c r="R102" s="26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S102" s="26" t="s">
        <v>137</v>
      </c>
      <c r="T102" s="25" t="s">
        <v>73</v>
      </c>
      <c r="U102" s="31" t="n">
        <v>2000</v>
      </c>
      <c r="V102" s="26"/>
      <c r="W102" s="26" t="str">
        <f aca="false">IF($K102="","출고일 미정",IF($O102="X","작지 미발행",IF($O102="부분","작지 일부 미발행",IF(AND($Q102&lt;&gt;"",$Q102&gt;$M102),"소재입고 마감("&amp;TEXT($M102,"MM/DD")&amp;") 초과",IF($O102="","발행여부 확인 필요",IF($Q102="","소재 입고일정 확인 필요","정상"))))))</f>
        <v>소재 입고일정 확인 필요</v>
      </c>
      <c r="X102" s="24" t="str">
        <f aca="false">IF($K102="","",IF(OR(LEFT($W102,2)="작지",LEFT($W102,4)="소재입고"),IF(LEFT($G102,1)="S","★ 납기위험(S코드)","◆ 지연주의"),IF($W102="정상","✓ 정상","? 확인필요")))</f>
        <v>? 확인필요</v>
      </c>
      <c r="Y102" s="27"/>
      <c r="Z102" s="32"/>
    </row>
    <row r="103" customFormat="false" ht="15" hidden="false" customHeight="false" outlineLevel="0" collapsed="false">
      <c r="A103" s="24" t="n">
        <v>99</v>
      </c>
      <c r="B103" s="25" t="s">
        <v>255</v>
      </c>
      <c r="C103" s="25" t="s">
        <v>256</v>
      </c>
      <c r="D103" s="26" t="s">
        <v>385</v>
      </c>
      <c r="E103" s="25" t="s">
        <v>386</v>
      </c>
      <c r="F103" s="26" t="s">
        <v>387</v>
      </c>
      <c r="G103" s="24" t="str">
        <f aca="false">IF($D103="","",IF(MID($D103,5,1)="S","S(봄)",IF(MID($D103,5,1)="M","M(여름)",IF(MID($D103,5,1)="X","X(사계절)",MID($D103,5,1)))))</f>
        <v>S(봄)</v>
      </c>
      <c r="H103" s="25" t="s">
        <v>67</v>
      </c>
      <c r="I103" s="24" t="s">
        <v>370</v>
      </c>
      <c r="J103" s="27" t="s">
        <v>384</v>
      </c>
      <c r="K103" s="28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8" t="n">
        <f aca="false">IF($K103="","",$K103-기준정보!$C$5)</f>
        <v>46412</v>
      </c>
      <c r="M103" s="28" t="n">
        <f aca="false">IF($L103="","",$L103-기준정보!$C$6)</f>
        <v>46322</v>
      </c>
      <c r="N103" s="29" t="n">
        <f aca="false">IF($M103="","",$M103-기준정보!$C$4)</f>
        <v>80</v>
      </c>
      <c r="O103" s="27" t="s">
        <v>70</v>
      </c>
      <c r="P103" s="27" t="s">
        <v>71</v>
      </c>
      <c r="Q103" s="30"/>
      <c r="R103" s="26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S103" s="25" t="s">
        <v>379</v>
      </c>
      <c r="T103" s="25" t="s">
        <v>73</v>
      </c>
      <c r="U103" s="31" t="n">
        <v>1200</v>
      </c>
      <c r="V103" s="26"/>
      <c r="W103" s="26" t="str">
        <f aca="false">IF($K103="","출고일 미정",IF($O103="X","작지 미발행",IF($O103="부분","작지 일부 미발행",IF(AND($Q103&lt;&gt;"",$Q103&gt;$M103),"소재입고 마감("&amp;TEXT($M103,"MM/DD")&amp;") 초과",IF($O103="","발행여부 확인 필요",IF($Q103="","소재 입고일정 확인 필요","정상"))))))</f>
        <v>소재 입고일정 확인 필요</v>
      </c>
      <c r="X103" s="24" t="str">
        <f aca="false">IF($K103="","",IF(OR(LEFT($W103,2)="작지",LEFT($W103,4)="소재입고"),IF(LEFT($G103,1)="S","★ 납기위험(S코드)","◆ 지연주의"),IF($W103="정상","✓ 정상","? 확인필요")))</f>
        <v>? 확인필요</v>
      </c>
      <c r="Y103" s="27"/>
      <c r="Z103" s="32"/>
    </row>
    <row r="104" customFormat="false" ht="15" hidden="false" customHeight="false" outlineLevel="0" collapsed="false">
      <c r="A104" s="24" t="n">
        <v>100</v>
      </c>
      <c r="B104" s="25" t="s">
        <v>112</v>
      </c>
      <c r="C104" s="25" t="s">
        <v>256</v>
      </c>
      <c r="D104" s="26" t="s">
        <v>388</v>
      </c>
      <c r="E104" s="25" t="s">
        <v>389</v>
      </c>
      <c r="F104" s="26" t="s">
        <v>390</v>
      </c>
      <c r="G104" s="24" t="str">
        <f aca="false">IF($D104="","",IF(MID($D104,5,1)="S","S(봄)",IF(MID($D104,5,1)="M","M(여름)",IF(MID($D104,5,1)="X","X(사계절)",MID($D104,5,1)))))</f>
        <v>S(봄)</v>
      </c>
      <c r="H104" s="25" t="s">
        <v>67</v>
      </c>
      <c r="I104" s="24"/>
      <c r="J104" s="27" t="s">
        <v>391</v>
      </c>
      <c r="K104" s="28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8" t="n">
        <f aca="false">IF($K104="","",$K104-기준정보!$C$5)</f>
        <v>46419</v>
      </c>
      <c r="M104" s="28" t="n">
        <f aca="false">IF($L104="","",$L104-기준정보!$C$6)</f>
        <v>46329</v>
      </c>
      <c r="N104" s="29" t="n">
        <f aca="false">IF($M104="","",$M104-기준정보!$C$4)</f>
        <v>87</v>
      </c>
      <c r="O104" s="27" t="s">
        <v>70</v>
      </c>
      <c r="P104" s="27" t="s">
        <v>71</v>
      </c>
      <c r="Q104" s="30"/>
      <c r="R104" s="26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S104" s="25" t="s">
        <v>227</v>
      </c>
      <c r="T104" s="26"/>
      <c r="U104" s="31" t="n">
        <v>2000</v>
      </c>
      <c r="V104" s="26"/>
      <c r="W104" s="26" t="str">
        <f aca="false">IF($K104="","출고일 미정",IF($O104="X","작지 미발행",IF($O104="부분","작지 일부 미발행",IF(AND($Q104&lt;&gt;"",$Q104&gt;$M104),"소재입고 마감("&amp;TEXT($M104,"MM/DD")&amp;") 초과",IF($O104="","발행여부 확인 필요",IF($Q104="","소재 입고일정 확인 필요","정상"))))))</f>
        <v>소재 입고일정 확인 필요</v>
      </c>
      <c r="X104" s="24" t="str">
        <f aca="false">IF($K104="","",IF(OR(LEFT($W104,2)="작지",LEFT($W104,4)="소재입고"),IF(LEFT($G104,1)="S","★ 납기위험(S코드)","◆ 지연주의"),IF($W104="정상","✓ 정상","? 확인필요")))</f>
        <v>? 확인필요</v>
      </c>
      <c r="Y104" s="27"/>
      <c r="Z104" s="32"/>
    </row>
    <row r="105" customFormat="false" ht="15" hidden="false" customHeight="false" outlineLevel="0" collapsed="false">
      <c r="A105" s="24" t="n">
        <v>101</v>
      </c>
      <c r="B105" s="25" t="s">
        <v>112</v>
      </c>
      <c r="C105" s="25" t="s">
        <v>256</v>
      </c>
      <c r="D105" s="26" t="s">
        <v>392</v>
      </c>
      <c r="E105" s="25" t="s">
        <v>393</v>
      </c>
      <c r="F105" s="26" t="s">
        <v>394</v>
      </c>
      <c r="G105" s="24" t="str">
        <f aca="false">IF($D105="","",IF(MID($D105,5,1)="S","S(봄)",IF(MID($D105,5,1)="M","M(여름)",IF(MID($D105,5,1)="X","X(사계절)",MID($D105,5,1)))))</f>
        <v>S(봄)</v>
      </c>
      <c r="H105" s="25" t="s">
        <v>67</v>
      </c>
      <c r="I105" s="24"/>
      <c r="J105" s="27" t="s">
        <v>391</v>
      </c>
      <c r="K105" s="28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8" t="n">
        <f aca="false">IF($K105="","",$K105-기준정보!$C$5)</f>
        <v>46419</v>
      </c>
      <c r="M105" s="28" t="n">
        <f aca="false">IF($L105="","",$L105-기준정보!$C$6)</f>
        <v>46329</v>
      </c>
      <c r="N105" s="29" t="n">
        <f aca="false">IF($M105="","",$M105-기준정보!$C$4)</f>
        <v>87</v>
      </c>
      <c r="O105" s="27" t="s">
        <v>70</v>
      </c>
      <c r="P105" s="27" t="s">
        <v>70</v>
      </c>
      <c r="Q105" s="30"/>
      <c r="R105" s="26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S105" s="25" t="s">
        <v>227</v>
      </c>
      <c r="T105" s="26"/>
      <c r="U105" s="31" t="n">
        <v>1400</v>
      </c>
      <c r="V105" s="26"/>
      <c r="W105" s="26" t="str">
        <f aca="false">IF($K105="","출고일 미정",IF($O105="X","작지 미발행",IF($O105="부분","작지 일부 미발행",IF(AND($Q105&lt;&gt;"",$Q105&gt;$M105),"소재입고 마감("&amp;TEXT($M105,"MM/DD")&amp;") 초과",IF($O105="","발행여부 확인 필요",IF($Q105="","소재 입고일정 확인 필요","정상"))))))</f>
        <v>소재 입고일정 확인 필요</v>
      </c>
      <c r="X105" s="24" t="str">
        <f aca="false">IF($K105="","",IF(OR(LEFT($W105,2)="작지",LEFT($W105,4)="소재입고"),IF(LEFT($G105,1)="S","★ 납기위험(S코드)","◆ 지연주의"),IF($W105="정상","✓ 정상","? 확인필요")))</f>
        <v>? 확인필요</v>
      </c>
      <c r="Y105" s="27"/>
      <c r="Z105" s="32"/>
    </row>
    <row r="106" customFormat="false" ht="15" hidden="false" customHeight="false" outlineLevel="0" collapsed="false">
      <c r="A106" s="24" t="n">
        <v>102</v>
      </c>
      <c r="B106" s="25" t="s">
        <v>112</v>
      </c>
      <c r="C106" s="25" t="s">
        <v>250</v>
      </c>
      <c r="D106" s="26" t="s">
        <v>395</v>
      </c>
      <c r="E106" s="25" t="s">
        <v>396</v>
      </c>
      <c r="F106" s="26" t="s">
        <v>397</v>
      </c>
      <c r="G106" s="24" t="str">
        <f aca="false">IF($D106="","",IF(MID($D106,5,1)="S","S(봄)",IF(MID($D106,5,1)="M","M(여름)",IF(MID($D106,5,1)="X","X(사계절)",MID($D106,5,1)))))</f>
        <v>S(봄)</v>
      </c>
      <c r="H106" s="25" t="s">
        <v>67</v>
      </c>
      <c r="I106" s="24"/>
      <c r="J106" s="27" t="s">
        <v>391</v>
      </c>
      <c r="K106" s="28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8" t="n">
        <f aca="false">IF($K106="","",$K106-기준정보!$C$5)</f>
        <v>46419</v>
      </c>
      <c r="M106" s="28" t="n">
        <f aca="false">IF($L106="","",$L106-기준정보!$C$6)</f>
        <v>46329</v>
      </c>
      <c r="N106" s="29" t="n">
        <f aca="false">IF($M106="","",$M106-기준정보!$C$4)</f>
        <v>87</v>
      </c>
      <c r="O106" s="27" t="s">
        <v>70</v>
      </c>
      <c r="P106" s="27" t="s">
        <v>71</v>
      </c>
      <c r="Q106" s="30"/>
      <c r="R106" s="26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S106" s="25" t="s">
        <v>227</v>
      </c>
      <c r="T106" s="25" t="s">
        <v>73</v>
      </c>
      <c r="U106" s="31" t="n">
        <v>1800</v>
      </c>
      <c r="V106" s="26"/>
      <c r="W106" s="26" t="str">
        <f aca="false">IF($K106="","출고일 미정",IF($O106="X","작지 미발행",IF($O106="부분","작지 일부 미발행",IF(AND($Q106&lt;&gt;"",$Q106&gt;$M106),"소재입고 마감("&amp;TEXT($M106,"MM/DD")&amp;") 초과",IF($O106="","발행여부 확인 필요",IF($Q106="","소재 입고일정 확인 필요","정상"))))))</f>
        <v>소재 입고일정 확인 필요</v>
      </c>
      <c r="X106" s="24" t="str">
        <f aca="false">IF($K106="","",IF(OR(LEFT($W106,2)="작지",LEFT($W106,4)="소재입고"),IF(LEFT($G106,1)="S","★ 납기위험(S코드)","◆ 지연주의"),IF($W106="정상","✓ 정상","? 확인필요")))</f>
        <v>? 확인필요</v>
      </c>
      <c r="Y106" s="27"/>
      <c r="Z106" s="32"/>
    </row>
    <row r="107" customFormat="false" ht="15" hidden="false" customHeight="false" outlineLevel="0" collapsed="false">
      <c r="A107" s="24" t="n">
        <v>103</v>
      </c>
      <c r="B107" s="25" t="s">
        <v>112</v>
      </c>
      <c r="C107" s="25" t="s">
        <v>250</v>
      </c>
      <c r="D107" s="26" t="s">
        <v>398</v>
      </c>
      <c r="E107" s="25" t="s">
        <v>399</v>
      </c>
      <c r="F107" s="26" t="s">
        <v>400</v>
      </c>
      <c r="G107" s="24" t="str">
        <f aca="false">IF($D107="","",IF(MID($D107,5,1)="S","S(봄)",IF(MID($D107,5,1)="M","M(여름)",IF(MID($D107,5,1)="X","X(사계절)",MID($D107,5,1)))))</f>
        <v>S(봄)</v>
      </c>
      <c r="H107" s="25" t="s">
        <v>67</v>
      </c>
      <c r="I107" s="24"/>
      <c r="J107" s="27" t="s">
        <v>391</v>
      </c>
      <c r="K107" s="28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8" t="n">
        <f aca="false">IF($K107="","",$K107-기준정보!$C$5)</f>
        <v>46419</v>
      </c>
      <c r="M107" s="28" t="n">
        <f aca="false">IF($L107="","",$L107-기준정보!$C$6)</f>
        <v>46329</v>
      </c>
      <c r="N107" s="29" t="n">
        <f aca="false">IF($M107="","",$M107-기준정보!$C$4)</f>
        <v>87</v>
      </c>
      <c r="O107" s="27" t="s">
        <v>70</v>
      </c>
      <c r="P107" s="27" t="s">
        <v>71</v>
      </c>
      <c r="Q107" s="30"/>
      <c r="R107" s="26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S107" s="25" t="s">
        <v>227</v>
      </c>
      <c r="T107" s="25" t="s">
        <v>73</v>
      </c>
      <c r="U107" s="31" t="n">
        <v>1800</v>
      </c>
      <c r="V107" s="26"/>
      <c r="W107" s="26" t="str">
        <f aca="false">IF($K107="","출고일 미정",IF($O107="X","작지 미발행",IF($O107="부분","작지 일부 미발행",IF(AND($Q107&lt;&gt;"",$Q107&gt;$M107),"소재입고 마감("&amp;TEXT($M107,"MM/DD")&amp;") 초과",IF($O107="","발행여부 확인 필요",IF($Q107="","소재 입고일정 확인 필요","정상"))))))</f>
        <v>소재 입고일정 확인 필요</v>
      </c>
      <c r="X107" s="24" t="str">
        <f aca="false">IF($K107="","",IF(OR(LEFT($W107,2)="작지",LEFT($W107,4)="소재입고"),IF(LEFT($G107,1)="S","★ 납기위험(S코드)","◆ 지연주의"),IF($W107="정상","✓ 정상","? 확인필요")))</f>
        <v>? 확인필요</v>
      </c>
      <c r="Y107" s="27"/>
      <c r="Z107" s="32"/>
    </row>
    <row r="108" customFormat="false" ht="15" hidden="false" customHeight="false" outlineLevel="0" collapsed="false">
      <c r="A108" s="24" t="n">
        <v>104</v>
      </c>
      <c r="B108" s="25" t="s">
        <v>208</v>
      </c>
      <c r="C108" s="25" t="s">
        <v>188</v>
      </c>
      <c r="D108" s="26" t="s">
        <v>401</v>
      </c>
      <c r="E108" s="25" t="s">
        <v>402</v>
      </c>
      <c r="F108" s="26" t="s">
        <v>403</v>
      </c>
      <c r="G108" s="24" t="str">
        <f aca="false">IF($D108="","",IF(MID($D108,5,1)="S","S(봄)",IF(MID($D108,5,1)="M","M(여름)",IF(MID($D108,5,1)="X","X(사계절)",MID($D108,5,1)))))</f>
        <v>S(봄)</v>
      </c>
      <c r="H108" s="25" t="s">
        <v>67</v>
      </c>
      <c r="I108" s="24" t="s">
        <v>404</v>
      </c>
      <c r="J108" s="27" t="s">
        <v>405</v>
      </c>
      <c r="K108" s="28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8" t="n">
        <f aca="false">IF($K108="","",$K108-기준정보!$C$5)</f>
        <v>46464</v>
      </c>
      <c r="M108" s="28" t="n">
        <f aca="false">IF($L108="","",$L108-기준정보!$C$6)</f>
        <v>46374</v>
      </c>
      <c r="N108" s="29" t="n">
        <f aca="false">IF($M108="","",$M108-기준정보!$C$4)</f>
        <v>132</v>
      </c>
      <c r="O108" s="27" t="s">
        <v>70</v>
      </c>
      <c r="P108" s="27" t="s">
        <v>71</v>
      </c>
      <c r="Q108" s="30"/>
      <c r="R108" s="26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S108" s="25" t="s">
        <v>246</v>
      </c>
      <c r="T108" s="25" t="s">
        <v>73</v>
      </c>
      <c r="U108" s="31" t="n">
        <v>1000</v>
      </c>
      <c r="V108" s="26"/>
      <c r="W108" s="26" t="str">
        <f aca="false">IF($K108="","출고일 미정",IF($O108="X","작지 미발행",IF($O108="부분","작지 일부 미발행",IF(AND($Q108&lt;&gt;"",$Q108&gt;$M108),"소재입고 마감("&amp;TEXT($M108,"MM/DD")&amp;") 초과",IF($O108="","발행여부 확인 필요",IF($Q108="","소재 입고일정 확인 필요","정상"))))))</f>
        <v>소재 입고일정 확인 필요</v>
      </c>
      <c r="X108" s="24" t="str">
        <f aca="false">IF($K108="","",IF(OR(LEFT($W108,2)="작지",LEFT($W108,4)="소재입고"),IF(LEFT($G108,1)="S","★ 납기위험(S코드)","◆ 지연주의"),IF($W108="정상","✓ 정상","? 확인필요")))</f>
        <v>? 확인필요</v>
      </c>
      <c r="Y108" s="27"/>
      <c r="Z108" s="32"/>
    </row>
    <row r="109" customFormat="false" ht="15" hidden="false" customHeight="false" outlineLevel="0" collapsed="false">
      <c r="A109" s="24" t="n">
        <v>105</v>
      </c>
      <c r="B109" s="25" t="s">
        <v>208</v>
      </c>
      <c r="C109" s="25" t="s">
        <v>188</v>
      </c>
      <c r="D109" s="26" t="s">
        <v>406</v>
      </c>
      <c r="E109" s="25" t="s">
        <v>407</v>
      </c>
      <c r="F109" s="26" t="s">
        <v>408</v>
      </c>
      <c r="G109" s="24" t="str">
        <f aca="false">IF($D109="","",IF(MID($D109,5,1)="S","S(봄)",IF(MID($D109,5,1)="M","M(여름)",IF(MID($D109,5,1)="X","X(사계절)",MID($D109,5,1)))))</f>
        <v>S(봄)</v>
      </c>
      <c r="H109" s="25" t="s">
        <v>67</v>
      </c>
      <c r="I109" s="24" t="s">
        <v>404</v>
      </c>
      <c r="J109" s="27" t="s">
        <v>405</v>
      </c>
      <c r="K109" s="28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8" t="n">
        <f aca="false">IF($K109="","",$K109-기준정보!$C$5)</f>
        <v>46464</v>
      </c>
      <c r="M109" s="28" t="n">
        <f aca="false">IF($L109="","",$L109-기준정보!$C$6)</f>
        <v>46374</v>
      </c>
      <c r="N109" s="29" t="n">
        <f aca="false">IF($M109="","",$M109-기준정보!$C$4)</f>
        <v>132</v>
      </c>
      <c r="O109" s="27" t="s">
        <v>70</v>
      </c>
      <c r="P109" s="27" t="s">
        <v>71</v>
      </c>
      <c r="Q109" s="30"/>
      <c r="R109" s="26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S109" s="25" t="s">
        <v>94</v>
      </c>
      <c r="T109" s="25" t="s">
        <v>73</v>
      </c>
      <c r="U109" s="31" t="n">
        <v>4500</v>
      </c>
      <c r="V109" s="26"/>
      <c r="W109" s="26" t="str">
        <f aca="false">IF($K109="","출고일 미정",IF($O109="X","작지 미발행",IF($O109="부분","작지 일부 미발행",IF(AND($Q109&lt;&gt;"",$Q109&gt;$M109),"소재입고 마감("&amp;TEXT($M109,"MM/DD")&amp;") 초과",IF($O109="","발행여부 확인 필요",IF($Q109="","소재 입고일정 확인 필요","정상"))))))</f>
        <v>소재 입고일정 확인 필요</v>
      </c>
      <c r="X109" s="24" t="str">
        <f aca="false">IF($K109="","",IF(OR(LEFT($W109,2)="작지",LEFT($W109,4)="소재입고"),IF(LEFT($G109,1)="S","★ 납기위험(S코드)","◆ 지연주의"),IF($W109="정상","✓ 정상","? 확인필요")))</f>
        <v>? 확인필요</v>
      </c>
      <c r="Y109" s="27"/>
      <c r="Z109" s="32"/>
    </row>
    <row r="110" customFormat="false" ht="15" hidden="false" customHeight="false" outlineLevel="0" collapsed="false">
      <c r="A110" s="24" t="n">
        <v>106</v>
      </c>
      <c r="B110" s="25" t="s">
        <v>208</v>
      </c>
      <c r="C110" s="25" t="s">
        <v>188</v>
      </c>
      <c r="D110" s="26" t="s">
        <v>409</v>
      </c>
      <c r="E110" s="25" t="s">
        <v>410</v>
      </c>
      <c r="F110" s="26" t="s">
        <v>411</v>
      </c>
      <c r="G110" s="24" t="str">
        <f aca="false">IF($D110="","",IF(MID($D110,5,1)="S","S(봄)",IF(MID($D110,5,1)="M","M(여름)",IF(MID($D110,5,1)="X","X(사계절)",MID($D110,5,1)))))</f>
        <v>S(봄)</v>
      </c>
      <c r="H110" s="25" t="s">
        <v>67</v>
      </c>
      <c r="I110" s="24" t="s">
        <v>404</v>
      </c>
      <c r="J110" s="27" t="s">
        <v>405</v>
      </c>
      <c r="K110" s="28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8" t="n">
        <f aca="false">IF($K110="","",$K110-기준정보!$C$5)</f>
        <v>46464</v>
      </c>
      <c r="M110" s="28" t="n">
        <f aca="false">IF($L110="","",$L110-기준정보!$C$6)</f>
        <v>46374</v>
      </c>
      <c r="N110" s="29" t="n">
        <f aca="false">IF($M110="","",$M110-기준정보!$C$4)</f>
        <v>132</v>
      </c>
      <c r="O110" s="27" t="s">
        <v>70</v>
      </c>
      <c r="P110" s="27" t="s">
        <v>71</v>
      </c>
      <c r="Q110" s="30"/>
      <c r="R110" s="26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S110" s="26" t="s">
        <v>231</v>
      </c>
      <c r="T110" s="25" t="s">
        <v>78</v>
      </c>
      <c r="U110" s="31" t="n">
        <v>2000</v>
      </c>
      <c r="V110" s="26"/>
      <c r="W110" s="26" t="str">
        <f aca="false">IF($K110="","출고일 미정",IF($O110="X","작지 미발행",IF($O110="부분","작지 일부 미발행",IF(AND($Q110&lt;&gt;"",$Q110&gt;$M110),"소재입고 마감("&amp;TEXT($M110,"MM/DD")&amp;") 초과",IF($O110="","발행여부 확인 필요",IF($Q110="","소재 입고일정 확인 필요","정상"))))))</f>
        <v>소재 입고일정 확인 필요</v>
      </c>
      <c r="X110" s="24" t="str">
        <f aca="false">IF($K110="","",IF(OR(LEFT($W110,2)="작지",LEFT($W110,4)="소재입고"),IF(LEFT($G110,1)="S","★ 납기위험(S코드)","◆ 지연주의"),IF($W110="정상","✓ 정상","? 확인필요")))</f>
        <v>? 확인필요</v>
      </c>
      <c r="Y110" s="27"/>
      <c r="Z110" s="32"/>
    </row>
    <row r="111" customFormat="false" ht="15" hidden="false" customHeight="false" outlineLevel="0" collapsed="false">
      <c r="A111" s="24" t="n">
        <v>107</v>
      </c>
      <c r="B111" s="25" t="s">
        <v>208</v>
      </c>
      <c r="C111" s="25" t="s">
        <v>188</v>
      </c>
      <c r="D111" s="26" t="s">
        <v>412</v>
      </c>
      <c r="E111" s="25" t="s">
        <v>413</v>
      </c>
      <c r="F111" s="26" t="s">
        <v>414</v>
      </c>
      <c r="G111" s="24" t="str">
        <f aca="false">IF($D111="","",IF(MID($D111,5,1)="S","S(봄)",IF(MID($D111,5,1)="M","M(여름)",IF(MID($D111,5,1)="X","X(사계절)",MID($D111,5,1)))))</f>
        <v>S(봄)</v>
      </c>
      <c r="H111" s="25" t="s">
        <v>67</v>
      </c>
      <c r="I111" s="24" t="s">
        <v>404</v>
      </c>
      <c r="J111" s="27" t="s">
        <v>405</v>
      </c>
      <c r="K111" s="28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8" t="n">
        <f aca="false">IF($K111="","",$K111-기준정보!$C$5)</f>
        <v>46464</v>
      </c>
      <c r="M111" s="28" t="n">
        <f aca="false">IF($L111="","",$L111-기준정보!$C$6)</f>
        <v>46374</v>
      </c>
      <c r="N111" s="29" t="n">
        <f aca="false">IF($M111="","",$M111-기준정보!$C$4)</f>
        <v>132</v>
      </c>
      <c r="O111" s="27" t="s">
        <v>70</v>
      </c>
      <c r="P111" s="27" t="s">
        <v>71</v>
      </c>
      <c r="Q111" s="30"/>
      <c r="R111" s="26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S111" s="25" t="s">
        <v>254</v>
      </c>
      <c r="T111" s="25" t="s">
        <v>73</v>
      </c>
      <c r="U111" s="31" t="n">
        <v>1500</v>
      </c>
      <c r="V111" s="26"/>
      <c r="W111" s="26" t="str">
        <f aca="false">IF($K111="","출고일 미정",IF($O111="X","작지 미발행",IF($O111="부분","작지 일부 미발행",IF(AND($Q111&lt;&gt;"",$Q111&gt;$M111),"소재입고 마감("&amp;TEXT($M111,"MM/DD")&amp;") 초과",IF($O111="","발행여부 확인 필요",IF($Q111="","소재 입고일정 확인 필요","정상"))))))</f>
        <v>소재 입고일정 확인 필요</v>
      </c>
      <c r="X111" s="24" t="str">
        <f aca="false">IF($K111="","",IF(OR(LEFT($W111,2)="작지",LEFT($W111,4)="소재입고"),IF(LEFT($G111,1)="S","★ 납기위험(S코드)","◆ 지연주의"),IF($W111="정상","✓ 정상","? 확인필요")))</f>
        <v>? 확인필요</v>
      </c>
      <c r="Y111" s="27"/>
      <c r="Z111" s="32"/>
    </row>
    <row r="112" customFormat="false" ht="15" hidden="false" customHeight="false" outlineLevel="0" collapsed="false">
      <c r="A112" s="24" t="n">
        <v>108</v>
      </c>
      <c r="B112" s="25" t="s">
        <v>208</v>
      </c>
      <c r="C112" s="25" t="s">
        <v>188</v>
      </c>
      <c r="D112" s="26" t="s">
        <v>415</v>
      </c>
      <c r="E112" s="25" t="s">
        <v>416</v>
      </c>
      <c r="F112" s="26" t="s">
        <v>148</v>
      </c>
      <c r="G112" s="24" t="str">
        <f aca="false">IF($D112="","",IF(MID($D112,5,1)="S","S(봄)",IF(MID($D112,5,1)="M","M(여름)",IF(MID($D112,5,1)="X","X(사계절)",MID($D112,5,1)))))</f>
        <v>S(봄)</v>
      </c>
      <c r="H112" s="25" t="s">
        <v>67</v>
      </c>
      <c r="I112" s="24" t="s">
        <v>404</v>
      </c>
      <c r="J112" s="27" t="s">
        <v>405</v>
      </c>
      <c r="K112" s="28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8" t="n">
        <f aca="false">IF($K112="","",$K112-기준정보!$C$5)</f>
        <v>46464</v>
      </c>
      <c r="M112" s="28" t="n">
        <f aca="false">IF($L112="","",$L112-기준정보!$C$6)</f>
        <v>46374</v>
      </c>
      <c r="N112" s="29" t="n">
        <f aca="false">IF($M112="","",$M112-기준정보!$C$4)</f>
        <v>132</v>
      </c>
      <c r="O112" s="27" t="s">
        <v>70</v>
      </c>
      <c r="P112" s="27" t="s">
        <v>71</v>
      </c>
      <c r="Q112" s="30"/>
      <c r="R112" s="26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S112" s="25" t="s">
        <v>254</v>
      </c>
      <c r="T112" s="25" t="s">
        <v>73</v>
      </c>
      <c r="U112" s="31" t="n">
        <v>2000</v>
      </c>
      <c r="V112" s="26"/>
      <c r="W112" s="26" t="str">
        <f aca="false">IF($K112="","출고일 미정",IF($O112="X","작지 미발행",IF($O112="부분","작지 일부 미발행",IF(AND($Q112&lt;&gt;"",$Q112&gt;$M112),"소재입고 마감("&amp;TEXT($M112,"MM/DD")&amp;") 초과",IF($O112="","발행여부 확인 필요",IF($Q112="","소재 입고일정 확인 필요","정상"))))))</f>
        <v>소재 입고일정 확인 필요</v>
      </c>
      <c r="X112" s="24" t="str">
        <f aca="false">IF($K112="","",IF(OR(LEFT($W112,2)="작지",LEFT($W112,4)="소재입고"),IF(LEFT($G112,1)="S","★ 납기위험(S코드)","◆ 지연주의"),IF($W112="정상","✓ 정상","? 확인필요")))</f>
        <v>? 확인필요</v>
      </c>
      <c r="Y112" s="27"/>
      <c r="Z112" s="32"/>
    </row>
    <row r="113" customFormat="false" ht="15" hidden="false" customHeight="false" outlineLevel="0" collapsed="false">
      <c r="A113" s="24" t="n">
        <v>109</v>
      </c>
      <c r="B113" s="25" t="s">
        <v>112</v>
      </c>
      <c r="C113" s="25" t="s">
        <v>113</v>
      </c>
      <c r="D113" s="26" t="s">
        <v>417</v>
      </c>
      <c r="E113" s="25" t="s">
        <v>418</v>
      </c>
      <c r="F113" s="26" t="s">
        <v>419</v>
      </c>
      <c r="G113" s="24" t="str">
        <f aca="false">IF($D113="","",IF(MID($D113,5,1)="S","S(봄)",IF(MID($D113,5,1)="M","M(여름)",IF(MID($D113,5,1)="X","X(사계절)",MID($D113,5,1)))))</f>
        <v>M(여름)</v>
      </c>
      <c r="H113" s="25" t="s">
        <v>67</v>
      </c>
      <c r="I113" s="24"/>
      <c r="J113" s="27" t="s">
        <v>69</v>
      </c>
      <c r="K113" s="28" t="n">
        <f aca="false">IF($J113="","",IFERROR(DATE(IF(VALUE(LEFT($J113,FIND("월",$J113)-1))&gt;=9,기준정보!$C$7-1,기준정보!$C$7),VALUE(LEFT($J113,FIND("월",$J113)-1)),1+7*(VALUE(SUBSTITUTE(MID($J113,FIND("월",$J113)+1,5),"주",""))-1)),""))</f>
        <v>46395</v>
      </c>
      <c r="L113" s="28" t="n">
        <f aca="false">IF($K113="","",$K113-기준정보!$C$5)</f>
        <v>46381</v>
      </c>
      <c r="M113" s="28" t="n">
        <f aca="false">IF($L113="","",$L113-기준정보!$C$6)</f>
        <v>46291</v>
      </c>
      <c r="N113" s="29" t="n">
        <f aca="false">IF($M113="","",$M113-기준정보!$C$4)</f>
        <v>49</v>
      </c>
      <c r="O113" s="27" t="s">
        <v>70</v>
      </c>
      <c r="P113" s="27" t="s">
        <v>71</v>
      </c>
      <c r="Q113" s="30"/>
      <c r="R113" s="26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S113" s="26" t="s">
        <v>118</v>
      </c>
      <c r="T113" s="25" t="s">
        <v>73</v>
      </c>
      <c r="U113" s="31" t="n">
        <v>2000</v>
      </c>
      <c r="V113" s="26"/>
      <c r="W113" s="26" t="str">
        <f aca="false">IF($K113="","출고일 미정",IF($O113="X","작지 미발행",IF($O113="부분","작지 일부 미발행",IF(AND($Q113&lt;&gt;"",$Q113&gt;$M113),"소재입고 마감("&amp;TEXT($M113,"MM/DD")&amp;") 초과",IF($O113="","발행여부 확인 필요",IF($Q113="","소재 입고일정 확인 필요","정상"))))))</f>
        <v>소재 입고일정 확인 필요</v>
      </c>
      <c r="X113" s="24" t="str">
        <f aca="false">IF($K113="","",IF(OR(LEFT($W113,2)="작지",LEFT($W113,4)="소재입고"),IF(LEFT($G113,1)="S","★ 납기위험(S코드)","◆ 지연주의"),IF($W113="정상","✓ 정상","? 확인필요")))</f>
        <v>? 확인필요</v>
      </c>
      <c r="Y113" s="27"/>
      <c r="Z113" s="32"/>
    </row>
    <row r="114" customFormat="false" ht="15" hidden="false" customHeight="false" outlineLevel="0" collapsed="false">
      <c r="A114" s="24" t="n">
        <v>110</v>
      </c>
      <c r="B114" s="25" t="s">
        <v>130</v>
      </c>
      <c r="C114" s="25" t="s">
        <v>131</v>
      </c>
      <c r="D114" s="26" t="s">
        <v>420</v>
      </c>
      <c r="E114" s="26" t="s">
        <v>421</v>
      </c>
      <c r="F114" s="26" t="s">
        <v>157</v>
      </c>
      <c r="G114" s="24" t="str">
        <f aca="false">IF($D114="","",IF(MID($D114,5,1)="S","S(봄)",IF(MID($D114,5,1)="M","M(여름)",IF(MID($D114,5,1)="X","X(사계절)",MID($D114,5,1)))))</f>
        <v>M(여름)</v>
      </c>
      <c r="H114" s="25" t="s">
        <v>67</v>
      </c>
      <c r="I114" s="24" t="s">
        <v>422</v>
      </c>
      <c r="J114" s="27" t="s">
        <v>136</v>
      </c>
      <c r="K114" s="28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46402</v>
      </c>
      <c r="L114" s="28" t="n">
        <f aca="false">IF($K114="","",$K114-기준정보!$C$5)</f>
        <v>46388</v>
      </c>
      <c r="M114" s="28" t="n">
        <f aca="false">IF($L114="","",$L114-기준정보!$C$6)</f>
        <v>46298</v>
      </c>
      <c r="N114" s="29" t="n">
        <f aca="false">IF($M114="","",$M114-기준정보!$C$4)</f>
        <v>56</v>
      </c>
      <c r="O114" s="27" t="s">
        <v>71</v>
      </c>
      <c r="P114" s="27" t="s">
        <v>71</v>
      </c>
      <c r="Q114" s="30"/>
      <c r="R114" s="26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S114" s="26" t="s">
        <v>231</v>
      </c>
      <c r="T114" s="25" t="s">
        <v>73</v>
      </c>
      <c r="U114" s="31" t="n">
        <v>0</v>
      </c>
      <c r="V114" s="26"/>
      <c r="W114" s="26" t="str">
        <f aca="false">IF($K114="","출고일 미정",IF($O114="X","작지 미발행",IF($O114="부분","작지 일부 미발행",IF(AND($Q114&lt;&gt;"",$Q114&gt;$M114),"소재입고 마감("&amp;TEXT($M114,"MM/DD")&amp;") 초과",IF($O114="","발행여부 확인 필요",IF($Q114="","소재 입고일정 확인 필요","정상"))))))</f>
        <v>작지 미발행</v>
      </c>
      <c r="X114" s="24" t="str">
        <f aca="false">IF($K114="","",IF(OR(LEFT($W114,2)="작지",LEFT($W114,4)="소재입고"),IF(LEFT($G114,1)="S","★ 납기위험(S코드)","◆ 지연주의"),IF($W114="정상","✓ 정상","? 확인필요")))</f>
        <v>◆ 지연주의</v>
      </c>
      <c r="Y114" s="27"/>
      <c r="Z114" s="32"/>
    </row>
    <row r="115" customFormat="false" ht="15" hidden="false" customHeight="false" outlineLevel="0" collapsed="false">
      <c r="A115" s="24" t="n">
        <v>111</v>
      </c>
      <c r="B115" s="25" t="s">
        <v>187</v>
      </c>
      <c r="C115" s="25" t="s">
        <v>423</v>
      </c>
      <c r="D115" s="26" t="s">
        <v>424</v>
      </c>
      <c r="E115" s="25" t="s">
        <v>425</v>
      </c>
      <c r="F115" s="26" t="s">
        <v>426</v>
      </c>
      <c r="G115" s="24" t="str">
        <f aca="false">IF($D115="","",IF(MID($D115,5,1)="S","S(봄)",IF(MID($D115,5,1)="M","M(여름)",IF(MID($D115,5,1)="X","X(사계절)",MID($D115,5,1)))))</f>
        <v>M(여름)</v>
      </c>
      <c r="H115" s="25" t="s">
        <v>67</v>
      </c>
      <c r="I115" s="24" t="s">
        <v>404</v>
      </c>
      <c r="J115" s="27" t="s">
        <v>136</v>
      </c>
      <c r="K115" s="28" t="n">
        <f aca="false">IF($J115="","",IFERROR(DATE(IF(VALUE(LEFT($J115,FIND("월",$J115)-1))&gt;=9,기준정보!$C$7-1,기준정보!$C$7),VALUE(LEFT($J115,FIND("월",$J115)-1)),1+7*(VALUE(SUBSTITUTE(MID($J115,FIND("월",$J115)+1,5),"주",""))-1)),""))</f>
        <v>46402</v>
      </c>
      <c r="L115" s="28" t="n">
        <f aca="false">IF($K115="","",$K115-기준정보!$C$5)</f>
        <v>46388</v>
      </c>
      <c r="M115" s="28" t="n">
        <f aca="false">IF($L115="","",$L115-기준정보!$C$6)</f>
        <v>46298</v>
      </c>
      <c r="N115" s="29" t="n">
        <f aca="false">IF($M115="","",$M115-기준정보!$C$4)</f>
        <v>56</v>
      </c>
      <c r="O115" s="27" t="s">
        <v>70</v>
      </c>
      <c r="P115" s="27" t="s">
        <v>71</v>
      </c>
      <c r="Q115" s="30"/>
      <c r="R115" s="26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S115" s="26" t="s">
        <v>231</v>
      </c>
      <c r="T115" s="25" t="s">
        <v>78</v>
      </c>
      <c r="U115" s="31" t="n">
        <v>850</v>
      </c>
      <c r="V115" s="26" t="s">
        <v>136</v>
      </c>
      <c r="W115" s="26" t="str">
        <f aca="false">IF($K115="","출고일 미정",IF($O115="X","작지 미발행",IF($O115="부분","작지 일부 미발행",IF(AND($Q115&lt;&gt;"",$Q115&gt;$M115),"소재입고 마감("&amp;TEXT($M115,"MM/DD")&amp;") 초과",IF($O115="","발행여부 확인 필요",IF($Q115="","소재 입고일정 확인 필요","정상"))))))</f>
        <v>소재 입고일정 확인 필요</v>
      </c>
      <c r="X115" s="24" t="str">
        <f aca="false">IF($K115="","",IF(OR(LEFT($W115,2)="작지",LEFT($W115,4)="소재입고"),IF(LEFT($G115,1)="S","★ 납기위험(S코드)","◆ 지연주의"),IF($W115="정상","✓ 정상","? 확인필요")))</f>
        <v>? 확인필요</v>
      </c>
      <c r="Y115" s="27"/>
      <c r="Z115" s="32"/>
    </row>
    <row r="116" customFormat="false" ht="15" hidden="false" customHeight="false" outlineLevel="0" collapsed="false">
      <c r="A116" s="24" t="n">
        <v>112</v>
      </c>
      <c r="B116" s="25" t="s">
        <v>112</v>
      </c>
      <c r="C116" s="25" t="s">
        <v>113</v>
      </c>
      <c r="D116" s="26" t="s">
        <v>427</v>
      </c>
      <c r="E116" s="25" t="s">
        <v>428</v>
      </c>
      <c r="F116" s="26" t="s">
        <v>429</v>
      </c>
      <c r="G116" s="24" t="str">
        <f aca="false">IF($D116="","",IF(MID($D116,5,1)="S","S(봄)",IF(MID($D116,5,1)="M","M(여름)",IF(MID($D116,5,1)="X","X(사계절)",MID($D116,5,1)))))</f>
        <v>M(여름)</v>
      </c>
      <c r="H116" s="25" t="s">
        <v>67</v>
      </c>
      <c r="I116" s="24"/>
      <c r="J116" s="27" t="s">
        <v>296</v>
      </c>
      <c r="K116" s="28" t="n">
        <f aca="false">IF($J116="","",IFERROR(DATE(IF(VALUE(LEFT($J116,FIND("월",$J116)-1))&gt;=9,기준정보!$C$7-1,기준정보!$C$7),VALUE(LEFT($J116,FIND("월",$J116)-1)),1+7*(VALUE(SUBSTITUTE(MID($J116,FIND("월",$J116)+1,5),"주",""))-1)),""))</f>
        <v>46409</v>
      </c>
      <c r="L116" s="28" t="n">
        <f aca="false">IF($K116="","",$K116-기준정보!$C$5)</f>
        <v>46395</v>
      </c>
      <c r="M116" s="28" t="n">
        <f aca="false">IF($L116="","",$L116-기준정보!$C$6)</f>
        <v>46305</v>
      </c>
      <c r="N116" s="29" t="n">
        <f aca="false">IF($M116="","",$M116-기준정보!$C$4)</f>
        <v>63</v>
      </c>
      <c r="O116" s="27" t="s">
        <v>70</v>
      </c>
      <c r="P116" s="27" t="s">
        <v>71</v>
      </c>
      <c r="Q116" s="30"/>
      <c r="R116" s="26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S116" s="25" t="s">
        <v>299</v>
      </c>
      <c r="T116" s="25" t="s">
        <v>73</v>
      </c>
      <c r="U116" s="31" t="n">
        <v>67000</v>
      </c>
      <c r="V116" s="26" t="s">
        <v>430</v>
      </c>
      <c r="W116" s="26" t="str">
        <f aca="false">IF($K116="","출고일 미정",IF($O116="X","작지 미발행",IF($O116="부분","작지 일부 미발행",IF(AND($Q116&lt;&gt;"",$Q116&gt;$M116),"소재입고 마감("&amp;TEXT($M116,"MM/DD")&amp;") 초과",IF($O116="","발행여부 확인 필요",IF($Q116="","소재 입고일정 확인 필요","정상"))))))</f>
        <v>소재 입고일정 확인 필요</v>
      </c>
      <c r="X116" s="24" t="str">
        <f aca="false">IF($K116="","",IF(OR(LEFT($W116,2)="작지",LEFT($W116,4)="소재입고"),IF(LEFT($G116,1)="S","★ 납기위험(S코드)","◆ 지연주의"),IF($W116="정상","✓ 정상","? 확인필요")))</f>
        <v>? 확인필요</v>
      </c>
      <c r="Y116" s="27"/>
      <c r="Z116" s="32"/>
    </row>
    <row r="117" customFormat="false" ht="15" hidden="false" customHeight="false" outlineLevel="0" collapsed="false">
      <c r="A117" s="24" t="n">
        <v>113</v>
      </c>
      <c r="B117" s="25" t="s">
        <v>112</v>
      </c>
      <c r="C117" s="25" t="s">
        <v>113</v>
      </c>
      <c r="D117" s="26" t="s">
        <v>431</v>
      </c>
      <c r="E117" s="25" t="s">
        <v>432</v>
      </c>
      <c r="F117" s="26" t="s">
        <v>433</v>
      </c>
      <c r="G117" s="24" t="str">
        <f aca="false">IF($D117="","",IF(MID($D117,5,1)="S","S(봄)",IF(MID($D117,5,1)="M","M(여름)",IF(MID($D117,5,1)="X","X(사계절)",MID($D117,5,1)))))</f>
        <v>M(여름)</v>
      </c>
      <c r="H117" s="26" t="s">
        <v>117</v>
      </c>
      <c r="I117" s="24"/>
      <c r="J117" s="27" t="s">
        <v>296</v>
      </c>
      <c r="K117" s="28" t="n">
        <f aca="false">IF($J117="","",IFERROR(DATE(IF(VALUE(LEFT($J117,FIND("월",$J117)-1))&gt;=9,기준정보!$C$7-1,기준정보!$C$7),VALUE(LEFT($J117,FIND("월",$J117)-1)),1+7*(VALUE(SUBSTITUTE(MID($J117,FIND("월",$J117)+1,5),"주",""))-1)),""))</f>
        <v>46409</v>
      </c>
      <c r="L117" s="28" t="n">
        <f aca="false">IF($K117="","",$K117-기준정보!$C$5)</f>
        <v>46395</v>
      </c>
      <c r="M117" s="28" t="n">
        <f aca="false">IF($L117="","",$L117-기준정보!$C$6)</f>
        <v>46305</v>
      </c>
      <c r="N117" s="29" t="n">
        <f aca="false">IF($M117="","",$M117-기준정보!$C$4)</f>
        <v>63</v>
      </c>
      <c r="O117" s="27" t="s">
        <v>70</v>
      </c>
      <c r="P117" s="27" t="s">
        <v>71</v>
      </c>
      <c r="Q117" s="30"/>
      <c r="R117" s="26" t="str">
        <f aca="false">IF($H117="","",IF(AND(ISNUMBER(SEARCH("CMT",$H117)),OR(ISNUMBER(SEARCH("완사입",$H117)),ISNUMBER(SEARCH("ODM",$H117)))),"본사/생산처 혼재",IF(ISNUMBER(SEARCH("CMT",$H117)),"본사(소재팀)","생산처")))</f>
        <v>생산처</v>
      </c>
      <c r="S117" s="26" t="s">
        <v>231</v>
      </c>
      <c r="T117" s="25" t="s">
        <v>78</v>
      </c>
      <c r="U117" s="31" t="n">
        <v>70000</v>
      </c>
      <c r="V117" s="26"/>
      <c r="W117" s="26" t="str">
        <f aca="false">IF($K117="","출고일 미정",IF($O117="X","작지 미발행",IF($O117="부분","작지 일부 미발행",IF(AND($Q117&lt;&gt;"",$Q117&gt;$M117),"소재입고 마감("&amp;TEXT($M117,"MM/DD")&amp;") 초과",IF($O117="","발행여부 확인 필요",IF($Q117="","소재 입고일정 확인 필요","정상"))))))</f>
        <v>소재 입고일정 확인 필요</v>
      </c>
      <c r="X117" s="24" t="str">
        <f aca="false">IF($K117="","",IF(OR(LEFT($W117,2)="작지",LEFT($W117,4)="소재입고"),IF(LEFT($G117,1)="S","★ 납기위험(S코드)","◆ 지연주의"),IF($W117="정상","✓ 정상","? 확인필요")))</f>
        <v>? 확인필요</v>
      </c>
      <c r="Y117" s="27"/>
      <c r="Z117" s="32"/>
    </row>
    <row r="118" customFormat="false" ht="15" hidden="false" customHeight="false" outlineLevel="0" collapsed="false">
      <c r="A118" s="24" t="n">
        <v>114</v>
      </c>
      <c r="B118" s="25" t="s">
        <v>112</v>
      </c>
      <c r="C118" s="25" t="s">
        <v>113</v>
      </c>
      <c r="D118" s="26" t="s">
        <v>434</v>
      </c>
      <c r="E118" s="25" t="s">
        <v>435</v>
      </c>
      <c r="F118" s="26" t="s">
        <v>436</v>
      </c>
      <c r="G118" s="24" t="str">
        <f aca="false">IF($D118="","",IF(MID($D118,5,1)="S","S(봄)",IF(MID($D118,5,1)="M","M(여름)",IF(MID($D118,5,1)="X","X(사계절)",MID($D118,5,1)))))</f>
        <v>M(여름)</v>
      </c>
      <c r="H118" s="25" t="s">
        <v>67</v>
      </c>
      <c r="I118" s="24"/>
      <c r="J118" s="27" t="s">
        <v>296</v>
      </c>
      <c r="K118" s="28" t="n">
        <f aca="false">IF($J118="","",IFERROR(DATE(IF(VALUE(LEFT($J118,FIND("월",$J118)-1))&gt;=9,기준정보!$C$7-1,기준정보!$C$7),VALUE(LEFT($J118,FIND("월",$J118)-1)),1+7*(VALUE(SUBSTITUTE(MID($J118,FIND("월",$J118)+1,5),"주",""))-1)),""))</f>
        <v>46409</v>
      </c>
      <c r="L118" s="28" t="n">
        <f aca="false">IF($K118="","",$K118-기준정보!$C$5)</f>
        <v>46395</v>
      </c>
      <c r="M118" s="28" t="n">
        <f aca="false">IF($L118="","",$L118-기준정보!$C$6)</f>
        <v>46305</v>
      </c>
      <c r="N118" s="29" t="n">
        <f aca="false">IF($M118="","",$M118-기준정보!$C$4)</f>
        <v>63</v>
      </c>
      <c r="O118" s="27" t="s">
        <v>70</v>
      </c>
      <c r="P118" s="27" t="s">
        <v>71</v>
      </c>
      <c r="Q118" s="30"/>
      <c r="R118" s="26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S118" s="25" t="s">
        <v>299</v>
      </c>
      <c r="T118" s="25" t="s">
        <v>73</v>
      </c>
      <c r="U118" s="31" t="n">
        <v>6500</v>
      </c>
      <c r="V118" s="26" t="s">
        <v>430</v>
      </c>
      <c r="W118" s="26" t="str">
        <f aca="false">IF($K118="","출고일 미정",IF($O118="X","작지 미발행",IF($O118="부분","작지 일부 미발행",IF(AND($Q118&lt;&gt;"",$Q118&gt;$M118),"소재입고 마감("&amp;TEXT($M118,"MM/DD")&amp;") 초과",IF($O118="","발행여부 확인 필요",IF($Q118="","소재 입고일정 확인 필요","정상"))))))</f>
        <v>소재 입고일정 확인 필요</v>
      </c>
      <c r="X118" s="24" t="str">
        <f aca="false">IF($K118="","",IF(OR(LEFT($W118,2)="작지",LEFT($W118,4)="소재입고"),IF(LEFT($G118,1)="S","★ 납기위험(S코드)","◆ 지연주의"),IF($W118="정상","✓ 정상","? 확인필요")))</f>
        <v>? 확인필요</v>
      </c>
      <c r="Y118" s="27"/>
      <c r="Z118" s="32"/>
    </row>
    <row r="119" customFormat="false" ht="15" hidden="false" customHeight="false" outlineLevel="0" collapsed="false">
      <c r="A119" s="24" t="n">
        <v>115</v>
      </c>
      <c r="B119" s="25" t="s">
        <v>112</v>
      </c>
      <c r="C119" s="25" t="s">
        <v>113</v>
      </c>
      <c r="D119" s="26" t="s">
        <v>437</v>
      </c>
      <c r="E119" s="25" t="s">
        <v>438</v>
      </c>
      <c r="F119" s="26" t="s">
        <v>439</v>
      </c>
      <c r="G119" s="24" t="str">
        <f aca="false">IF($D119="","",IF(MID($D119,5,1)="S","S(봄)",IF(MID($D119,5,1)="M","M(여름)",IF(MID($D119,5,1)="X","X(사계절)",MID($D119,5,1)))))</f>
        <v>M(여름)</v>
      </c>
      <c r="H119" s="26" t="s">
        <v>117</v>
      </c>
      <c r="I119" s="24"/>
      <c r="J119" s="27" t="s">
        <v>296</v>
      </c>
      <c r="K119" s="28" t="n">
        <f aca="false">IF($J119="","",IFERROR(DATE(IF(VALUE(LEFT($J119,FIND("월",$J119)-1))&gt;=9,기준정보!$C$7-1,기준정보!$C$7),VALUE(LEFT($J119,FIND("월",$J119)-1)),1+7*(VALUE(SUBSTITUTE(MID($J119,FIND("월",$J119)+1,5),"주",""))-1)),""))</f>
        <v>46409</v>
      </c>
      <c r="L119" s="28" t="n">
        <f aca="false">IF($K119="","",$K119-기준정보!$C$5)</f>
        <v>46395</v>
      </c>
      <c r="M119" s="28" t="n">
        <f aca="false">IF($L119="","",$L119-기준정보!$C$6)</f>
        <v>46305</v>
      </c>
      <c r="N119" s="29" t="n">
        <f aca="false">IF($M119="","",$M119-기준정보!$C$4)</f>
        <v>63</v>
      </c>
      <c r="O119" s="27" t="s">
        <v>70</v>
      </c>
      <c r="P119" s="27" t="s">
        <v>71</v>
      </c>
      <c r="Q119" s="30"/>
      <c r="R119" s="26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S119" s="26" t="s">
        <v>231</v>
      </c>
      <c r="T119" s="25" t="s">
        <v>78</v>
      </c>
      <c r="U119" s="31" t="n">
        <v>24000</v>
      </c>
      <c r="V119" s="26"/>
      <c r="W119" s="26" t="str">
        <f aca="false">IF($K119="","출고일 미정",IF($O119="X","작지 미발행",IF($O119="부분","작지 일부 미발행",IF(AND($Q119&lt;&gt;"",$Q119&gt;$M119),"소재입고 마감("&amp;TEXT($M119,"MM/DD")&amp;") 초과",IF($O119="","발행여부 확인 필요",IF($Q119="","소재 입고일정 확인 필요","정상"))))))</f>
        <v>소재 입고일정 확인 필요</v>
      </c>
      <c r="X119" s="24" t="str">
        <f aca="false">IF($K119="","",IF(OR(LEFT($W119,2)="작지",LEFT($W119,4)="소재입고"),IF(LEFT($G119,1)="S","★ 납기위험(S코드)","◆ 지연주의"),IF($W119="정상","✓ 정상","? 확인필요")))</f>
        <v>? 확인필요</v>
      </c>
      <c r="Y119" s="27"/>
      <c r="Z119" s="32"/>
    </row>
    <row r="120" customFormat="false" ht="15" hidden="false" customHeight="false" outlineLevel="0" collapsed="false">
      <c r="A120" s="24" t="n">
        <v>116</v>
      </c>
      <c r="B120" s="25" t="s">
        <v>192</v>
      </c>
      <c r="C120" s="25" t="s">
        <v>193</v>
      </c>
      <c r="D120" s="26" t="s">
        <v>440</v>
      </c>
      <c r="E120" s="25" t="s">
        <v>441</v>
      </c>
      <c r="F120" s="26" t="s">
        <v>134</v>
      </c>
      <c r="G120" s="24" t="str">
        <f aca="false">IF($D120="","",IF(MID($D120,5,1)="S","S(봄)",IF(MID($D120,5,1)="M","M(여름)",IF(MID($D120,5,1)="X","X(사계절)",MID($D120,5,1)))))</f>
        <v>M(여름)</v>
      </c>
      <c r="H120" s="26" t="s">
        <v>197</v>
      </c>
      <c r="I120" s="24"/>
      <c r="J120" s="27" t="s">
        <v>316</v>
      </c>
      <c r="K120" s="28" t="n">
        <f aca="false">IF($J120="","",IFERROR(DATE(IF(VALUE(LEFT($J120,FIND("월",$J120)-1))&gt;=9,기준정보!$C$7-1,기준정보!$C$7),VALUE(LEFT($J120,FIND("월",$J120)-1)),1+7*(VALUE(SUBSTITUTE(MID($J120,FIND("월",$J120)+1,5),"주",""))-1)),""))</f>
        <v>46419</v>
      </c>
      <c r="L120" s="28" t="n">
        <f aca="false">IF($K120="","",$K120-기준정보!$C$5)</f>
        <v>46405</v>
      </c>
      <c r="M120" s="28" t="n">
        <f aca="false">IF($L120="","",$L120-기준정보!$C$6)</f>
        <v>46315</v>
      </c>
      <c r="N120" s="29" t="n">
        <f aca="false">IF($M120="","",$M120-기준정보!$C$4)</f>
        <v>73</v>
      </c>
      <c r="O120" s="27" t="s">
        <v>70</v>
      </c>
      <c r="P120" s="27" t="s">
        <v>71</v>
      </c>
      <c r="Q120" s="30"/>
      <c r="R120" s="26" t="str">
        <f aca="false">IF($H120="","",IF(AND(ISNUMBER(SEARCH("CMT",$H120)),OR(ISNUMBER(SEARCH("완사입",$H120)),ISNUMBER(SEARCH("ODM",$H120)))),"본사/생산처 혼재",IF(ISNUMBER(SEARCH("CMT",$H120)),"본사(소재팀)","생산처")))</f>
        <v>본사(소재팀)</v>
      </c>
      <c r="S120" s="25" t="s">
        <v>87</v>
      </c>
      <c r="T120" s="25" t="s">
        <v>73</v>
      </c>
      <c r="U120" s="31" t="n">
        <v>1500</v>
      </c>
      <c r="V120" s="26" t="s">
        <v>316</v>
      </c>
      <c r="W120" s="26" t="str">
        <f aca="false">IF($K120="","출고일 미정",IF($O120="X","작지 미발행",IF($O120="부분","작지 일부 미발행",IF(AND($Q120&lt;&gt;"",$Q120&gt;$M120),"소재입고 마감("&amp;TEXT($M120,"MM/DD")&amp;") 초과",IF($O120="","발행여부 확인 필요",IF($Q120="","소재 입고일정 확인 필요","정상"))))))</f>
        <v>소재 입고일정 확인 필요</v>
      </c>
      <c r="X120" s="24" t="str">
        <f aca="false">IF($K120="","",IF(OR(LEFT($W120,2)="작지",LEFT($W120,4)="소재입고"),IF(LEFT($G120,1)="S","★ 납기위험(S코드)","◆ 지연주의"),IF($W120="정상","✓ 정상","? 확인필요")))</f>
        <v>? 확인필요</v>
      </c>
      <c r="Y120" s="27"/>
      <c r="Z120" s="32"/>
    </row>
    <row r="121" customFormat="false" ht="15" hidden="false" customHeight="false" outlineLevel="0" collapsed="false">
      <c r="A121" s="24" t="n">
        <v>117</v>
      </c>
      <c r="B121" s="25" t="s">
        <v>192</v>
      </c>
      <c r="C121" s="25" t="s">
        <v>193</v>
      </c>
      <c r="D121" s="26" t="s">
        <v>442</v>
      </c>
      <c r="E121" s="25" t="s">
        <v>443</v>
      </c>
      <c r="F121" s="26" t="s">
        <v>444</v>
      </c>
      <c r="G121" s="24" t="str">
        <f aca="false">IF($D121="","",IF(MID($D121,5,1)="S","S(봄)",IF(MID($D121,5,1)="M","M(여름)",IF(MID($D121,5,1)="X","X(사계절)",MID($D121,5,1)))))</f>
        <v>M(여름)</v>
      </c>
      <c r="H121" s="26" t="s">
        <v>197</v>
      </c>
      <c r="I121" s="24"/>
      <c r="J121" s="27" t="s">
        <v>316</v>
      </c>
      <c r="K121" s="28" t="n">
        <f aca="false">IF($J121="","",IFERROR(DATE(IF(VALUE(LEFT($J121,FIND("월",$J121)-1))&gt;=9,기준정보!$C$7-1,기준정보!$C$7),VALUE(LEFT($J121,FIND("월",$J121)-1)),1+7*(VALUE(SUBSTITUTE(MID($J121,FIND("월",$J121)+1,5),"주",""))-1)),""))</f>
        <v>46419</v>
      </c>
      <c r="L121" s="28" t="n">
        <f aca="false">IF($K121="","",$K121-기준정보!$C$5)</f>
        <v>46405</v>
      </c>
      <c r="M121" s="28" t="n">
        <f aca="false">IF($L121="","",$L121-기준정보!$C$6)</f>
        <v>46315</v>
      </c>
      <c r="N121" s="29" t="n">
        <f aca="false">IF($M121="","",$M121-기준정보!$C$4)</f>
        <v>73</v>
      </c>
      <c r="O121" s="27" t="s">
        <v>70</v>
      </c>
      <c r="P121" s="27" t="s">
        <v>71</v>
      </c>
      <c r="Q121" s="30"/>
      <c r="R121" s="26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S121" s="25" t="s">
        <v>87</v>
      </c>
      <c r="T121" s="25" t="s">
        <v>73</v>
      </c>
      <c r="U121" s="31" t="n">
        <v>1900</v>
      </c>
      <c r="V121" s="26" t="s">
        <v>316</v>
      </c>
      <c r="W121" s="26" t="str">
        <f aca="false">IF($K121="","출고일 미정",IF($O121="X","작지 미발행",IF($O121="부분","작지 일부 미발행",IF(AND($Q121&lt;&gt;"",$Q121&gt;$M121),"소재입고 마감("&amp;TEXT($M121,"MM/DD")&amp;") 초과",IF($O121="","발행여부 확인 필요",IF($Q121="","소재 입고일정 확인 필요","정상"))))))</f>
        <v>소재 입고일정 확인 필요</v>
      </c>
      <c r="X121" s="24" t="str">
        <f aca="false">IF($K121="","",IF(OR(LEFT($W121,2)="작지",LEFT($W121,4)="소재입고"),IF(LEFT($G121,1)="S","★ 납기위험(S코드)","◆ 지연주의"),IF($W121="정상","✓ 정상","? 확인필요")))</f>
        <v>? 확인필요</v>
      </c>
      <c r="Y121" s="27"/>
      <c r="Z121" s="32"/>
    </row>
    <row r="122" customFormat="false" ht="15" hidden="false" customHeight="false" outlineLevel="0" collapsed="false">
      <c r="A122" s="24" t="n">
        <v>118</v>
      </c>
      <c r="B122" s="25" t="s">
        <v>187</v>
      </c>
      <c r="C122" s="25" t="s">
        <v>193</v>
      </c>
      <c r="D122" s="26" t="s">
        <v>445</v>
      </c>
      <c r="E122" s="25" t="s">
        <v>446</v>
      </c>
      <c r="F122" s="26" t="s">
        <v>201</v>
      </c>
      <c r="G122" s="24" t="str">
        <f aca="false">IF($D122="","",IF(MID($D122,5,1)="S","S(봄)",IF(MID($D122,5,1)="M","M(여름)",IF(MID($D122,5,1)="X","X(사계절)",MID($D122,5,1)))))</f>
        <v>M(여름)</v>
      </c>
      <c r="H122" s="25" t="s">
        <v>67</v>
      </c>
      <c r="I122" s="24"/>
      <c r="J122" s="27" t="s">
        <v>447</v>
      </c>
      <c r="K122" s="28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46440</v>
      </c>
      <c r="L122" s="28" t="n">
        <f aca="false">IF($K122="","",$K122-기준정보!$C$5)</f>
        <v>46426</v>
      </c>
      <c r="M122" s="28" t="n">
        <f aca="false">IF($L122="","",$L122-기준정보!$C$6)</f>
        <v>46336</v>
      </c>
      <c r="N122" s="29" t="n">
        <f aca="false">IF($M122="","",$M122-기준정보!$C$4)</f>
        <v>94</v>
      </c>
      <c r="O122" s="27" t="s">
        <v>70</v>
      </c>
      <c r="P122" s="27" t="s">
        <v>71</v>
      </c>
      <c r="Q122" s="30"/>
      <c r="R122" s="26" t="str">
        <f aca="false">IF($H122="","",IF(AND(ISNUMBER(SEARCH("CMT",$H122)),OR(ISNUMBER(SEARCH("완사입",$H122)),ISNUMBER(SEARCH("ODM",$H122)))),"본사/생산처 혼재",IF(ISNUMBER(SEARCH("CMT",$H122)),"본사(소재팀)","생산처")))</f>
        <v>생산처</v>
      </c>
      <c r="S122" s="26" t="s">
        <v>231</v>
      </c>
      <c r="T122" s="25" t="s">
        <v>78</v>
      </c>
      <c r="U122" s="31" t="n">
        <v>3000</v>
      </c>
      <c r="V122" s="26" t="s">
        <v>447</v>
      </c>
      <c r="W122" s="26" t="str">
        <f aca="false">IF($K122="","출고일 미정",IF($O122="X","작지 미발행",IF($O122="부분","작지 일부 미발행",IF(AND($Q122&lt;&gt;"",$Q122&gt;$M122),"소재입고 마감("&amp;TEXT($M122,"MM/DD")&amp;") 초과",IF($O122="","발행여부 확인 필요",IF($Q122="","소재 입고일정 확인 필요","정상"))))))</f>
        <v>소재 입고일정 확인 필요</v>
      </c>
      <c r="X122" s="24" t="str">
        <f aca="false">IF($K122="","",IF(OR(LEFT($W122,2)="작지",LEFT($W122,4)="소재입고"),IF(LEFT($G122,1)="S","★ 납기위험(S코드)","◆ 지연주의"),IF($W122="정상","✓ 정상","? 확인필요")))</f>
        <v>? 확인필요</v>
      </c>
      <c r="Y122" s="27"/>
      <c r="Z122" s="32"/>
    </row>
    <row r="123" customFormat="false" ht="15" hidden="false" customHeight="false" outlineLevel="0" collapsed="false">
      <c r="A123" s="24" t="n">
        <v>119</v>
      </c>
      <c r="B123" s="25" t="s">
        <v>192</v>
      </c>
      <c r="C123" s="25" t="s">
        <v>193</v>
      </c>
      <c r="D123" s="26" t="s">
        <v>448</v>
      </c>
      <c r="E123" s="25" t="s">
        <v>449</v>
      </c>
      <c r="F123" s="26" t="s">
        <v>207</v>
      </c>
      <c r="G123" s="24" t="str">
        <f aca="false">IF($D123="","",IF(MID($D123,5,1)="S","S(봄)",IF(MID($D123,5,1)="M","M(여름)",IF(MID($D123,5,1)="X","X(사계절)",MID($D123,5,1)))))</f>
        <v>M(여름)</v>
      </c>
      <c r="H123" s="26" t="s">
        <v>197</v>
      </c>
      <c r="I123" s="24"/>
      <c r="J123" s="27" t="s">
        <v>447</v>
      </c>
      <c r="K123" s="28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46440</v>
      </c>
      <c r="L123" s="28" t="n">
        <f aca="false">IF($K123="","",$K123-기준정보!$C$5)</f>
        <v>46426</v>
      </c>
      <c r="M123" s="28" t="n">
        <f aca="false">IF($L123="","",$L123-기준정보!$C$6)</f>
        <v>46336</v>
      </c>
      <c r="N123" s="29" t="n">
        <f aca="false">IF($M123="","",$M123-기준정보!$C$4)</f>
        <v>94</v>
      </c>
      <c r="O123" s="27" t="s">
        <v>70</v>
      </c>
      <c r="P123" s="27" t="s">
        <v>71</v>
      </c>
      <c r="Q123" s="30"/>
      <c r="R123" s="26" t="str">
        <f aca="false">IF($H123="","",IF(AND(ISNUMBER(SEARCH("CMT",$H123)),OR(ISNUMBER(SEARCH("완사입",$H123)),ISNUMBER(SEARCH("ODM",$H123)))),"본사/생산처 혼재",IF(ISNUMBER(SEARCH("CMT",$H123)),"본사(소재팀)","생산처")))</f>
        <v>본사(소재팀)</v>
      </c>
      <c r="S123" s="26" t="s">
        <v>137</v>
      </c>
      <c r="T123" s="25" t="s">
        <v>73</v>
      </c>
      <c r="U123" s="31" t="n">
        <v>1800</v>
      </c>
      <c r="V123" s="26" t="s">
        <v>447</v>
      </c>
      <c r="W123" s="26" t="str">
        <f aca="false">IF($K123="","출고일 미정",IF($O123="X","작지 미발행",IF($O123="부분","작지 일부 미발행",IF(AND($Q123&lt;&gt;"",$Q123&gt;$M123),"소재입고 마감("&amp;TEXT($M123,"MM/DD")&amp;") 초과",IF($O123="","발행여부 확인 필요",IF($Q123="","소재 입고일정 확인 필요","정상"))))))</f>
        <v>소재 입고일정 확인 필요</v>
      </c>
      <c r="X123" s="24" t="str">
        <f aca="false">IF($K123="","",IF(OR(LEFT($W123,2)="작지",LEFT($W123,4)="소재입고"),IF(LEFT($G123,1)="S","★ 납기위험(S코드)","◆ 지연주의"),IF($W123="정상","✓ 정상","? 확인필요")))</f>
        <v>? 확인필요</v>
      </c>
      <c r="Y123" s="27"/>
      <c r="Z123" s="32"/>
    </row>
    <row r="124" customFormat="false" ht="15" hidden="false" customHeight="false" outlineLevel="0" collapsed="false">
      <c r="A124" s="24" t="n">
        <v>120</v>
      </c>
      <c r="B124" s="25" t="s">
        <v>192</v>
      </c>
      <c r="C124" s="25" t="s">
        <v>193</v>
      </c>
      <c r="D124" s="26" t="s">
        <v>450</v>
      </c>
      <c r="E124" s="25" t="s">
        <v>451</v>
      </c>
      <c r="F124" s="26" t="s">
        <v>134</v>
      </c>
      <c r="G124" s="24" t="str">
        <f aca="false">IF($D124="","",IF(MID($D124,5,1)="S","S(봄)",IF(MID($D124,5,1)="M","M(여름)",IF(MID($D124,5,1)="X","X(사계절)",MID($D124,5,1)))))</f>
        <v>M(여름)</v>
      </c>
      <c r="H124" s="25" t="s">
        <v>67</v>
      </c>
      <c r="I124" s="24"/>
      <c r="J124" s="27" t="s">
        <v>447</v>
      </c>
      <c r="K124" s="28" t="n">
        <f aca="false">IF($J124="","",IFERROR(DATE(IF(VALUE(LEFT($J124,FIND("월",$J124)-1))&gt;=9,기준정보!$C$7-1,기준정보!$C$7),VALUE(LEFT($J124,FIND("월",$J124)-1)),1+7*(VALUE(SUBSTITUTE(MID($J124,FIND("월",$J124)+1,5),"주",""))-1)),""))</f>
        <v>46440</v>
      </c>
      <c r="L124" s="28" t="n">
        <f aca="false">IF($K124="","",$K124-기준정보!$C$5)</f>
        <v>46426</v>
      </c>
      <c r="M124" s="28" t="n">
        <f aca="false">IF($L124="","",$L124-기준정보!$C$6)</f>
        <v>46336</v>
      </c>
      <c r="N124" s="29" t="n">
        <f aca="false">IF($M124="","",$M124-기준정보!$C$4)</f>
        <v>94</v>
      </c>
      <c r="O124" s="27" t="s">
        <v>70</v>
      </c>
      <c r="P124" s="27" t="s">
        <v>71</v>
      </c>
      <c r="Q124" s="30"/>
      <c r="R124" s="26" t="str">
        <f aca="false">IF($H124="","",IF(AND(ISNUMBER(SEARCH("CMT",$H124)),OR(ISNUMBER(SEARCH("완사입",$H124)),ISNUMBER(SEARCH("ODM",$H124)))),"본사/생산처 혼재",IF(ISNUMBER(SEARCH("CMT",$H124)),"본사(소재팀)","생산처")))</f>
        <v>생산처</v>
      </c>
      <c r="S124" s="26" t="s">
        <v>231</v>
      </c>
      <c r="T124" s="25" t="s">
        <v>78</v>
      </c>
      <c r="U124" s="31" t="n">
        <v>1600</v>
      </c>
      <c r="V124" s="26" t="s">
        <v>447</v>
      </c>
      <c r="W124" s="26" t="str">
        <f aca="false">IF($K124="","출고일 미정",IF($O124="X","작지 미발행",IF($O124="부분","작지 일부 미발행",IF(AND($Q124&lt;&gt;"",$Q124&gt;$M124),"소재입고 마감("&amp;TEXT($M124,"MM/DD")&amp;") 초과",IF($O124="","발행여부 확인 필요",IF($Q124="","소재 입고일정 확인 필요","정상"))))))</f>
        <v>소재 입고일정 확인 필요</v>
      </c>
      <c r="X124" s="24" t="str">
        <f aca="false">IF($K124="","",IF(OR(LEFT($W124,2)="작지",LEFT($W124,4)="소재입고"),IF(LEFT($G124,1)="S","★ 납기위험(S코드)","◆ 지연주의"),IF($W124="정상","✓ 정상","? 확인필요")))</f>
        <v>? 확인필요</v>
      </c>
      <c r="Y124" s="27"/>
      <c r="Z124" s="32"/>
    </row>
    <row r="125" customFormat="false" ht="15" hidden="false" customHeight="false" outlineLevel="0" collapsed="false">
      <c r="A125" s="24" t="n">
        <v>121</v>
      </c>
      <c r="B125" s="25" t="s">
        <v>192</v>
      </c>
      <c r="C125" s="25" t="s">
        <v>193</v>
      </c>
      <c r="D125" s="26" t="s">
        <v>452</v>
      </c>
      <c r="E125" s="25" t="s">
        <v>453</v>
      </c>
      <c r="F125" s="26" t="s">
        <v>454</v>
      </c>
      <c r="G125" s="24" t="str">
        <f aca="false">IF($D125="","",IF(MID($D125,5,1)="S","S(봄)",IF(MID($D125,5,1)="M","M(여름)",IF(MID($D125,5,1)="X","X(사계절)",MID($D125,5,1)))))</f>
        <v>M(여름)</v>
      </c>
      <c r="H125" s="25" t="s">
        <v>67</v>
      </c>
      <c r="I125" s="24"/>
      <c r="J125" s="27" t="s">
        <v>447</v>
      </c>
      <c r="K125" s="28" t="n">
        <f aca="false">IF($J125="","",IFERROR(DATE(IF(VALUE(LEFT($J125,FIND("월",$J125)-1))&gt;=9,기준정보!$C$7-1,기준정보!$C$7),VALUE(LEFT($J125,FIND("월",$J125)-1)),1+7*(VALUE(SUBSTITUTE(MID($J125,FIND("월",$J125)+1,5),"주",""))-1)),""))</f>
        <v>46440</v>
      </c>
      <c r="L125" s="28" t="n">
        <f aca="false">IF($K125="","",$K125-기준정보!$C$5)</f>
        <v>46426</v>
      </c>
      <c r="M125" s="28" t="n">
        <f aca="false">IF($L125="","",$L125-기준정보!$C$6)</f>
        <v>46336</v>
      </c>
      <c r="N125" s="29" t="n">
        <f aca="false">IF($M125="","",$M125-기준정보!$C$4)</f>
        <v>94</v>
      </c>
      <c r="O125" s="27" t="s">
        <v>70</v>
      </c>
      <c r="P125" s="27" t="s">
        <v>71</v>
      </c>
      <c r="Q125" s="30"/>
      <c r="R125" s="26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S125" s="26" t="s">
        <v>118</v>
      </c>
      <c r="T125" s="25" t="s">
        <v>73</v>
      </c>
      <c r="U125" s="31" t="n">
        <v>3000</v>
      </c>
      <c r="V125" s="26" t="s">
        <v>447</v>
      </c>
      <c r="W125" s="26" t="str">
        <f aca="false">IF($K125="","출고일 미정",IF($O125="X","작지 미발행",IF($O125="부분","작지 일부 미발행",IF(AND($Q125&lt;&gt;"",$Q125&gt;$M125),"소재입고 마감("&amp;TEXT($M125,"MM/DD")&amp;") 초과",IF($O125="","발행여부 확인 필요",IF($Q125="","소재 입고일정 확인 필요","정상"))))))</f>
        <v>소재 입고일정 확인 필요</v>
      </c>
      <c r="X125" s="24" t="str">
        <f aca="false">IF($K125="","",IF(OR(LEFT($W125,2)="작지",LEFT($W125,4)="소재입고"),IF(LEFT($G125,1)="S","★ 납기위험(S코드)","◆ 지연주의"),IF($W125="정상","✓ 정상","? 확인필요")))</f>
        <v>? 확인필요</v>
      </c>
      <c r="Y125" s="27"/>
      <c r="Z125" s="32"/>
    </row>
    <row r="126" customFormat="false" ht="15" hidden="false" customHeight="false" outlineLevel="0" collapsed="false">
      <c r="A126" s="24" t="n">
        <v>122</v>
      </c>
      <c r="B126" s="25" t="s">
        <v>192</v>
      </c>
      <c r="C126" s="25" t="s">
        <v>193</v>
      </c>
      <c r="D126" s="26" t="s">
        <v>455</v>
      </c>
      <c r="E126" s="25" t="s">
        <v>456</v>
      </c>
      <c r="F126" s="26" t="s">
        <v>457</v>
      </c>
      <c r="G126" s="24" t="str">
        <f aca="false">IF($D126="","",IF(MID($D126,5,1)="S","S(봄)",IF(MID($D126,5,1)="M","M(여름)",IF(MID($D126,5,1)="X","X(사계절)",MID($D126,5,1)))))</f>
        <v>M(여름)</v>
      </c>
      <c r="H126" s="25" t="s">
        <v>67</v>
      </c>
      <c r="I126" s="24"/>
      <c r="J126" s="27" t="s">
        <v>447</v>
      </c>
      <c r="K126" s="28" t="n">
        <f aca="false">IF($J126="","",IFERROR(DATE(IF(VALUE(LEFT($J126,FIND("월",$J126)-1))&gt;=9,기준정보!$C$7-1,기준정보!$C$7),VALUE(LEFT($J126,FIND("월",$J126)-1)),1+7*(VALUE(SUBSTITUTE(MID($J126,FIND("월",$J126)+1,5),"주",""))-1)),""))</f>
        <v>46440</v>
      </c>
      <c r="L126" s="28" t="n">
        <f aca="false">IF($K126="","",$K126-기준정보!$C$5)</f>
        <v>46426</v>
      </c>
      <c r="M126" s="28" t="n">
        <f aca="false">IF($L126="","",$L126-기준정보!$C$6)</f>
        <v>46336</v>
      </c>
      <c r="N126" s="29" t="n">
        <f aca="false">IF($M126="","",$M126-기준정보!$C$4)</f>
        <v>94</v>
      </c>
      <c r="O126" s="27" t="s">
        <v>70</v>
      </c>
      <c r="P126" s="27" t="s">
        <v>71</v>
      </c>
      <c r="Q126" s="30"/>
      <c r="R126" s="26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S126" s="25" t="s">
        <v>94</v>
      </c>
      <c r="T126" s="25" t="s">
        <v>73</v>
      </c>
      <c r="U126" s="31" t="n">
        <v>2200</v>
      </c>
      <c r="V126" s="26" t="s">
        <v>447</v>
      </c>
      <c r="W126" s="26" t="str">
        <f aca="false">IF($K126="","출고일 미정",IF($O126="X","작지 미발행",IF($O126="부분","작지 일부 미발행",IF(AND($Q126&lt;&gt;"",$Q126&gt;$M126),"소재입고 마감("&amp;TEXT($M126,"MM/DD")&amp;") 초과",IF($O126="","발행여부 확인 필요",IF($Q126="","소재 입고일정 확인 필요","정상"))))))</f>
        <v>소재 입고일정 확인 필요</v>
      </c>
      <c r="X126" s="24" t="str">
        <f aca="false">IF($K126="","",IF(OR(LEFT($W126,2)="작지",LEFT($W126,4)="소재입고"),IF(LEFT($G126,1)="S","★ 납기위험(S코드)","◆ 지연주의"),IF($W126="정상","✓ 정상","? 확인필요")))</f>
        <v>? 확인필요</v>
      </c>
      <c r="Y126" s="27"/>
      <c r="Z126" s="32"/>
    </row>
    <row r="127" customFormat="false" ht="15" hidden="false" customHeight="false" outlineLevel="0" collapsed="false">
      <c r="A127" s="24" t="n">
        <v>123</v>
      </c>
      <c r="B127" s="25" t="s">
        <v>192</v>
      </c>
      <c r="C127" s="25" t="s">
        <v>193</v>
      </c>
      <c r="D127" s="26" t="s">
        <v>458</v>
      </c>
      <c r="E127" s="25" t="s">
        <v>459</v>
      </c>
      <c r="F127" s="26" t="s">
        <v>460</v>
      </c>
      <c r="G127" s="24" t="str">
        <f aca="false">IF($D127="","",IF(MID($D127,5,1)="S","S(봄)",IF(MID($D127,5,1)="M","M(여름)",IF(MID($D127,5,1)="X","X(사계절)",MID($D127,5,1)))))</f>
        <v>M(여름)</v>
      </c>
      <c r="H127" s="25" t="s">
        <v>67</v>
      </c>
      <c r="I127" s="24"/>
      <c r="J127" s="27" t="s">
        <v>447</v>
      </c>
      <c r="K127" s="28" t="n">
        <f aca="false">IF($J127="","",IFERROR(DATE(IF(VALUE(LEFT($J127,FIND("월",$J127)-1))&gt;=9,기준정보!$C$7-1,기준정보!$C$7),VALUE(LEFT($J127,FIND("월",$J127)-1)),1+7*(VALUE(SUBSTITUTE(MID($J127,FIND("월",$J127)+1,5),"주",""))-1)),""))</f>
        <v>46440</v>
      </c>
      <c r="L127" s="28" t="n">
        <f aca="false">IF($K127="","",$K127-기준정보!$C$5)</f>
        <v>46426</v>
      </c>
      <c r="M127" s="28" t="n">
        <f aca="false">IF($L127="","",$L127-기준정보!$C$6)</f>
        <v>46336</v>
      </c>
      <c r="N127" s="29" t="n">
        <f aca="false">IF($M127="","",$M127-기준정보!$C$4)</f>
        <v>94</v>
      </c>
      <c r="O127" s="27" t="s">
        <v>70</v>
      </c>
      <c r="P127" s="27" t="s">
        <v>71</v>
      </c>
      <c r="Q127" s="30"/>
      <c r="R127" s="26" t="str">
        <f aca="false">IF($H127="","",IF(AND(ISNUMBER(SEARCH("CMT",$H127)),OR(ISNUMBER(SEARCH("완사입",$H127)),ISNUMBER(SEARCH("ODM",$H127)))),"본사/생산처 혼재",IF(ISNUMBER(SEARCH("CMT",$H127)),"본사(소재팀)","생산처")))</f>
        <v>생산처</v>
      </c>
      <c r="S127" s="25" t="s">
        <v>299</v>
      </c>
      <c r="T127" s="25" t="s">
        <v>73</v>
      </c>
      <c r="U127" s="31" t="n">
        <v>4500</v>
      </c>
      <c r="V127" s="26" t="s">
        <v>447</v>
      </c>
      <c r="W127" s="26" t="str">
        <f aca="false">IF($K127="","출고일 미정",IF($O127="X","작지 미발행",IF($O127="부분","작지 일부 미발행",IF(AND($Q127&lt;&gt;"",$Q127&gt;$M127),"소재입고 마감("&amp;TEXT($M127,"MM/DD")&amp;") 초과",IF($O127="","발행여부 확인 필요",IF($Q127="","소재 입고일정 확인 필요","정상"))))))</f>
        <v>소재 입고일정 확인 필요</v>
      </c>
      <c r="X127" s="24" t="str">
        <f aca="false">IF($K127="","",IF(OR(LEFT($W127,2)="작지",LEFT($W127,4)="소재입고"),IF(LEFT($G127,1)="S","★ 납기위험(S코드)","◆ 지연주의"),IF($W127="정상","✓ 정상","? 확인필요")))</f>
        <v>? 확인필요</v>
      </c>
      <c r="Y127" s="27"/>
      <c r="Z127" s="32"/>
    </row>
    <row r="128" customFormat="false" ht="15" hidden="false" customHeight="false" outlineLevel="0" collapsed="false">
      <c r="A128" s="24" t="n">
        <v>124</v>
      </c>
      <c r="B128" s="25" t="s">
        <v>192</v>
      </c>
      <c r="C128" s="25" t="s">
        <v>193</v>
      </c>
      <c r="D128" s="26" t="s">
        <v>461</v>
      </c>
      <c r="E128" s="25" t="s">
        <v>462</v>
      </c>
      <c r="F128" s="26" t="s">
        <v>463</v>
      </c>
      <c r="G128" s="24" t="str">
        <f aca="false">IF($D128="","",IF(MID($D128,5,1)="S","S(봄)",IF(MID($D128,5,1)="M","M(여름)",IF(MID($D128,5,1)="X","X(사계절)",MID($D128,5,1)))))</f>
        <v>M(여름)</v>
      </c>
      <c r="H128" s="25" t="s">
        <v>67</v>
      </c>
      <c r="I128" s="24"/>
      <c r="J128" s="27" t="s">
        <v>447</v>
      </c>
      <c r="K128" s="28" t="n">
        <f aca="false">IF($J128="","",IFERROR(DATE(IF(VALUE(LEFT($J128,FIND("월",$J128)-1))&gt;=9,기준정보!$C$7-1,기준정보!$C$7),VALUE(LEFT($J128,FIND("월",$J128)-1)),1+7*(VALUE(SUBSTITUTE(MID($J128,FIND("월",$J128)+1,5),"주",""))-1)),""))</f>
        <v>46440</v>
      </c>
      <c r="L128" s="28" t="n">
        <f aca="false">IF($K128="","",$K128-기준정보!$C$5)</f>
        <v>46426</v>
      </c>
      <c r="M128" s="28" t="n">
        <f aca="false">IF($L128="","",$L128-기준정보!$C$6)</f>
        <v>46336</v>
      </c>
      <c r="N128" s="29" t="n">
        <f aca="false">IF($M128="","",$M128-기준정보!$C$4)</f>
        <v>94</v>
      </c>
      <c r="O128" s="27" t="s">
        <v>70</v>
      </c>
      <c r="P128" s="27" t="s">
        <v>71</v>
      </c>
      <c r="Q128" s="30"/>
      <c r="R128" s="26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S128" s="25" t="s">
        <v>299</v>
      </c>
      <c r="T128" s="25" t="s">
        <v>73</v>
      </c>
      <c r="U128" s="31" t="n">
        <v>2000</v>
      </c>
      <c r="V128" s="26" t="s">
        <v>447</v>
      </c>
      <c r="W128" s="26" t="str">
        <f aca="false">IF($K128="","출고일 미정",IF($O128="X","작지 미발행",IF($O128="부분","작지 일부 미발행",IF(AND($Q128&lt;&gt;"",$Q128&gt;$M128),"소재입고 마감("&amp;TEXT($M128,"MM/DD")&amp;") 초과",IF($O128="","발행여부 확인 필요",IF($Q128="","소재 입고일정 확인 필요","정상"))))))</f>
        <v>소재 입고일정 확인 필요</v>
      </c>
      <c r="X128" s="24" t="str">
        <f aca="false">IF($K128="","",IF(OR(LEFT($W128,2)="작지",LEFT($W128,4)="소재입고"),IF(LEFT($G128,1)="S","★ 납기위험(S코드)","◆ 지연주의"),IF($W128="정상","✓ 정상","? 확인필요")))</f>
        <v>? 확인필요</v>
      </c>
      <c r="Y128" s="27"/>
      <c r="Z128" s="32"/>
    </row>
    <row r="129" customFormat="false" ht="15" hidden="false" customHeight="false" outlineLevel="0" collapsed="false">
      <c r="A129" s="24" t="n">
        <v>125</v>
      </c>
      <c r="B129" s="25" t="s">
        <v>192</v>
      </c>
      <c r="C129" s="25" t="s">
        <v>193</v>
      </c>
      <c r="D129" s="26" t="s">
        <v>464</v>
      </c>
      <c r="E129" s="26" t="s">
        <v>465</v>
      </c>
      <c r="F129" s="26" t="s">
        <v>466</v>
      </c>
      <c r="G129" s="24" t="str">
        <f aca="false">IF($D129="","",IF(MID($D129,5,1)="S","S(봄)",IF(MID($D129,5,1)="M","M(여름)",IF(MID($D129,5,1)="X","X(사계절)",MID($D129,5,1)))))</f>
        <v>M(여름)</v>
      </c>
      <c r="H129" s="25" t="s">
        <v>67</v>
      </c>
      <c r="I129" s="24"/>
      <c r="J129" s="27" t="s">
        <v>447</v>
      </c>
      <c r="K129" s="28" t="n">
        <f aca="false">IF($J129="","",IFERROR(DATE(IF(VALUE(LEFT($J129,FIND("월",$J129)-1))&gt;=9,기준정보!$C$7-1,기준정보!$C$7),VALUE(LEFT($J129,FIND("월",$J129)-1)),1+7*(VALUE(SUBSTITUTE(MID($J129,FIND("월",$J129)+1,5),"주",""))-1)),""))</f>
        <v>46440</v>
      </c>
      <c r="L129" s="28" t="n">
        <f aca="false">IF($K129="","",$K129-기준정보!$C$5)</f>
        <v>46426</v>
      </c>
      <c r="M129" s="28" t="n">
        <f aca="false">IF($L129="","",$L129-기준정보!$C$6)</f>
        <v>46336</v>
      </c>
      <c r="N129" s="29" t="n">
        <f aca="false">IF($M129="","",$M129-기준정보!$C$4)</f>
        <v>94</v>
      </c>
      <c r="O129" s="27" t="s">
        <v>70</v>
      </c>
      <c r="P129" s="27" t="s">
        <v>71</v>
      </c>
      <c r="Q129" s="30"/>
      <c r="R129" s="26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S129" s="25" t="s">
        <v>299</v>
      </c>
      <c r="T129" s="25" t="s">
        <v>73</v>
      </c>
      <c r="U129" s="31" t="n">
        <v>2500</v>
      </c>
      <c r="V129" s="26" t="s">
        <v>447</v>
      </c>
      <c r="W129" s="26" t="str">
        <f aca="false">IF($K129="","출고일 미정",IF($O129="X","작지 미발행",IF($O129="부분","작지 일부 미발행",IF(AND($Q129&lt;&gt;"",$Q129&gt;$M129),"소재입고 마감("&amp;TEXT($M129,"MM/DD")&amp;") 초과",IF($O129="","발행여부 확인 필요",IF($Q129="","소재 입고일정 확인 필요","정상"))))))</f>
        <v>소재 입고일정 확인 필요</v>
      </c>
      <c r="X129" s="24" t="str">
        <f aca="false">IF($K129="","",IF(OR(LEFT($W129,2)="작지",LEFT($W129,4)="소재입고"),IF(LEFT($G129,1)="S","★ 납기위험(S코드)","◆ 지연주의"),IF($W129="정상","✓ 정상","? 확인필요")))</f>
        <v>? 확인필요</v>
      </c>
      <c r="Y129" s="27"/>
      <c r="Z129" s="32"/>
    </row>
    <row r="130" customFormat="false" ht="15" hidden="false" customHeight="false" outlineLevel="0" collapsed="false">
      <c r="A130" s="24" t="n">
        <v>126</v>
      </c>
      <c r="B130" s="25" t="s">
        <v>212</v>
      </c>
      <c r="C130" s="25" t="s">
        <v>213</v>
      </c>
      <c r="D130" s="26" t="s">
        <v>467</v>
      </c>
      <c r="E130" s="25" t="s">
        <v>468</v>
      </c>
      <c r="F130" s="26" t="s">
        <v>226</v>
      </c>
      <c r="G130" s="24" t="str">
        <f aca="false">IF($D130="","",IF(MID($D130,5,1)="S","S(봄)",IF(MID($D130,5,1)="M","M(여름)",IF(MID($D130,5,1)="X","X(사계절)",MID($D130,5,1)))))</f>
        <v>M(여름)</v>
      </c>
      <c r="H130" s="25" t="s">
        <v>67</v>
      </c>
      <c r="I130" s="24" t="s">
        <v>469</v>
      </c>
      <c r="J130" s="27" t="s">
        <v>447</v>
      </c>
      <c r="K130" s="28" t="n">
        <f aca="false">IF($J130="","",IFERROR(DATE(IF(VALUE(LEFT($J130,FIND("월",$J130)-1))&gt;=9,기준정보!$C$7-1,기준정보!$C$7),VALUE(LEFT($J130,FIND("월",$J130)-1)),1+7*(VALUE(SUBSTITUTE(MID($J130,FIND("월",$J130)+1,5),"주",""))-1)),""))</f>
        <v>46440</v>
      </c>
      <c r="L130" s="28" t="n">
        <f aca="false">IF($K130="","",$K130-기준정보!$C$5)</f>
        <v>46426</v>
      </c>
      <c r="M130" s="28" t="n">
        <f aca="false">IF($L130="","",$L130-기준정보!$C$6)</f>
        <v>46336</v>
      </c>
      <c r="N130" s="29" t="n">
        <f aca="false">IF($M130="","",$M130-기준정보!$C$4)</f>
        <v>94</v>
      </c>
      <c r="O130" s="27" t="s">
        <v>70</v>
      </c>
      <c r="P130" s="27" t="s">
        <v>71</v>
      </c>
      <c r="Q130" s="30"/>
      <c r="R130" s="26" t="str">
        <f aca="false">IF($H130="","",IF(AND(ISNUMBER(SEARCH("CMT",$H130)),OR(ISNUMBER(SEARCH("완사입",$H130)),ISNUMBER(SEARCH("ODM",$H130)))),"본사/생산처 혼재",IF(ISNUMBER(SEARCH("CMT",$H130)),"본사(소재팀)","생산처")))</f>
        <v>생산처</v>
      </c>
      <c r="S130" s="25" t="s">
        <v>87</v>
      </c>
      <c r="T130" s="25" t="s">
        <v>73</v>
      </c>
      <c r="U130" s="31" t="n">
        <v>1700</v>
      </c>
      <c r="V130" s="26" t="s">
        <v>447</v>
      </c>
      <c r="W130" s="26" t="str">
        <f aca="false">IF($K130="","출고일 미정",IF($O130="X","작지 미발행",IF($O130="부분","작지 일부 미발행",IF(AND($Q130&lt;&gt;"",$Q130&gt;$M130),"소재입고 마감("&amp;TEXT($M130,"MM/DD")&amp;") 초과",IF($O130="","발행여부 확인 필요",IF($Q130="","소재 입고일정 확인 필요","정상"))))))</f>
        <v>소재 입고일정 확인 필요</v>
      </c>
      <c r="X130" s="24" t="str">
        <f aca="false">IF($K130="","",IF(OR(LEFT($W130,2)="작지",LEFT($W130,4)="소재입고"),IF(LEFT($G130,1)="S","★ 납기위험(S코드)","◆ 지연주의"),IF($W130="정상","✓ 정상","? 확인필요")))</f>
        <v>? 확인필요</v>
      </c>
      <c r="Y130" s="27"/>
      <c r="Z130" s="32"/>
    </row>
    <row r="131" customFormat="false" ht="15" hidden="false" customHeight="false" outlineLevel="0" collapsed="false">
      <c r="A131" s="24" t="n">
        <v>127</v>
      </c>
      <c r="B131" s="25" t="s">
        <v>212</v>
      </c>
      <c r="C131" s="25" t="s">
        <v>213</v>
      </c>
      <c r="D131" s="26" t="s">
        <v>470</v>
      </c>
      <c r="E131" s="25" t="s">
        <v>471</v>
      </c>
      <c r="F131" s="26" t="s">
        <v>472</v>
      </c>
      <c r="G131" s="24" t="str">
        <f aca="false">IF($D131="","",IF(MID($D131,5,1)="S","S(봄)",IF(MID($D131,5,1)="M","M(여름)",IF(MID($D131,5,1)="X","X(사계절)",MID($D131,5,1)))))</f>
        <v>M(여름)</v>
      </c>
      <c r="H131" s="26" t="s">
        <v>197</v>
      </c>
      <c r="I131" s="24" t="s">
        <v>469</v>
      </c>
      <c r="J131" s="27" t="s">
        <v>447</v>
      </c>
      <c r="K131" s="28" t="n">
        <f aca="false">IF($J131="","",IFERROR(DATE(IF(VALUE(LEFT($J131,FIND("월",$J131)-1))&gt;=9,기준정보!$C$7-1,기준정보!$C$7),VALUE(LEFT($J131,FIND("월",$J131)-1)),1+7*(VALUE(SUBSTITUTE(MID($J131,FIND("월",$J131)+1,5),"주",""))-1)),""))</f>
        <v>46440</v>
      </c>
      <c r="L131" s="28" t="n">
        <f aca="false">IF($K131="","",$K131-기준정보!$C$5)</f>
        <v>46426</v>
      </c>
      <c r="M131" s="28" t="n">
        <f aca="false">IF($L131="","",$L131-기준정보!$C$6)</f>
        <v>46336</v>
      </c>
      <c r="N131" s="29" t="n">
        <f aca="false">IF($M131="","",$M131-기준정보!$C$4)</f>
        <v>94</v>
      </c>
      <c r="O131" s="27" t="s">
        <v>70</v>
      </c>
      <c r="P131" s="27" t="s">
        <v>71</v>
      </c>
      <c r="Q131" s="30"/>
      <c r="R131" s="26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S131" s="25" t="s">
        <v>198</v>
      </c>
      <c r="T131" s="25" t="s">
        <v>73</v>
      </c>
      <c r="U131" s="31" t="n">
        <v>11000</v>
      </c>
      <c r="V131" s="26" t="s">
        <v>447</v>
      </c>
      <c r="W131" s="26" t="str">
        <f aca="false">IF($K131="","출고일 미정",IF($O131="X","작지 미발행",IF($O131="부분","작지 일부 미발행",IF(AND($Q131&lt;&gt;"",$Q131&gt;$M131),"소재입고 마감("&amp;TEXT($M131,"MM/DD")&amp;") 초과",IF($O131="","발행여부 확인 필요",IF($Q131="","소재 입고일정 확인 필요","정상"))))))</f>
        <v>소재 입고일정 확인 필요</v>
      </c>
      <c r="X131" s="24" t="str">
        <f aca="false">IF($K131="","",IF(OR(LEFT($W131,2)="작지",LEFT($W131,4)="소재입고"),IF(LEFT($G131,1)="S","★ 납기위험(S코드)","◆ 지연주의"),IF($W131="정상","✓ 정상","? 확인필요")))</f>
        <v>? 확인필요</v>
      </c>
      <c r="Y131" s="27"/>
      <c r="Z131" s="32"/>
    </row>
    <row r="132" customFormat="false" ht="15" hidden="false" customHeight="false" outlineLevel="0" collapsed="false">
      <c r="A132" s="24" t="n">
        <v>128</v>
      </c>
      <c r="B132" s="25" t="s">
        <v>212</v>
      </c>
      <c r="C132" s="25" t="s">
        <v>213</v>
      </c>
      <c r="D132" s="26" t="s">
        <v>473</v>
      </c>
      <c r="E132" s="25" t="s">
        <v>474</v>
      </c>
      <c r="F132" s="26" t="s">
        <v>475</v>
      </c>
      <c r="G132" s="24" t="str">
        <f aca="false">IF($D132="","",IF(MID($D132,5,1)="S","S(봄)",IF(MID($D132,5,1)="M","M(여름)",IF(MID($D132,5,1)="X","X(사계절)",MID($D132,5,1)))))</f>
        <v>M(여름)</v>
      </c>
      <c r="H132" s="26" t="s">
        <v>197</v>
      </c>
      <c r="I132" s="24" t="s">
        <v>469</v>
      </c>
      <c r="J132" s="27" t="s">
        <v>447</v>
      </c>
      <c r="K132" s="28" t="n">
        <f aca="false">IF($J132="","",IFERROR(DATE(IF(VALUE(LEFT($J132,FIND("월",$J132)-1))&gt;=9,기준정보!$C$7-1,기준정보!$C$7),VALUE(LEFT($J132,FIND("월",$J132)-1)),1+7*(VALUE(SUBSTITUTE(MID($J132,FIND("월",$J132)+1,5),"주",""))-1)),""))</f>
        <v>46440</v>
      </c>
      <c r="L132" s="28" t="n">
        <f aca="false">IF($K132="","",$K132-기준정보!$C$5)</f>
        <v>46426</v>
      </c>
      <c r="M132" s="28" t="n">
        <f aca="false">IF($L132="","",$L132-기준정보!$C$6)</f>
        <v>46336</v>
      </c>
      <c r="N132" s="29" t="n">
        <f aca="false">IF($M132="","",$M132-기준정보!$C$4)</f>
        <v>94</v>
      </c>
      <c r="O132" s="27" t="s">
        <v>70</v>
      </c>
      <c r="P132" s="27" t="s">
        <v>71</v>
      </c>
      <c r="Q132" s="30"/>
      <c r="R132" s="26" t="str">
        <f aca="false">IF($H132="","",IF(AND(ISNUMBER(SEARCH("CMT",$H132)),OR(ISNUMBER(SEARCH("완사입",$H132)),ISNUMBER(SEARCH("ODM",$H132)))),"본사/생산처 혼재",IF(ISNUMBER(SEARCH("CMT",$H132)),"본사(소재팀)","생산처")))</f>
        <v>본사(소재팀)</v>
      </c>
      <c r="S132" s="25" t="s">
        <v>198</v>
      </c>
      <c r="T132" s="25" t="s">
        <v>73</v>
      </c>
      <c r="U132" s="31" t="n">
        <v>14000</v>
      </c>
      <c r="V132" s="26" t="s">
        <v>447</v>
      </c>
      <c r="W132" s="26" t="str">
        <f aca="false">IF($K132="","출고일 미정",IF($O132="X","작지 미발행",IF($O132="부분","작지 일부 미발행",IF(AND($Q132&lt;&gt;"",$Q132&gt;$M132),"소재입고 마감("&amp;TEXT($M132,"MM/DD")&amp;") 초과",IF($O132="","발행여부 확인 필요",IF($Q132="","소재 입고일정 확인 필요","정상"))))))</f>
        <v>소재 입고일정 확인 필요</v>
      </c>
      <c r="X132" s="24" t="str">
        <f aca="false">IF($K132="","",IF(OR(LEFT($W132,2)="작지",LEFT($W132,4)="소재입고"),IF(LEFT($G132,1)="S","★ 납기위험(S코드)","◆ 지연주의"),IF($W132="정상","✓ 정상","? 확인필요")))</f>
        <v>? 확인필요</v>
      </c>
      <c r="Y132" s="27"/>
      <c r="Z132" s="32"/>
    </row>
    <row r="133" customFormat="false" ht="15" hidden="false" customHeight="false" outlineLevel="0" collapsed="false">
      <c r="A133" s="24" t="n">
        <v>129</v>
      </c>
      <c r="B133" s="25" t="s">
        <v>208</v>
      </c>
      <c r="C133" s="25" t="s">
        <v>213</v>
      </c>
      <c r="D133" s="26" t="s">
        <v>476</v>
      </c>
      <c r="E133" s="25" t="s">
        <v>477</v>
      </c>
      <c r="F133" s="26" t="s">
        <v>478</v>
      </c>
      <c r="G133" s="24" t="str">
        <f aca="false">IF($D133="","",IF(MID($D133,5,1)="S","S(봄)",IF(MID($D133,5,1)="M","M(여름)",IF(MID($D133,5,1)="X","X(사계절)",MID($D133,5,1)))))</f>
        <v>M(여름)</v>
      </c>
      <c r="H133" s="25" t="s">
        <v>67</v>
      </c>
      <c r="I133" s="24"/>
      <c r="J133" s="27" t="s">
        <v>447</v>
      </c>
      <c r="K133" s="28" t="n">
        <f aca="false">IF($J133="","",IFERROR(DATE(IF(VALUE(LEFT($J133,FIND("월",$J133)-1))&gt;=9,기준정보!$C$7-1,기준정보!$C$7),VALUE(LEFT($J133,FIND("월",$J133)-1)),1+7*(VALUE(SUBSTITUTE(MID($J133,FIND("월",$J133)+1,5),"주",""))-1)),""))</f>
        <v>46440</v>
      </c>
      <c r="L133" s="28" t="n">
        <f aca="false">IF($K133="","",$K133-기준정보!$C$5)</f>
        <v>46426</v>
      </c>
      <c r="M133" s="28" t="n">
        <f aca="false">IF($L133="","",$L133-기준정보!$C$6)</f>
        <v>46336</v>
      </c>
      <c r="N133" s="29" t="n">
        <f aca="false">IF($M133="","",$M133-기준정보!$C$4)</f>
        <v>94</v>
      </c>
      <c r="O133" s="27" t="s">
        <v>70</v>
      </c>
      <c r="P133" s="27" t="s">
        <v>71</v>
      </c>
      <c r="Q133" s="30"/>
      <c r="R133" s="26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S133" s="26" t="s">
        <v>231</v>
      </c>
      <c r="T133" s="25" t="s">
        <v>78</v>
      </c>
      <c r="U133" s="31" t="n">
        <v>1200</v>
      </c>
      <c r="V133" s="26" t="s">
        <v>479</v>
      </c>
      <c r="W133" s="26" t="str">
        <f aca="false">IF($K133="","출고일 미정",IF($O133="X","작지 미발행",IF($O133="부분","작지 일부 미발행",IF(AND($Q133&lt;&gt;"",$Q133&gt;$M133),"소재입고 마감("&amp;TEXT($M133,"MM/DD")&amp;") 초과",IF($O133="","발행여부 확인 필요",IF($Q133="","소재 입고일정 확인 필요","정상"))))))</f>
        <v>소재 입고일정 확인 필요</v>
      </c>
      <c r="X133" s="24" t="str">
        <f aca="false">IF($K133="","",IF(OR(LEFT($W133,2)="작지",LEFT($W133,4)="소재입고"),IF(LEFT($G133,1)="S","★ 납기위험(S코드)","◆ 지연주의"),IF($W133="정상","✓ 정상","? 확인필요")))</f>
        <v>? 확인필요</v>
      </c>
      <c r="Y133" s="27"/>
      <c r="Z133" s="32"/>
    </row>
    <row r="134" customFormat="false" ht="15" hidden="false" customHeight="false" outlineLevel="0" collapsed="false">
      <c r="A134" s="24" t="n">
        <v>130</v>
      </c>
      <c r="B134" s="25" t="s">
        <v>208</v>
      </c>
      <c r="C134" s="25" t="s">
        <v>213</v>
      </c>
      <c r="D134" s="26" t="s">
        <v>480</v>
      </c>
      <c r="E134" s="25" t="s">
        <v>481</v>
      </c>
      <c r="F134" s="26" t="s">
        <v>482</v>
      </c>
      <c r="G134" s="24" t="str">
        <f aca="false">IF($D134="","",IF(MID($D134,5,1)="S","S(봄)",IF(MID($D134,5,1)="M","M(여름)",IF(MID($D134,5,1)="X","X(사계절)",MID($D134,5,1)))))</f>
        <v>M(여름)</v>
      </c>
      <c r="H134" s="25" t="s">
        <v>67</v>
      </c>
      <c r="I134" s="24"/>
      <c r="J134" s="27" t="s">
        <v>447</v>
      </c>
      <c r="K134" s="28" t="n">
        <f aca="false">IF($J134="","",IFERROR(DATE(IF(VALUE(LEFT($J134,FIND("월",$J134)-1))&gt;=9,기준정보!$C$7-1,기준정보!$C$7),VALUE(LEFT($J134,FIND("월",$J134)-1)),1+7*(VALUE(SUBSTITUTE(MID($J134,FIND("월",$J134)+1,5),"주",""))-1)),""))</f>
        <v>46440</v>
      </c>
      <c r="L134" s="28" t="n">
        <f aca="false">IF($K134="","",$K134-기준정보!$C$5)</f>
        <v>46426</v>
      </c>
      <c r="M134" s="28" t="n">
        <f aca="false">IF($L134="","",$L134-기준정보!$C$6)</f>
        <v>46336</v>
      </c>
      <c r="N134" s="29" t="n">
        <f aca="false">IF($M134="","",$M134-기준정보!$C$4)</f>
        <v>94</v>
      </c>
      <c r="O134" s="27" t="s">
        <v>70</v>
      </c>
      <c r="P134" s="27" t="s">
        <v>71</v>
      </c>
      <c r="Q134" s="30"/>
      <c r="R134" s="26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S134" s="25" t="s">
        <v>94</v>
      </c>
      <c r="T134" s="25" t="s">
        <v>73</v>
      </c>
      <c r="U134" s="31" t="n">
        <v>12000</v>
      </c>
      <c r="V134" s="26" t="s">
        <v>479</v>
      </c>
      <c r="W134" s="26" t="str">
        <f aca="false">IF($K134="","출고일 미정",IF($O134="X","작지 미발행",IF($O134="부분","작지 일부 미발행",IF(AND($Q134&lt;&gt;"",$Q134&gt;$M134),"소재입고 마감("&amp;TEXT($M134,"MM/DD")&amp;") 초과",IF($O134="","발행여부 확인 필요",IF($Q134="","소재 입고일정 확인 필요","정상"))))))</f>
        <v>소재 입고일정 확인 필요</v>
      </c>
      <c r="X134" s="24" t="str">
        <f aca="false">IF($K134="","",IF(OR(LEFT($W134,2)="작지",LEFT($W134,4)="소재입고"),IF(LEFT($G134,1)="S","★ 납기위험(S코드)","◆ 지연주의"),IF($W134="정상","✓ 정상","? 확인필요")))</f>
        <v>? 확인필요</v>
      </c>
      <c r="Y134" s="27"/>
      <c r="Z134" s="32"/>
    </row>
    <row r="135" customFormat="false" ht="15" hidden="false" customHeight="false" outlineLevel="0" collapsed="false">
      <c r="A135" s="24" t="n">
        <v>131</v>
      </c>
      <c r="B135" s="25" t="s">
        <v>192</v>
      </c>
      <c r="C135" s="25" t="s">
        <v>483</v>
      </c>
      <c r="D135" s="26" t="s">
        <v>484</v>
      </c>
      <c r="E135" s="25" t="s">
        <v>485</v>
      </c>
      <c r="F135" s="26" t="s">
        <v>486</v>
      </c>
      <c r="G135" s="24" t="str">
        <f aca="false">IF($D135="","",IF(MID($D135,5,1)="S","S(봄)",IF(MID($D135,5,1)="M","M(여름)",IF(MID($D135,5,1)="X","X(사계절)",MID($D135,5,1)))))</f>
        <v>M(여름)</v>
      </c>
      <c r="H135" s="25" t="s">
        <v>67</v>
      </c>
      <c r="I135" s="24"/>
      <c r="J135" s="27" t="s">
        <v>447</v>
      </c>
      <c r="K135" s="28" t="n">
        <f aca="false">IF($J135="","",IFERROR(DATE(IF(VALUE(LEFT($J135,FIND("월",$J135)-1))&gt;=9,기준정보!$C$7-1,기준정보!$C$7),VALUE(LEFT($J135,FIND("월",$J135)-1)),1+7*(VALUE(SUBSTITUTE(MID($J135,FIND("월",$J135)+1,5),"주",""))-1)),""))</f>
        <v>46440</v>
      </c>
      <c r="L135" s="28" t="n">
        <f aca="false">IF($K135="","",$K135-기준정보!$C$5)</f>
        <v>46426</v>
      </c>
      <c r="M135" s="28" t="n">
        <f aca="false">IF($L135="","",$L135-기준정보!$C$6)</f>
        <v>46336</v>
      </c>
      <c r="N135" s="29" t="n">
        <f aca="false">IF($M135="","",$M135-기준정보!$C$4)</f>
        <v>94</v>
      </c>
      <c r="O135" s="27" t="s">
        <v>71</v>
      </c>
      <c r="P135" s="27" t="s">
        <v>71</v>
      </c>
      <c r="Q135" s="30"/>
      <c r="R135" s="26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S135" s="25" t="s">
        <v>487</v>
      </c>
      <c r="T135" s="25" t="s">
        <v>73</v>
      </c>
      <c r="U135" s="31" t="n">
        <v>4700</v>
      </c>
      <c r="V135" s="26"/>
      <c r="W135" s="26" t="str">
        <f aca="false">IF($K135="","출고일 미정",IF($O135="X","작지 미발행",IF($O135="부분","작지 일부 미발행",IF(AND($Q135&lt;&gt;"",$Q135&gt;$M135),"소재입고 마감("&amp;TEXT($M135,"MM/DD")&amp;") 초과",IF($O135="","발행여부 확인 필요",IF($Q135="","소재 입고일정 확인 필요","정상"))))))</f>
        <v>작지 미발행</v>
      </c>
      <c r="X135" s="24" t="str">
        <f aca="false">IF($K135="","",IF(OR(LEFT($W135,2)="작지",LEFT($W135,4)="소재입고"),IF(LEFT($G135,1)="S","★ 납기위험(S코드)","◆ 지연주의"),IF($W135="정상","✓ 정상","? 확인필요")))</f>
        <v>◆ 지연주의</v>
      </c>
      <c r="Y135" s="27"/>
      <c r="Z135" s="32"/>
    </row>
    <row r="136" customFormat="false" ht="15" hidden="false" customHeight="false" outlineLevel="0" collapsed="false">
      <c r="A136" s="24" t="n">
        <v>132</v>
      </c>
      <c r="B136" s="25" t="s">
        <v>192</v>
      </c>
      <c r="C136" s="25" t="s">
        <v>483</v>
      </c>
      <c r="D136" s="26" t="s">
        <v>488</v>
      </c>
      <c r="E136" s="25" t="s">
        <v>489</v>
      </c>
      <c r="F136" s="26" t="s">
        <v>490</v>
      </c>
      <c r="G136" s="24" t="str">
        <f aca="false">IF($D136="","",IF(MID($D136,5,1)="S","S(봄)",IF(MID($D136,5,1)="M","M(여름)",IF(MID($D136,5,1)="X","X(사계절)",MID($D136,5,1)))))</f>
        <v>M(여름)</v>
      </c>
      <c r="H136" s="25" t="s">
        <v>67</v>
      </c>
      <c r="I136" s="24"/>
      <c r="J136" s="27" t="s">
        <v>447</v>
      </c>
      <c r="K136" s="28" t="n">
        <f aca="false">IF($J136="","",IFERROR(DATE(IF(VALUE(LEFT($J136,FIND("월",$J136)-1))&gt;=9,기준정보!$C$7-1,기준정보!$C$7),VALUE(LEFT($J136,FIND("월",$J136)-1)),1+7*(VALUE(SUBSTITUTE(MID($J136,FIND("월",$J136)+1,5),"주",""))-1)),""))</f>
        <v>46440</v>
      </c>
      <c r="L136" s="28" t="n">
        <f aca="false">IF($K136="","",$K136-기준정보!$C$5)</f>
        <v>46426</v>
      </c>
      <c r="M136" s="28" t="n">
        <f aca="false">IF($L136="","",$L136-기준정보!$C$6)</f>
        <v>46336</v>
      </c>
      <c r="N136" s="29" t="n">
        <f aca="false">IF($M136="","",$M136-기준정보!$C$4)</f>
        <v>94</v>
      </c>
      <c r="O136" s="27" t="s">
        <v>71</v>
      </c>
      <c r="P136" s="27" t="s">
        <v>71</v>
      </c>
      <c r="Q136" s="30"/>
      <c r="R136" s="26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S136" s="25" t="s">
        <v>487</v>
      </c>
      <c r="T136" s="25" t="s">
        <v>73</v>
      </c>
      <c r="U136" s="31" t="n">
        <v>4500</v>
      </c>
      <c r="V136" s="26"/>
      <c r="W136" s="26" t="str">
        <f aca="false">IF($K136="","출고일 미정",IF($O136="X","작지 미발행",IF($O136="부분","작지 일부 미발행",IF(AND($Q136&lt;&gt;"",$Q136&gt;$M136),"소재입고 마감("&amp;TEXT($M136,"MM/DD")&amp;") 초과",IF($O136="","발행여부 확인 필요",IF($Q136="","소재 입고일정 확인 필요","정상"))))))</f>
        <v>작지 미발행</v>
      </c>
      <c r="X136" s="24" t="str">
        <f aca="false">IF($K136="","",IF(OR(LEFT($W136,2)="작지",LEFT($W136,4)="소재입고"),IF(LEFT($G136,1)="S","★ 납기위험(S코드)","◆ 지연주의"),IF($W136="정상","✓ 정상","? 확인필요")))</f>
        <v>◆ 지연주의</v>
      </c>
      <c r="Y136" s="27"/>
      <c r="Z136" s="32"/>
    </row>
    <row r="137" customFormat="false" ht="15" hidden="false" customHeight="false" outlineLevel="0" collapsed="false">
      <c r="A137" s="24" t="n">
        <v>133</v>
      </c>
      <c r="B137" s="25" t="s">
        <v>255</v>
      </c>
      <c r="C137" s="25" t="s">
        <v>256</v>
      </c>
      <c r="D137" s="26" t="s">
        <v>491</v>
      </c>
      <c r="E137" s="25" t="s">
        <v>492</v>
      </c>
      <c r="F137" s="26" t="s">
        <v>493</v>
      </c>
      <c r="G137" s="24" t="str">
        <f aca="false">IF($D137="","",IF(MID($D137,5,1)="S","S(봄)",IF(MID($D137,5,1)="M","M(여름)",IF(MID($D137,5,1)="X","X(사계절)",MID($D137,5,1)))))</f>
        <v>M(여름)</v>
      </c>
      <c r="H137" s="26" t="s">
        <v>197</v>
      </c>
      <c r="I137" s="24" t="s">
        <v>494</v>
      </c>
      <c r="J137" s="27" t="s">
        <v>447</v>
      </c>
      <c r="K137" s="28" t="n">
        <f aca="false">IF($J137="","",IFERROR(DATE(IF(VALUE(LEFT($J137,FIND("월",$J137)-1))&gt;=9,기준정보!$C$7-1,기준정보!$C$7),VALUE(LEFT($J137,FIND("월",$J137)-1)),1+7*(VALUE(SUBSTITUTE(MID($J137,FIND("월",$J137)+1,5),"주",""))-1)),""))</f>
        <v>46440</v>
      </c>
      <c r="L137" s="28" t="n">
        <f aca="false">IF($K137="","",$K137-기준정보!$C$5)</f>
        <v>46426</v>
      </c>
      <c r="M137" s="28" t="n">
        <f aca="false">IF($L137="","",$L137-기준정보!$C$6)</f>
        <v>46336</v>
      </c>
      <c r="N137" s="29" t="n">
        <f aca="false">IF($M137="","",$M137-기준정보!$C$4)</f>
        <v>94</v>
      </c>
      <c r="O137" s="27" t="s">
        <v>70</v>
      </c>
      <c r="P137" s="27" t="s">
        <v>71</v>
      </c>
      <c r="Q137" s="30"/>
      <c r="R137" s="26" t="str">
        <f aca="false">IF($H137="","",IF(AND(ISNUMBER(SEARCH("CMT",$H137)),OR(ISNUMBER(SEARCH("완사입",$H137)),ISNUMBER(SEARCH("ODM",$H137)))),"본사/생산처 혼재",IF(ISNUMBER(SEARCH("CMT",$H137)),"본사(소재팀)","생산처")))</f>
        <v>본사(소재팀)</v>
      </c>
      <c r="S137" s="26" t="s">
        <v>137</v>
      </c>
      <c r="T137" s="25" t="s">
        <v>73</v>
      </c>
      <c r="U137" s="31" t="n">
        <v>5000</v>
      </c>
      <c r="V137" s="26"/>
      <c r="W137" s="26" t="str">
        <f aca="false">IF($K137="","출고일 미정",IF($O137="X","작지 미발행",IF($O137="부분","작지 일부 미발행",IF(AND($Q137&lt;&gt;"",$Q137&gt;$M137),"소재입고 마감("&amp;TEXT($M137,"MM/DD")&amp;") 초과",IF($O137="","발행여부 확인 필요",IF($Q137="","소재 입고일정 확인 필요","정상"))))))</f>
        <v>소재 입고일정 확인 필요</v>
      </c>
      <c r="X137" s="24" t="str">
        <f aca="false">IF($K137="","",IF(OR(LEFT($W137,2)="작지",LEFT($W137,4)="소재입고"),IF(LEFT($G137,1)="S","★ 납기위험(S코드)","◆ 지연주의"),IF($W137="정상","✓ 정상","? 확인필요")))</f>
        <v>? 확인필요</v>
      </c>
      <c r="Y137" s="27"/>
      <c r="Z137" s="32"/>
    </row>
    <row r="138" customFormat="false" ht="15" hidden="false" customHeight="false" outlineLevel="0" collapsed="false">
      <c r="A138" s="24" t="n">
        <v>134</v>
      </c>
      <c r="B138" s="25" t="s">
        <v>255</v>
      </c>
      <c r="C138" s="25" t="s">
        <v>256</v>
      </c>
      <c r="D138" s="26" t="s">
        <v>495</v>
      </c>
      <c r="E138" s="25" t="s">
        <v>496</v>
      </c>
      <c r="F138" s="26" t="s">
        <v>107</v>
      </c>
      <c r="G138" s="24" t="str">
        <f aca="false">IF($D138="","",IF(MID($D138,5,1)="S","S(봄)",IF(MID($D138,5,1)="M","M(여름)",IF(MID($D138,5,1)="X","X(사계절)",MID($D138,5,1)))))</f>
        <v>M(여름)</v>
      </c>
      <c r="H138" s="26" t="s">
        <v>197</v>
      </c>
      <c r="I138" s="24" t="s">
        <v>497</v>
      </c>
      <c r="J138" s="27" t="s">
        <v>447</v>
      </c>
      <c r="K138" s="28" t="n">
        <f aca="false">IF($J138="","",IFERROR(DATE(IF(VALUE(LEFT($J138,FIND("월",$J138)-1))&gt;=9,기준정보!$C$7-1,기준정보!$C$7),VALUE(LEFT($J138,FIND("월",$J138)-1)),1+7*(VALUE(SUBSTITUTE(MID($J138,FIND("월",$J138)+1,5),"주",""))-1)),""))</f>
        <v>46440</v>
      </c>
      <c r="L138" s="28" t="n">
        <f aca="false">IF($K138="","",$K138-기준정보!$C$5)</f>
        <v>46426</v>
      </c>
      <c r="M138" s="28" t="n">
        <f aca="false">IF($L138="","",$L138-기준정보!$C$6)</f>
        <v>46336</v>
      </c>
      <c r="N138" s="29" t="n">
        <f aca="false">IF($M138="","",$M138-기준정보!$C$4)</f>
        <v>94</v>
      </c>
      <c r="O138" s="33" t="s">
        <v>498</v>
      </c>
      <c r="P138" s="27" t="s">
        <v>71</v>
      </c>
      <c r="Q138" s="30"/>
      <c r="R138" s="26" t="str">
        <f aca="false">IF($H138="","",IF(AND(ISNUMBER(SEARCH("CMT",$H138)),OR(ISNUMBER(SEARCH("완사입",$H138)),ISNUMBER(SEARCH("ODM",$H138)))),"본사/생산처 혼재",IF(ISNUMBER(SEARCH("CMT",$H138)),"본사(소재팀)","생산처")))</f>
        <v>본사(소재팀)</v>
      </c>
      <c r="S138" s="25" t="s">
        <v>87</v>
      </c>
      <c r="T138" s="25" t="s">
        <v>73</v>
      </c>
      <c r="U138" s="31" t="n">
        <v>1500</v>
      </c>
      <c r="V138" s="26"/>
      <c r="W138" s="26" t="str">
        <f aca="false">IF($K138="","출고일 미정",IF($O138="X","작지 미발행",IF($O138="부분","작지 일부 미발행",IF(AND($Q138&lt;&gt;"",$Q138&gt;$M138),"소재입고 마감("&amp;TEXT($M138,"MM/DD")&amp;") 초과",IF($O138="","발행여부 확인 필요",IF($Q138="","소재 입고일정 확인 필요","정상"))))))</f>
        <v>작지 일부 미발행</v>
      </c>
      <c r="X138" s="24" t="str">
        <f aca="false">IF($K138="","",IF(OR(LEFT($W138,2)="작지",LEFT($W138,4)="소재입고"),IF(LEFT($G138,1)="S","★ 납기위험(S코드)","◆ 지연주의"),IF($W138="정상","✓ 정상","? 확인필요")))</f>
        <v>◆ 지연주의</v>
      </c>
      <c r="Y138" s="27"/>
      <c r="Z138" s="32"/>
    </row>
    <row r="139" customFormat="false" ht="15" hidden="false" customHeight="false" outlineLevel="0" collapsed="false">
      <c r="A139" s="24" t="n">
        <v>135</v>
      </c>
      <c r="B139" s="25" t="s">
        <v>112</v>
      </c>
      <c r="C139" s="25" t="s">
        <v>256</v>
      </c>
      <c r="D139" s="26" t="s">
        <v>499</v>
      </c>
      <c r="E139" s="25" t="s">
        <v>500</v>
      </c>
      <c r="F139" s="26" t="s">
        <v>369</v>
      </c>
      <c r="G139" s="24" t="str">
        <f aca="false">IF($D139="","",IF(MID($D139,5,1)="S","S(봄)",IF(MID($D139,5,1)="M","M(여름)",IF(MID($D139,5,1)="X","X(사계절)",MID($D139,5,1)))))</f>
        <v>M(여름)</v>
      </c>
      <c r="H139" s="25" t="s">
        <v>67</v>
      </c>
      <c r="I139" s="24"/>
      <c r="J139" s="27" t="s">
        <v>447</v>
      </c>
      <c r="K139" s="28" t="n">
        <f aca="false">IF($J139="","",IFERROR(DATE(IF(VALUE(LEFT($J139,FIND("월",$J139)-1))&gt;=9,기준정보!$C$7-1,기준정보!$C$7),VALUE(LEFT($J139,FIND("월",$J139)-1)),1+7*(VALUE(SUBSTITUTE(MID($J139,FIND("월",$J139)+1,5),"주",""))-1)),""))</f>
        <v>46440</v>
      </c>
      <c r="L139" s="28" t="n">
        <f aca="false">IF($K139="","",$K139-기준정보!$C$5)</f>
        <v>46426</v>
      </c>
      <c r="M139" s="28" t="n">
        <f aca="false">IF($L139="","",$L139-기준정보!$C$6)</f>
        <v>46336</v>
      </c>
      <c r="N139" s="29" t="n">
        <f aca="false">IF($M139="","",$M139-기준정보!$C$4)</f>
        <v>94</v>
      </c>
      <c r="O139" s="27" t="s">
        <v>70</v>
      </c>
      <c r="P139" s="27" t="s">
        <v>71</v>
      </c>
      <c r="Q139" s="30"/>
      <c r="R139" s="26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S139" s="25" t="s">
        <v>501</v>
      </c>
      <c r="T139" s="25" t="s">
        <v>73</v>
      </c>
      <c r="U139" s="31" t="n">
        <v>2000</v>
      </c>
      <c r="V139" s="26" t="s">
        <v>447</v>
      </c>
      <c r="W139" s="26" t="str">
        <f aca="false">IF($K139="","출고일 미정",IF($O139="X","작지 미발행",IF($O139="부분","작지 일부 미발행",IF(AND($Q139&lt;&gt;"",$Q139&gt;$M139),"소재입고 마감("&amp;TEXT($M139,"MM/DD")&amp;") 초과",IF($O139="","발행여부 확인 필요",IF($Q139="","소재 입고일정 확인 필요","정상"))))))</f>
        <v>소재 입고일정 확인 필요</v>
      </c>
      <c r="X139" s="24" t="str">
        <f aca="false">IF($K139="","",IF(OR(LEFT($W139,2)="작지",LEFT($W139,4)="소재입고"),IF(LEFT($G139,1)="S","★ 납기위험(S코드)","◆ 지연주의"),IF($W139="정상","✓ 정상","? 확인필요")))</f>
        <v>? 확인필요</v>
      </c>
      <c r="Y139" s="27"/>
      <c r="Z139" s="32"/>
    </row>
    <row r="140" customFormat="false" ht="15" hidden="false" customHeight="false" outlineLevel="0" collapsed="false">
      <c r="A140" s="24" t="n">
        <v>136</v>
      </c>
      <c r="B140" s="25" t="s">
        <v>112</v>
      </c>
      <c r="C140" s="25" t="s">
        <v>256</v>
      </c>
      <c r="D140" s="26" t="s">
        <v>502</v>
      </c>
      <c r="E140" s="25" t="s">
        <v>503</v>
      </c>
      <c r="F140" s="26" t="s">
        <v>504</v>
      </c>
      <c r="G140" s="24" t="str">
        <f aca="false">IF($D140="","",IF(MID($D140,5,1)="S","S(봄)",IF(MID($D140,5,1)="M","M(여름)",IF(MID($D140,5,1)="X","X(사계절)",MID($D140,5,1)))))</f>
        <v>M(여름)</v>
      </c>
      <c r="H140" s="25" t="s">
        <v>67</v>
      </c>
      <c r="I140" s="24"/>
      <c r="J140" s="27" t="s">
        <v>447</v>
      </c>
      <c r="K140" s="28" t="n">
        <f aca="false">IF($J140="","",IFERROR(DATE(IF(VALUE(LEFT($J140,FIND("월",$J140)-1))&gt;=9,기준정보!$C$7-1,기준정보!$C$7),VALUE(LEFT($J140,FIND("월",$J140)-1)),1+7*(VALUE(SUBSTITUTE(MID($J140,FIND("월",$J140)+1,5),"주",""))-1)),""))</f>
        <v>46440</v>
      </c>
      <c r="L140" s="28" t="n">
        <f aca="false">IF($K140="","",$K140-기준정보!$C$5)</f>
        <v>46426</v>
      </c>
      <c r="M140" s="28" t="n">
        <f aca="false">IF($L140="","",$L140-기준정보!$C$6)</f>
        <v>46336</v>
      </c>
      <c r="N140" s="29" t="n">
        <f aca="false">IF($M140="","",$M140-기준정보!$C$4)</f>
        <v>94</v>
      </c>
      <c r="O140" s="27" t="s">
        <v>70</v>
      </c>
      <c r="P140" s="27" t="s">
        <v>71</v>
      </c>
      <c r="Q140" s="30"/>
      <c r="R140" s="26" t="str">
        <f aca="false">IF($H140="","",IF(AND(ISNUMBER(SEARCH("CMT",$H140)),OR(ISNUMBER(SEARCH("완사입",$H140)),ISNUMBER(SEARCH("ODM",$H140)))),"본사/생산처 혼재",IF(ISNUMBER(SEARCH("CMT",$H140)),"본사(소재팀)","생산처")))</f>
        <v>생산처</v>
      </c>
      <c r="S140" s="25" t="s">
        <v>501</v>
      </c>
      <c r="T140" s="25" t="s">
        <v>73</v>
      </c>
      <c r="U140" s="31" t="n">
        <v>1600</v>
      </c>
      <c r="V140" s="26" t="s">
        <v>505</v>
      </c>
      <c r="W140" s="26" t="str">
        <f aca="false">IF($K140="","출고일 미정",IF($O140="X","작지 미발행",IF($O140="부분","작지 일부 미발행",IF(AND($Q140&lt;&gt;"",$Q140&gt;$M140),"소재입고 마감("&amp;TEXT($M140,"MM/DD")&amp;") 초과",IF($O140="","발행여부 확인 필요",IF($Q140="","소재 입고일정 확인 필요","정상"))))))</f>
        <v>소재 입고일정 확인 필요</v>
      </c>
      <c r="X140" s="24" t="str">
        <f aca="false">IF($K140="","",IF(OR(LEFT($W140,2)="작지",LEFT($W140,4)="소재입고"),IF(LEFT($G140,1)="S","★ 납기위험(S코드)","◆ 지연주의"),IF($W140="정상","✓ 정상","? 확인필요")))</f>
        <v>? 확인필요</v>
      </c>
      <c r="Y140" s="27"/>
      <c r="Z140" s="32"/>
    </row>
    <row r="141" customFormat="false" ht="15" hidden="false" customHeight="false" outlineLevel="0" collapsed="false">
      <c r="A141" s="24" t="n">
        <v>137</v>
      </c>
      <c r="B141" s="25" t="s">
        <v>112</v>
      </c>
      <c r="C141" s="25" t="s">
        <v>113</v>
      </c>
      <c r="D141" s="26" t="s">
        <v>506</v>
      </c>
      <c r="E141" s="25" t="s">
        <v>507</v>
      </c>
      <c r="F141" s="26" t="s">
        <v>508</v>
      </c>
      <c r="G141" s="24" t="str">
        <f aca="false">IF($D141="","",IF(MID($D141,5,1)="S","S(봄)",IF(MID($D141,5,1)="M","M(여름)",IF(MID($D141,5,1)="X","X(사계절)",MID($D141,5,1)))))</f>
        <v>M(여름)</v>
      </c>
      <c r="H141" s="25" t="s">
        <v>67</v>
      </c>
      <c r="I141" s="24"/>
      <c r="J141" s="27" t="s">
        <v>447</v>
      </c>
      <c r="K141" s="28" t="n">
        <f aca="false">IF($J141="","",IFERROR(DATE(IF(VALUE(LEFT($J141,FIND("월",$J141)-1))&gt;=9,기준정보!$C$7-1,기준정보!$C$7),VALUE(LEFT($J141,FIND("월",$J141)-1)),1+7*(VALUE(SUBSTITUTE(MID($J141,FIND("월",$J141)+1,5),"주",""))-1)),""))</f>
        <v>46440</v>
      </c>
      <c r="L141" s="28" t="n">
        <f aca="false">IF($K141="","",$K141-기준정보!$C$5)</f>
        <v>46426</v>
      </c>
      <c r="M141" s="28" t="n">
        <f aca="false">IF($L141="","",$L141-기준정보!$C$6)</f>
        <v>46336</v>
      </c>
      <c r="N141" s="29" t="n">
        <f aca="false">IF($M141="","",$M141-기준정보!$C$4)</f>
        <v>94</v>
      </c>
      <c r="O141" s="27" t="s">
        <v>70</v>
      </c>
      <c r="P141" s="27" t="s">
        <v>71</v>
      </c>
      <c r="Q141" s="30"/>
      <c r="R141" s="26" t="str">
        <f aca="false">IF($H141="","",IF(AND(ISNUMBER(SEARCH("CMT",$H141)),OR(ISNUMBER(SEARCH("완사입",$H141)),ISNUMBER(SEARCH("ODM",$H141)))),"본사/생산처 혼재",IF(ISNUMBER(SEARCH("CMT",$H141)),"본사(소재팀)","생산처")))</f>
        <v>생산처</v>
      </c>
      <c r="S141" s="26" t="s">
        <v>231</v>
      </c>
      <c r="T141" s="25" t="s">
        <v>78</v>
      </c>
      <c r="U141" s="31" t="n">
        <v>10000</v>
      </c>
      <c r="V141" s="26"/>
      <c r="W141" s="26" t="str">
        <f aca="false">IF($K141="","출고일 미정",IF($O141="X","작지 미발행",IF($O141="부분","작지 일부 미발행",IF(AND($Q141&lt;&gt;"",$Q141&gt;$M141),"소재입고 마감("&amp;TEXT($M141,"MM/DD")&amp;") 초과",IF($O141="","발행여부 확인 필요",IF($Q141="","소재 입고일정 확인 필요","정상"))))))</f>
        <v>소재 입고일정 확인 필요</v>
      </c>
      <c r="X141" s="24" t="str">
        <f aca="false">IF($K141="","",IF(OR(LEFT($W141,2)="작지",LEFT($W141,4)="소재입고"),IF(LEFT($G141,1)="S","★ 납기위험(S코드)","◆ 지연주의"),IF($W141="정상","✓ 정상","? 확인필요")))</f>
        <v>? 확인필요</v>
      </c>
      <c r="Y141" s="27"/>
      <c r="Z141" s="32"/>
    </row>
    <row r="142" customFormat="false" ht="15" hidden="false" customHeight="false" outlineLevel="0" collapsed="false">
      <c r="A142" s="24" t="n">
        <v>138</v>
      </c>
      <c r="B142" s="25" t="s">
        <v>112</v>
      </c>
      <c r="C142" s="25" t="s">
        <v>113</v>
      </c>
      <c r="D142" s="26" t="s">
        <v>509</v>
      </c>
      <c r="E142" s="25" t="s">
        <v>510</v>
      </c>
      <c r="F142" s="26" t="s">
        <v>511</v>
      </c>
      <c r="G142" s="24" t="str">
        <f aca="false">IF($D142="","",IF(MID($D142,5,1)="S","S(봄)",IF(MID($D142,5,1)="M","M(여름)",IF(MID($D142,5,1)="X","X(사계절)",MID($D142,5,1)))))</f>
        <v>M(여름)</v>
      </c>
      <c r="H142" s="25" t="s">
        <v>67</v>
      </c>
      <c r="I142" s="24"/>
      <c r="J142" s="27" t="s">
        <v>447</v>
      </c>
      <c r="K142" s="28" t="n">
        <f aca="false">IF($J142="","",IFERROR(DATE(IF(VALUE(LEFT($J142,FIND("월",$J142)-1))&gt;=9,기준정보!$C$7-1,기준정보!$C$7),VALUE(LEFT($J142,FIND("월",$J142)-1)),1+7*(VALUE(SUBSTITUTE(MID($J142,FIND("월",$J142)+1,5),"주",""))-1)),""))</f>
        <v>46440</v>
      </c>
      <c r="L142" s="28" t="n">
        <f aca="false">IF($K142="","",$K142-기준정보!$C$5)</f>
        <v>46426</v>
      </c>
      <c r="M142" s="28" t="n">
        <f aca="false">IF($L142="","",$L142-기준정보!$C$6)</f>
        <v>46336</v>
      </c>
      <c r="N142" s="29" t="n">
        <f aca="false">IF($M142="","",$M142-기준정보!$C$4)</f>
        <v>94</v>
      </c>
      <c r="O142" s="27" t="s">
        <v>70</v>
      </c>
      <c r="P142" s="27" t="s">
        <v>71</v>
      </c>
      <c r="Q142" s="30"/>
      <c r="R142" s="26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S142" s="26" t="s">
        <v>231</v>
      </c>
      <c r="T142" s="25" t="s">
        <v>78</v>
      </c>
      <c r="U142" s="31" t="n">
        <v>1600</v>
      </c>
      <c r="V142" s="26" t="s">
        <v>447</v>
      </c>
      <c r="W142" s="26" t="str">
        <f aca="false">IF($K142="","출고일 미정",IF($O142="X","작지 미발행",IF($O142="부분","작지 일부 미발행",IF(AND($Q142&lt;&gt;"",$Q142&gt;$M142),"소재입고 마감("&amp;TEXT($M142,"MM/DD")&amp;") 초과",IF($O142="","발행여부 확인 필요",IF($Q142="","소재 입고일정 확인 필요","정상"))))))</f>
        <v>소재 입고일정 확인 필요</v>
      </c>
      <c r="X142" s="24" t="str">
        <f aca="false">IF($K142="","",IF(OR(LEFT($W142,2)="작지",LEFT($W142,4)="소재입고"),IF(LEFT($G142,1)="S","★ 납기위험(S코드)","◆ 지연주의"),IF($W142="정상","✓ 정상","? 확인필요")))</f>
        <v>? 확인필요</v>
      </c>
      <c r="Y142" s="27"/>
      <c r="Z142" s="32"/>
    </row>
    <row r="143" customFormat="false" ht="15" hidden="false" customHeight="false" outlineLevel="0" collapsed="false">
      <c r="A143" s="24" t="n">
        <v>139</v>
      </c>
      <c r="B143" s="25" t="s">
        <v>255</v>
      </c>
      <c r="C143" s="25" t="s">
        <v>242</v>
      </c>
      <c r="D143" s="26" t="s">
        <v>512</v>
      </c>
      <c r="E143" s="25" t="s">
        <v>513</v>
      </c>
      <c r="F143" s="26" t="s">
        <v>514</v>
      </c>
      <c r="G143" s="24" t="str">
        <f aca="false">IF($D143="","",IF(MID($D143,5,1)="S","S(봄)",IF(MID($D143,5,1)="M","M(여름)",IF(MID($D143,5,1)="X","X(사계절)",MID($D143,5,1)))))</f>
        <v>M(여름)</v>
      </c>
      <c r="H143" s="25" t="s">
        <v>67</v>
      </c>
      <c r="I143" s="24" t="s">
        <v>494</v>
      </c>
      <c r="J143" s="27" t="s">
        <v>447</v>
      </c>
      <c r="K143" s="28" t="n">
        <f aca="false">IF($J143="","",IFERROR(DATE(IF(VALUE(LEFT($J143,FIND("월",$J143)-1))&gt;=9,기준정보!$C$7-1,기준정보!$C$7),VALUE(LEFT($J143,FIND("월",$J143)-1)),1+7*(VALUE(SUBSTITUTE(MID($J143,FIND("월",$J143)+1,5),"주",""))-1)),""))</f>
        <v>46440</v>
      </c>
      <c r="L143" s="28" t="n">
        <f aca="false">IF($K143="","",$K143-기준정보!$C$5)</f>
        <v>46426</v>
      </c>
      <c r="M143" s="28" t="n">
        <f aca="false">IF($L143="","",$L143-기준정보!$C$6)</f>
        <v>46336</v>
      </c>
      <c r="N143" s="29" t="n">
        <f aca="false">IF($M143="","",$M143-기준정보!$C$4)</f>
        <v>94</v>
      </c>
      <c r="O143" s="27" t="s">
        <v>70</v>
      </c>
      <c r="P143" s="27" t="s">
        <v>71</v>
      </c>
      <c r="Q143" s="30"/>
      <c r="R143" s="26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S143" s="25" t="s">
        <v>77</v>
      </c>
      <c r="T143" s="25" t="s">
        <v>73</v>
      </c>
      <c r="U143" s="31" t="n">
        <v>3000</v>
      </c>
      <c r="V143" s="26"/>
      <c r="W143" s="26" t="str">
        <f aca="false">IF($K143="","출고일 미정",IF($O143="X","작지 미발행",IF($O143="부분","작지 일부 미발행",IF(AND($Q143&lt;&gt;"",$Q143&gt;$M143),"소재입고 마감("&amp;TEXT($M143,"MM/DD")&amp;") 초과",IF($O143="","발행여부 확인 필요",IF($Q143="","소재 입고일정 확인 필요","정상"))))))</f>
        <v>소재 입고일정 확인 필요</v>
      </c>
      <c r="X143" s="24" t="str">
        <f aca="false">IF($K143="","",IF(OR(LEFT($W143,2)="작지",LEFT($W143,4)="소재입고"),IF(LEFT($G143,1)="S","★ 납기위험(S코드)","◆ 지연주의"),IF($W143="정상","✓ 정상","? 확인필요")))</f>
        <v>? 확인필요</v>
      </c>
      <c r="Y143" s="27"/>
      <c r="Z143" s="32"/>
    </row>
    <row r="144" customFormat="false" ht="15" hidden="false" customHeight="false" outlineLevel="0" collapsed="false">
      <c r="A144" s="24" t="n">
        <v>140</v>
      </c>
      <c r="B144" s="25" t="s">
        <v>255</v>
      </c>
      <c r="C144" s="25" t="s">
        <v>242</v>
      </c>
      <c r="D144" s="26" t="s">
        <v>515</v>
      </c>
      <c r="E144" s="25" t="s">
        <v>516</v>
      </c>
      <c r="F144" s="26" t="s">
        <v>517</v>
      </c>
      <c r="G144" s="24" t="str">
        <f aca="false">IF($D144="","",IF(MID($D144,5,1)="S","S(봄)",IF(MID($D144,5,1)="M","M(여름)",IF(MID($D144,5,1)="X","X(사계절)",MID($D144,5,1)))))</f>
        <v>M(여름)</v>
      </c>
      <c r="H144" s="25" t="s">
        <v>67</v>
      </c>
      <c r="I144" s="24" t="s">
        <v>494</v>
      </c>
      <c r="J144" s="27" t="s">
        <v>447</v>
      </c>
      <c r="K144" s="28" t="n">
        <f aca="false">IF($J144="","",IFERROR(DATE(IF(VALUE(LEFT($J144,FIND("월",$J144)-1))&gt;=9,기준정보!$C$7-1,기준정보!$C$7),VALUE(LEFT($J144,FIND("월",$J144)-1)),1+7*(VALUE(SUBSTITUTE(MID($J144,FIND("월",$J144)+1,5),"주",""))-1)),""))</f>
        <v>46440</v>
      </c>
      <c r="L144" s="28" t="n">
        <f aca="false">IF($K144="","",$K144-기준정보!$C$5)</f>
        <v>46426</v>
      </c>
      <c r="M144" s="28" t="n">
        <f aca="false">IF($L144="","",$L144-기준정보!$C$6)</f>
        <v>46336</v>
      </c>
      <c r="N144" s="29" t="n">
        <f aca="false">IF($M144="","",$M144-기준정보!$C$4)</f>
        <v>94</v>
      </c>
      <c r="O144" s="27" t="s">
        <v>70</v>
      </c>
      <c r="P144" s="27" t="s">
        <v>71</v>
      </c>
      <c r="Q144" s="30"/>
      <c r="R144" s="26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S144" s="25" t="s">
        <v>254</v>
      </c>
      <c r="T144" s="25" t="s">
        <v>73</v>
      </c>
      <c r="U144" s="31" t="n">
        <v>3500</v>
      </c>
      <c r="V144" s="26"/>
      <c r="W144" s="26" t="str">
        <f aca="false">IF($K144="","출고일 미정",IF($O144="X","작지 미발행",IF($O144="부분","작지 일부 미발행",IF(AND($Q144&lt;&gt;"",$Q144&gt;$M144),"소재입고 마감("&amp;TEXT($M144,"MM/DD")&amp;") 초과",IF($O144="","발행여부 확인 필요",IF($Q144="","소재 입고일정 확인 필요","정상"))))))</f>
        <v>소재 입고일정 확인 필요</v>
      </c>
      <c r="X144" s="24" t="str">
        <f aca="false">IF($K144="","",IF(OR(LEFT($W144,2)="작지",LEFT($W144,4)="소재입고"),IF(LEFT($G144,1)="S","★ 납기위험(S코드)","◆ 지연주의"),IF($W144="정상","✓ 정상","? 확인필요")))</f>
        <v>? 확인필요</v>
      </c>
      <c r="Y144" s="27"/>
      <c r="Z144" s="32"/>
    </row>
    <row r="145" customFormat="false" ht="15" hidden="false" customHeight="false" outlineLevel="0" collapsed="false">
      <c r="A145" s="24" t="n">
        <v>141</v>
      </c>
      <c r="B145" s="25" t="s">
        <v>187</v>
      </c>
      <c r="C145" s="25" t="s">
        <v>242</v>
      </c>
      <c r="D145" s="26" t="s">
        <v>518</v>
      </c>
      <c r="E145" s="25" t="s">
        <v>519</v>
      </c>
      <c r="F145" s="26" t="s">
        <v>520</v>
      </c>
      <c r="G145" s="24" t="str">
        <f aca="false">IF($D145="","",IF(MID($D145,5,1)="S","S(봄)",IF(MID($D145,5,1)="M","M(여름)",IF(MID($D145,5,1)="X","X(사계절)",MID($D145,5,1)))))</f>
        <v>M(여름)</v>
      </c>
      <c r="H145" s="25" t="s">
        <v>67</v>
      </c>
      <c r="I145" s="24"/>
      <c r="J145" s="27" t="s">
        <v>447</v>
      </c>
      <c r="K145" s="28" t="n">
        <f aca="false">IF($J145="","",IFERROR(DATE(IF(VALUE(LEFT($J145,FIND("월",$J145)-1))&gt;=9,기준정보!$C$7-1,기준정보!$C$7),VALUE(LEFT($J145,FIND("월",$J145)-1)),1+7*(VALUE(SUBSTITUTE(MID($J145,FIND("월",$J145)+1,5),"주",""))-1)),""))</f>
        <v>46440</v>
      </c>
      <c r="L145" s="28" t="n">
        <f aca="false">IF($K145="","",$K145-기준정보!$C$5)</f>
        <v>46426</v>
      </c>
      <c r="M145" s="28" t="n">
        <f aca="false">IF($L145="","",$L145-기준정보!$C$6)</f>
        <v>46336</v>
      </c>
      <c r="N145" s="29" t="n">
        <f aca="false">IF($M145="","",$M145-기준정보!$C$4)</f>
        <v>94</v>
      </c>
      <c r="O145" s="27" t="s">
        <v>70</v>
      </c>
      <c r="P145" s="27"/>
      <c r="Q145" s="30"/>
      <c r="R145" s="26" t="str">
        <f aca="false">IF($H145="","",IF(AND(ISNUMBER(SEARCH("CMT",$H145)),OR(ISNUMBER(SEARCH("완사입",$H145)),ISNUMBER(SEARCH("ODM",$H145)))),"본사/생산처 혼재",IF(ISNUMBER(SEARCH("CMT",$H145)),"본사(소재팀)","생산처")))</f>
        <v>생산처</v>
      </c>
      <c r="S145" s="25" t="s">
        <v>77</v>
      </c>
      <c r="T145" s="26"/>
      <c r="U145" s="31" t="n">
        <v>3000</v>
      </c>
      <c r="V145" s="26" t="s">
        <v>447</v>
      </c>
      <c r="W145" s="26" t="str">
        <f aca="false">IF($K145="","출고일 미정",IF($O145="X","작지 미발행",IF($O145="부분","작지 일부 미발행",IF(AND($Q145&lt;&gt;"",$Q145&gt;$M145),"소재입고 마감("&amp;TEXT($M145,"MM/DD")&amp;") 초과",IF($O145="","발행여부 확인 필요",IF($Q145="","소재 입고일정 확인 필요","정상"))))))</f>
        <v>소재 입고일정 확인 필요</v>
      </c>
      <c r="X145" s="24" t="str">
        <f aca="false">IF($K145="","",IF(OR(LEFT($W145,2)="작지",LEFT($W145,4)="소재입고"),IF(LEFT($G145,1)="S","★ 납기위험(S코드)","◆ 지연주의"),IF($W145="정상","✓ 정상","? 확인필요")))</f>
        <v>? 확인필요</v>
      </c>
      <c r="Y145" s="27"/>
      <c r="Z145" s="32"/>
    </row>
    <row r="146" customFormat="false" ht="15" hidden="false" customHeight="false" outlineLevel="0" collapsed="false">
      <c r="A146" s="24" t="n">
        <v>142</v>
      </c>
      <c r="B146" s="25" t="s">
        <v>112</v>
      </c>
      <c r="C146" s="25" t="s">
        <v>113</v>
      </c>
      <c r="D146" s="26" t="s">
        <v>521</v>
      </c>
      <c r="E146" s="25" t="s">
        <v>522</v>
      </c>
      <c r="F146" s="26" t="s">
        <v>523</v>
      </c>
      <c r="G146" s="24" t="str">
        <f aca="false">IF($D146="","",IF(MID($D146,5,1)="S","S(봄)",IF(MID($D146,5,1)="M","M(여름)",IF(MID($D146,5,1)="X","X(사계절)",MID($D146,5,1)))))</f>
        <v>M(여름)</v>
      </c>
      <c r="H146" s="26" t="s">
        <v>117</v>
      </c>
      <c r="I146" s="24"/>
      <c r="J146" s="27" t="s">
        <v>447</v>
      </c>
      <c r="K146" s="28" t="n">
        <f aca="false">IF($J146="","",IFERROR(DATE(IF(VALUE(LEFT($J146,FIND("월",$J146)-1))&gt;=9,기준정보!$C$7-1,기준정보!$C$7),VALUE(LEFT($J146,FIND("월",$J146)-1)),1+7*(VALUE(SUBSTITUTE(MID($J146,FIND("월",$J146)+1,5),"주",""))-1)),""))</f>
        <v>46440</v>
      </c>
      <c r="L146" s="28" t="n">
        <f aca="false">IF($K146="","",$K146-기준정보!$C$5)</f>
        <v>46426</v>
      </c>
      <c r="M146" s="28" t="n">
        <f aca="false">IF($L146="","",$L146-기준정보!$C$6)</f>
        <v>46336</v>
      </c>
      <c r="N146" s="29" t="n">
        <f aca="false">IF($M146="","",$M146-기준정보!$C$4)</f>
        <v>94</v>
      </c>
      <c r="O146" s="27" t="s">
        <v>70</v>
      </c>
      <c r="P146" s="27" t="s">
        <v>71</v>
      </c>
      <c r="Q146" s="30"/>
      <c r="R146" s="26" t="str">
        <f aca="false">IF($H146="","",IF(AND(ISNUMBER(SEARCH("CMT",$H146)),OR(ISNUMBER(SEARCH("완사입",$H146)),ISNUMBER(SEARCH("ODM",$H146)))),"본사/생산처 혼재",IF(ISNUMBER(SEARCH("CMT",$H146)),"본사(소재팀)","생산처")))</f>
        <v>생산처</v>
      </c>
      <c r="S146" s="26" t="s">
        <v>118</v>
      </c>
      <c r="T146" s="25" t="s">
        <v>119</v>
      </c>
      <c r="U146" s="31" t="n">
        <v>9500</v>
      </c>
      <c r="V146" s="26" t="s">
        <v>447</v>
      </c>
      <c r="W146" s="26" t="str">
        <f aca="false">IF($K146="","출고일 미정",IF($O146="X","작지 미발행",IF($O146="부분","작지 일부 미발행",IF(AND($Q146&lt;&gt;"",$Q146&gt;$M146),"소재입고 마감("&amp;TEXT($M146,"MM/DD")&amp;") 초과",IF($O146="","발행여부 확인 필요",IF($Q146="","소재 입고일정 확인 필요","정상"))))))</f>
        <v>소재 입고일정 확인 필요</v>
      </c>
      <c r="X146" s="24" t="str">
        <f aca="false">IF($K146="","",IF(OR(LEFT($W146,2)="작지",LEFT($W146,4)="소재입고"),IF(LEFT($G146,1)="S","★ 납기위험(S코드)","◆ 지연주의"),IF($W146="정상","✓ 정상","? 확인필요")))</f>
        <v>? 확인필요</v>
      </c>
      <c r="Y146" s="27"/>
      <c r="Z146" s="32"/>
    </row>
    <row r="147" customFormat="false" ht="15" hidden="false" customHeight="false" outlineLevel="0" collapsed="false">
      <c r="A147" s="24" t="n">
        <v>143</v>
      </c>
      <c r="B147" s="25" t="s">
        <v>112</v>
      </c>
      <c r="C147" s="25" t="s">
        <v>113</v>
      </c>
      <c r="D147" s="26" t="s">
        <v>524</v>
      </c>
      <c r="E147" s="25" t="s">
        <v>525</v>
      </c>
      <c r="F147" s="26" t="s">
        <v>526</v>
      </c>
      <c r="G147" s="24" t="str">
        <f aca="false">IF($D147="","",IF(MID($D147,5,1)="S","S(봄)",IF(MID($D147,5,1)="M","M(여름)",IF(MID($D147,5,1)="X","X(사계절)",MID($D147,5,1)))))</f>
        <v>M(여름)</v>
      </c>
      <c r="H147" s="25" t="s">
        <v>67</v>
      </c>
      <c r="I147" s="24"/>
      <c r="J147" s="27" t="s">
        <v>447</v>
      </c>
      <c r="K147" s="28" t="n">
        <f aca="false">IF($J147="","",IFERROR(DATE(IF(VALUE(LEFT($J147,FIND("월",$J147)-1))&gt;=9,기준정보!$C$7-1,기준정보!$C$7),VALUE(LEFT($J147,FIND("월",$J147)-1)),1+7*(VALUE(SUBSTITUTE(MID($J147,FIND("월",$J147)+1,5),"주",""))-1)),""))</f>
        <v>46440</v>
      </c>
      <c r="L147" s="28" t="n">
        <f aca="false">IF($K147="","",$K147-기준정보!$C$5)</f>
        <v>46426</v>
      </c>
      <c r="M147" s="28" t="n">
        <f aca="false">IF($L147="","",$L147-기준정보!$C$6)</f>
        <v>46336</v>
      </c>
      <c r="N147" s="29" t="n">
        <f aca="false">IF($M147="","",$M147-기준정보!$C$4)</f>
        <v>94</v>
      </c>
      <c r="O147" s="27" t="s">
        <v>70</v>
      </c>
      <c r="P147" s="27" t="s">
        <v>71</v>
      </c>
      <c r="Q147" s="30"/>
      <c r="R147" s="26" t="str">
        <f aca="false">IF($H147="","",IF(AND(ISNUMBER(SEARCH("CMT",$H147)),OR(ISNUMBER(SEARCH("완사입",$H147)),ISNUMBER(SEARCH("ODM",$H147)))),"본사/생산처 혼재",IF(ISNUMBER(SEARCH("CMT",$H147)),"본사(소재팀)","생산처")))</f>
        <v>생산처</v>
      </c>
      <c r="S147" s="25" t="s">
        <v>299</v>
      </c>
      <c r="T147" s="25" t="s">
        <v>73</v>
      </c>
      <c r="U147" s="31" t="n">
        <v>2000</v>
      </c>
      <c r="V147" s="26"/>
      <c r="W147" s="26" t="str">
        <f aca="false">IF($K147="","출고일 미정",IF($O147="X","작지 미발행",IF($O147="부분","작지 일부 미발행",IF(AND($Q147&lt;&gt;"",$Q147&gt;$M147),"소재입고 마감("&amp;TEXT($M147,"MM/DD")&amp;") 초과",IF($O147="","발행여부 확인 필요",IF($Q147="","소재 입고일정 확인 필요","정상"))))))</f>
        <v>소재 입고일정 확인 필요</v>
      </c>
      <c r="X147" s="24" t="str">
        <f aca="false">IF($K147="","",IF(OR(LEFT($W147,2)="작지",LEFT($W147,4)="소재입고"),IF(LEFT($G147,1)="S","★ 납기위험(S코드)","◆ 지연주의"),IF($W147="정상","✓ 정상","? 확인필요")))</f>
        <v>? 확인필요</v>
      </c>
      <c r="Y147" s="27"/>
      <c r="Z147" s="32"/>
    </row>
    <row r="148" customFormat="false" ht="15" hidden="false" customHeight="false" outlineLevel="0" collapsed="false">
      <c r="A148" s="24" t="n">
        <v>144</v>
      </c>
      <c r="B148" s="25" t="s">
        <v>187</v>
      </c>
      <c r="C148" s="25" t="s">
        <v>188</v>
      </c>
      <c r="D148" s="26" t="s">
        <v>527</v>
      </c>
      <c r="E148" s="25" t="s">
        <v>528</v>
      </c>
      <c r="F148" s="26" t="s">
        <v>207</v>
      </c>
      <c r="G148" s="24" t="str">
        <f aca="false">IF($D148="","",IF(MID($D148,5,1)="S","S(봄)",IF(MID($D148,5,1)="M","M(여름)",IF(MID($D148,5,1)="X","X(사계절)",MID($D148,5,1)))))</f>
        <v>M(여름)</v>
      </c>
      <c r="H148" s="25" t="s">
        <v>67</v>
      </c>
      <c r="I148" s="24"/>
      <c r="J148" s="27" t="s">
        <v>529</v>
      </c>
      <c r="K148" s="28" t="n">
        <f aca="false">IF($J148="","",IFERROR(DATE(IF(VALUE(LEFT($J148,FIND("월",$J148)-1))&gt;=9,기준정보!$C$7-1,기준정보!$C$7),VALUE(LEFT($J148,FIND("월",$J148)-1)),1+7*(VALUE(SUBSTITUTE(MID($J148,FIND("월",$J148)+1,5),"주",""))-1)),""))</f>
        <v>46447</v>
      </c>
      <c r="L148" s="28" t="n">
        <f aca="false">IF($K148="","",$K148-기준정보!$C$5)</f>
        <v>46433</v>
      </c>
      <c r="M148" s="28" t="n">
        <f aca="false">IF($L148="","",$L148-기준정보!$C$6)</f>
        <v>46343</v>
      </c>
      <c r="N148" s="29" t="n">
        <f aca="false">IF($M148="","",$M148-기준정보!$C$4)</f>
        <v>101</v>
      </c>
      <c r="O148" s="27" t="s">
        <v>70</v>
      </c>
      <c r="P148" s="27" t="s">
        <v>71</v>
      </c>
      <c r="Q148" s="30"/>
      <c r="R148" s="26" t="str">
        <f aca="false">IF($H148="","",IF(AND(ISNUMBER(SEARCH("CMT",$H148)),OR(ISNUMBER(SEARCH("완사입",$H148)),ISNUMBER(SEARCH("ODM",$H148)))),"본사/생산처 혼재",IF(ISNUMBER(SEARCH("CMT",$H148)),"본사(소재팀)","생산처")))</f>
        <v>생산처</v>
      </c>
      <c r="S148" s="25" t="s">
        <v>77</v>
      </c>
      <c r="T148" s="26"/>
      <c r="U148" s="31" t="n">
        <v>1800</v>
      </c>
      <c r="V148" s="26" t="s">
        <v>529</v>
      </c>
      <c r="W148" s="26" t="str">
        <f aca="false">IF($K148="","출고일 미정",IF($O148="X","작지 미발행",IF($O148="부분","작지 일부 미발행",IF(AND($Q148&lt;&gt;"",$Q148&gt;$M148),"소재입고 마감("&amp;TEXT($M148,"MM/DD")&amp;") 초과",IF($O148="","발행여부 확인 필요",IF($Q148="","소재 입고일정 확인 필요","정상"))))))</f>
        <v>소재 입고일정 확인 필요</v>
      </c>
      <c r="X148" s="24" t="str">
        <f aca="false">IF($K148="","",IF(OR(LEFT($W148,2)="작지",LEFT($W148,4)="소재입고"),IF(LEFT($G148,1)="S","★ 납기위험(S코드)","◆ 지연주의"),IF($W148="정상","✓ 정상","? 확인필요")))</f>
        <v>? 확인필요</v>
      </c>
      <c r="Y148" s="27"/>
      <c r="Z148" s="32"/>
    </row>
    <row r="149" customFormat="false" ht="15" hidden="false" customHeight="false" outlineLevel="0" collapsed="false">
      <c r="A149" s="24" t="n">
        <v>145</v>
      </c>
      <c r="B149" s="25" t="s">
        <v>187</v>
      </c>
      <c r="C149" s="25" t="s">
        <v>188</v>
      </c>
      <c r="D149" s="26" t="s">
        <v>530</v>
      </c>
      <c r="E149" s="25" t="s">
        <v>531</v>
      </c>
      <c r="F149" s="26" t="s">
        <v>532</v>
      </c>
      <c r="G149" s="24" t="str">
        <f aca="false">IF($D149="","",IF(MID($D149,5,1)="S","S(봄)",IF(MID($D149,5,1)="M","M(여름)",IF(MID($D149,5,1)="X","X(사계절)",MID($D149,5,1)))))</f>
        <v>M(여름)</v>
      </c>
      <c r="H149" s="26" t="s">
        <v>197</v>
      </c>
      <c r="I149" s="24"/>
      <c r="J149" s="27" t="s">
        <v>529</v>
      </c>
      <c r="K149" s="28" t="n">
        <f aca="false">IF($J149="","",IFERROR(DATE(IF(VALUE(LEFT($J149,FIND("월",$J149)-1))&gt;=9,기준정보!$C$7-1,기준정보!$C$7),VALUE(LEFT($J149,FIND("월",$J149)-1)),1+7*(VALUE(SUBSTITUTE(MID($J149,FIND("월",$J149)+1,5),"주",""))-1)),""))</f>
        <v>46447</v>
      </c>
      <c r="L149" s="28" t="n">
        <f aca="false">IF($K149="","",$K149-기준정보!$C$5)</f>
        <v>46433</v>
      </c>
      <c r="M149" s="28" t="n">
        <f aca="false">IF($L149="","",$L149-기준정보!$C$6)</f>
        <v>46343</v>
      </c>
      <c r="N149" s="29" t="n">
        <f aca="false">IF($M149="","",$M149-기준정보!$C$4)</f>
        <v>101</v>
      </c>
      <c r="O149" s="27" t="s">
        <v>70</v>
      </c>
      <c r="P149" s="27" t="s">
        <v>71</v>
      </c>
      <c r="Q149" s="30"/>
      <c r="R149" s="26" t="str">
        <f aca="false">IF($H149="","",IF(AND(ISNUMBER(SEARCH("CMT",$H149)),OR(ISNUMBER(SEARCH("완사입",$H149)),ISNUMBER(SEARCH("ODM",$H149)))),"본사/생산처 혼재",IF(ISNUMBER(SEARCH("CMT",$H149)),"본사(소재팀)","생산처")))</f>
        <v>본사(소재팀)</v>
      </c>
      <c r="S149" s="25" t="s">
        <v>77</v>
      </c>
      <c r="T149" s="26"/>
      <c r="U149" s="31" t="n">
        <v>15000</v>
      </c>
      <c r="V149" s="26" t="s">
        <v>529</v>
      </c>
      <c r="W149" s="26" t="str">
        <f aca="false">IF($K149="","출고일 미정",IF($O149="X","작지 미발행",IF($O149="부분","작지 일부 미발행",IF(AND($Q149&lt;&gt;"",$Q149&gt;$M149),"소재입고 마감("&amp;TEXT($M149,"MM/DD")&amp;") 초과",IF($O149="","발행여부 확인 필요",IF($Q149="","소재 입고일정 확인 필요","정상"))))))</f>
        <v>소재 입고일정 확인 필요</v>
      </c>
      <c r="X149" s="24" t="str">
        <f aca="false">IF($K149="","",IF(OR(LEFT($W149,2)="작지",LEFT($W149,4)="소재입고"),IF(LEFT($G149,1)="S","★ 납기위험(S코드)","◆ 지연주의"),IF($W149="정상","✓ 정상","? 확인필요")))</f>
        <v>? 확인필요</v>
      </c>
      <c r="Y149" s="27"/>
      <c r="Z149" s="32"/>
    </row>
    <row r="150" customFormat="false" ht="15" hidden="false" customHeight="false" outlineLevel="0" collapsed="false">
      <c r="A150" s="24" t="n">
        <v>146</v>
      </c>
      <c r="B150" s="25" t="s">
        <v>187</v>
      </c>
      <c r="C150" s="25" t="s">
        <v>188</v>
      </c>
      <c r="D150" s="26" t="s">
        <v>533</v>
      </c>
      <c r="E150" s="25" t="s">
        <v>534</v>
      </c>
      <c r="F150" s="26" t="s">
        <v>535</v>
      </c>
      <c r="G150" s="24" t="str">
        <f aca="false">IF($D150="","",IF(MID($D150,5,1)="S","S(봄)",IF(MID($D150,5,1)="M","M(여름)",IF(MID($D150,5,1)="X","X(사계절)",MID($D150,5,1)))))</f>
        <v>M(여름)</v>
      </c>
      <c r="H150" s="26" t="s">
        <v>197</v>
      </c>
      <c r="I150" s="24"/>
      <c r="J150" s="27" t="s">
        <v>529</v>
      </c>
      <c r="K150" s="28" t="n">
        <f aca="false">IF($J150="","",IFERROR(DATE(IF(VALUE(LEFT($J150,FIND("월",$J150)-1))&gt;=9,기준정보!$C$7-1,기준정보!$C$7),VALUE(LEFT($J150,FIND("월",$J150)-1)),1+7*(VALUE(SUBSTITUTE(MID($J150,FIND("월",$J150)+1,5),"주",""))-1)),""))</f>
        <v>46447</v>
      </c>
      <c r="L150" s="28" t="n">
        <f aca="false">IF($K150="","",$K150-기준정보!$C$5)</f>
        <v>46433</v>
      </c>
      <c r="M150" s="28" t="n">
        <f aca="false">IF($L150="","",$L150-기준정보!$C$6)</f>
        <v>46343</v>
      </c>
      <c r="N150" s="29" t="n">
        <f aca="false">IF($M150="","",$M150-기준정보!$C$4)</f>
        <v>101</v>
      </c>
      <c r="O150" s="27" t="s">
        <v>70</v>
      </c>
      <c r="P150" s="27" t="s">
        <v>71</v>
      </c>
      <c r="Q150" s="30"/>
      <c r="R150" s="26" t="str">
        <f aca="false">IF($H150="","",IF(AND(ISNUMBER(SEARCH("CMT",$H150)),OR(ISNUMBER(SEARCH("완사입",$H150)),ISNUMBER(SEARCH("ODM",$H150)))),"본사/생산처 혼재",IF(ISNUMBER(SEARCH("CMT",$H150)),"본사(소재팀)","생산처")))</f>
        <v>본사(소재팀)</v>
      </c>
      <c r="S150" s="25" t="s">
        <v>77</v>
      </c>
      <c r="T150" s="26"/>
      <c r="U150" s="31" t="n">
        <v>6500</v>
      </c>
      <c r="V150" s="26" t="s">
        <v>529</v>
      </c>
      <c r="W150" s="26" t="str">
        <f aca="false">IF($K150="","출고일 미정",IF($O150="X","작지 미발행",IF($O150="부분","작지 일부 미발행",IF(AND($Q150&lt;&gt;"",$Q150&gt;$M150),"소재입고 마감("&amp;TEXT($M150,"MM/DD")&amp;") 초과",IF($O150="","발행여부 확인 필요",IF($Q150="","소재 입고일정 확인 필요","정상"))))))</f>
        <v>소재 입고일정 확인 필요</v>
      </c>
      <c r="X150" s="24" t="str">
        <f aca="false">IF($K150="","",IF(OR(LEFT($W150,2)="작지",LEFT($W150,4)="소재입고"),IF(LEFT($G150,1)="S","★ 납기위험(S코드)","◆ 지연주의"),IF($W150="정상","✓ 정상","? 확인필요")))</f>
        <v>? 확인필요</v>
      </c>
      <c r="Y150" s="27"/>
      <c r="Z150" s="32"/>
    </row>
    <row r="151" customFormat="false" ht="15" hidden="false" customHeight="false" outlineLevel="0" collapsed="false">
      <c r="A151" s="24" t="n">
        <v>147</v>
      </c>
      <c r="B151" s="25" t="s">
        <v>208</v>
      </c>
      <c r="C151" s="25" t="s">
        <v>188</v>
      </c>
      <c r="D151" s="26" t="s">
        <v>536</v>
      </c>
      <c r="E151" s="25" t="s">
        <v>537</v>
      </c>
      <c r="F151" s="26" t="s">
        <v>493</v>
      </c>
      <c r="G151" s="24" t="str">
        <f aca="false">IF($D151="","",IF(MID($D151,5,1)="S","S(봄)",IF(MID($D151,5,1)="M","M(여름)",IF(MID($D151,5,1)="X","X(사계절)",MID($D151,5,1)))))</f>
        <v>M(여름)</v>
      </c>
      <c r="H151" s="25" t="s">
        <v>67</v>
      </c>
      <c r="I151" s="24"/>
      <c r="J151" s="27" t="s">
        <v>529</v>
      </c>
      <c r="K151" s="28" t="n">
        <f aca="false">IF($J151="","",IFERROR(DATE(IF(VALUE(LEFT($J151,FIND("월",$J151)-1))&gt;=9,기준정보!$C$7-1,기준정보!$C$7),VALUE(LEFT($J151,FIND("월",$J151)-1)),1+7*(VALUE(SUBSTITUTE(MID($J151,FIND("월",$J151)+1,5),"주",""))-1)),""))</f>
        <v>46447</v>
      </c>
      <c r="L151" s="28" t="n">
        <f aca="false">IF($K151="","",$K151-기준정보!$C$5)</f>
        <v>46433</v>
      </c>
      <c r="M151" s="28" t="n">
        <f aca="false">IF($L151="","",$L151-기준정보!$C$6)</f>
        <v>46343</v>
      </c>
      <c r="N151" s="29" t="n">
        <f aca="false">IF($M151="","",$M151-기준정보!$C$4)</f>
        <v>101</v>
      </c>
      <c r="O151" s="27" t="s">
        <v>70</v>
      </c>
      <c r="P151" s="27" t="s">
        <v>71</v>
      </c>
      <c r="Q151" s="30"/>
      <c r="R151" s="26" t="str">
        <f aca="false">IF($H151="","",IF(AND(ISNUMBER(SEARCH("CMT",$H151)),OR(ISNUMBER(SEARCH("완사입",$H151)),ISNUMBER(SEARCH("ODM",$H151)))),"본사/생산처 혼재",IF(ISNUMBER(SEARCH("CMT",$H151)),"본사(소재팀)","생산처")))</f>
        <v>생산처</v>
      </c>
      <c r="S151" s="25" t="s">
        <v>77</v>
      </c>
      <c r="T151" s="25" t="s">
        <v>78</v>
      </c>
      <c r="U151" s="31" t="n">
        <v>1600</v>
      </c>
      <c r="V151" s="26"/>
      <c r="W151" s="26" t="str">
        <f aca="false">IF($K151="","출고일 미정",IF($O151="X","작지 미발행",IF($O151="부분","작지 일부 미발행",IF(AND($Q151&lt;&gt;"",$Q151&gt;$M151),"소재입고 마감("&amp;TEXT($M151,"MM/DD")&amp;") 초과",IF($O151="","발행여부 확인 필요",IF($Q151="","소재 입고일정 확인 필요","정상"))))))</f>
        <v>소재 입고일정 확인 필요</v>
      </c>
      <c r="X151" s="24" t="str">
        <f aca="false">IF($K151="","",IF(OR(LEFT($W151,2)="작지",LEFT($W151,4)="소재입고"),IF(LEFT($G151,1)="S","★ 납기위험(S코드)","◆ 지연주의"),IF($W151="정상","✓ 정상","? 확인필요")))</f>
        <v>? 확인필요</v>
      </c>
      <c r="Y151" s="27"/>
      <c r="Z151" s="32"/>
    </row>
    <row r="152" customFormat="false" ht="15" hidden="false" customHeight="false" outlineLevel="0" collapsed="false">
      <c r="A152" s="24" t="n">
        <v>148</v>
      </c>
      <c r="B152" s="25" t="s">
        <v>208</v>
      </c>
      <c r="C152" s="25" t="s">
        <v>188</v>
      </c>
      <c r="D152" s="26" t="s">
        <v>538</v>
      </c>
      <c r="E152" s="25" t="s">
        <v>539</v>
      </c>
      <c r="F152" s="26" t="s">
        <v>540</v>
      </c>
      <c r="G152" s="24" t="str">
        <f aca="false">IF($D152="","",IF(MID($D152,5,1)="S","S(봄)",IF(MID($D152,5,1)="M","M(여름)",IF(MID($D152,5,1)="X","X(사계절)",MID($D152,5,1)))))</f>
        <v>M(여름)</v>
      </c>
      <c r="H152" s="26" t="s">
        <v>197</v>
      </c>
      <c r="I152" s="24"/>
      <c r="J152" s="27" t="s">
        <v>529</v>
      </c>
      <c r="K152" s="28" t="n">
        <f aca="false">IF($J152="","",IFERROR(DATE(IF(VALUE(LEFT($J152,FIND("월",$J152)-1))&gt;=9,기준정보!$C$7-1,기준정보!$C$7),VALUE(LEFT($J152,FIND("월",$J152)-1)),1+7*(VALUE(SUBSTITUTE(MID($J152,FIND("월",$J152)+1,5),"주",""))-1)),""))</f>
        <v>46447</v>
      </c>
      <c r="L152" s="28" t="n">
        <f aca="false">IF($K152="","",$K152-기준정보!$C$5)</f>
        <v>46433</v>
      </c>
      <c r="M152" s="28" t="n">
        <f aca="false">IF($L152="","",$L152-기준정보!$C$6)</f>
        <v>46343</v>
      </c>
      <c r="N152" s="29" t="n">
        <f aca="false">IF($M152="","",$M152-기준정보!$C$4)</f>
        <v>101</v>
      </c>
      <c r="O152" s="27" t="s">
        <v>70</v>
      </c>
      <c r="P152" s="27" t="s">
        <v>71</v>
      </c>
      <c r="Q152" s="30"/>
      <c r="R152" s="26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S152" s="25" t="s">
        <v>77</v>
      </c>
      <c r="T152" s="25" t="s">
        <v>78</v>
      </c>
      <c r="U152" s="31" t="n">
        <v>27500</v>
      </c>
      <c r="V152" s="26"/>
      <c r="W152" s="26" t="str">
        <f aca="false">IF($K152="","출고일 미정",IF($O152="X","작지 미발행",IF($O152="부분","작지 일부 미발행",IF(AND($Q152&lt;&gt;"",$Q152&gt;$M152),"소재입고 마감("&amp;TEXT($M152,"MM/DD")&amp;") 초과",IF($O152="","발행여부 확인 필요",IF($Q152="","소재 입고일정 확인 필요","정상"))))))</f>
        <v>소재 입고일정 확인 필요</v>
      </c>
      <c r="X152" s="24" t="str">
        <f aca="false">IF($K152="","",IF(OR(LEFT($W152,2)="작지",LEFT($W152,4)="소재입고"),IF(LEFT($G152,1)="S","★ 납기위험(S코드)","◆ 지연주의"),IF($W152="정상","✓ 정상","? 확인필요")))</f>
        <v>? 확인필요</v>
      </c>
      <c r="Y152" s="27"/>
      <c r="Z152" s="32"/>
    </row>
    <row r="153" customFormat="false" ht="15" hidden="false" customHeight="false" outlineLevel="0" collapsed="false">
      <c r="A153" s="24" t="n">
        <v>149</v>
      </c>
      <c r="B153" s="25" t="s">
        <v>192</v>
      </c>
      <c r="C153" s="25" t="s">
        <v>213</v>
      </c>
      <c r="D153" s="26" t="s">
        <v>541</v>
      </c>
      <c r="E153" s="25" t="s">
        <v>542</v>
      </c>
      <c r="F153" s="26" t="s">
        <v>274</v>
      </c>
      <c r="G153" s="24" t="str">
        <f aca="false">IF($D153="","",IF(MID($D153,5,1)="S","S(봄)",IF(MID($D153,5,1)="M","M(여름)",IF(MID($D153,5,1)="X","X(사계절)",MID($D153,5,1)))))</f>
        <v>M(여름)</v>
      </c>
      <c r="H153" s="25" t="s">
        <v>67</v>
      </c>
      <c r="I153" s="24"/>
      <c r="J153" s="27" t="s">
        <v>529</v>
      </c>
      <c r="K153" s="28" t="n">
        <f aca="false">IF($J153="","",IFERROR(DATE(IF(VALUE(LEFT($J153,FIND("월",$J153)-1))&gt;=9,기준정보!$C$7-1,기준정보!$C$7),VALUE(LEFT($J153,FIND("월",$J153)-1)),1+7*(VALUE(SUBSTITUTE(MID($J153,FIND("월",$J153)+1,5),"주",""))-1)),""))</f>
        <v>46447</v>
      </c>
      <c r="L153" s="28" t="n">
        <f aca="false">IF($K153="","",$K153-기준정보!$C$5)</f>
        <v>46433</v>
      </c>
      <c r="M153" s="28" t="n">
        <f aca="false">IF($L153="","",$L153-기준정보!$C$6)</f>
        <v>46343</v>
      </c>
      <c r="N153" s="29" t="n">
        <f aca="false">IF($M153="","",$M153-기준정보!$C$4)</f>
        <v>101</v>
      </c>
      <c r="O153" s="27" t="s">
        <v>70</v>
      </c>
      <c r="P153" s="27" t="s">
        <v>71</v>
      </c>
      <c r="Q153" s="30"/>
      <c r="R153" s="26" t="str">
        <f aca="false">IF($H153="","",IF(AND(ISNUMBER(SEARCH("CMT",$H153)),OR(ISNUMBER(SEARCH("완사입",$H153)),ISNUMBER(SEARCH("ODM",$H153)))),"본사/생산처 혼재",IF(ISNUMBER(SEARCH("CMT",$H153)),"본사(소재팀)","생산처")))</f>
        <v>생산처</v>
      </c>
      <c r="S153" s="26" t="s">
        <v>231</v>
      </c>
      <c r="T153" s="25" t="s">
        <v>78</v>
      </c>
      <c r="U153" s="31" t="n">
        <v>4000</v>
      </c>
      <c r="V153" s="26" t="s">
        <v>529</v>
      </c>
      <c r="W153" s="26" t="str">
        <f aca="false">IF($K153="","출고일 미정",IF($O153="X","작지 미발행",IF($O153="부분","작지 일부 미발행",IF(AND($Q153&lt;&gt;"",$Q153&gt;$M153),"소재입고 마감("&amp;TEXT($M153,"MM/DD")&amp;") 초과",IF($O153="","발행여부 확인 필요",IF($Q153="","소재 입고일정 확인 필요","정상"))))))</f>
        <v>소재 입고일정 확인 필요</v>
      </c>
      <c r="X153" s="24" t="str">
        <f aca="false">IF($K153="","",IF(OR(LEFT($W153,2)="작지",LEFT($W153,4)="소재입고"),IF(LEFT($G153,1)="S","★ 납기위험(S코드)","◆ 지연주의"),IF($W153="정상","✓ 정상","? 확인필요")))</f>
        <v>? 확인필요</v>
      </c>
      <c r="Y153" s="27"/>
      <c r="Z153" s="32"/>
    </row>
    <row r="154" customFormat="false" ht="15" hidden="false" customHeight="false" outlineLevel="0" collapsed="false">
      <c r="A154" s="24" t="n">
        <v>150</v>
      </c>
      <c r="B154" s="25" t="s">
        <v>192</v>
      </c>
      <c r="C154" s="25" t="s">
        <v>193</v>
      </c>
      <c r="D154" s="26" t="s">
        <v>543</v>
      </c>
      <c r="E154" s="25" t="s">
        <v>542</v>
      </c>
      <c r="F154" s="26" t="s">
        <v>544</v>
      </c>
      <c r="G154" s="24" t="str">
        <f aca="false">IF($D154="","",IF(MID($D154,5,1)="S","S(봄)",IF(MID($D154,5,1)="M","M(여름)",IF(MID($D154,5,1)="X","X(사계절)",MID($D154,5,1)))))</f>
        <v>M(여름)</v>
      </c>
      <c r="H154" s="25" t="s">
        <v>67</v>
      </c>
      <c r="I154" s="24"/>
      <c r="J154" s="27" t="s">
        <v>529</v>
      </c>
      <c r="K154" s="28" t="n">
        <f aca="false">IF($J154="","",IFERROR(DATE(IF(VALUE(LEFT($J154,FIND("월",$J154)-1))&gt;=9,기준정보!$C$7-1,기준정보!$C$7),VALUE(LEFT($J154,FIND("월",$J154)-1)),1+7*(VALUE(SUBSTITUTE(MID($J154,FIND("월",$J154)+1,5),"주",""))-1)),""))</f>
        <v>46447</v>
      </c>
      <c r="L154" s="28" t="n">
        <f aca="false">IF($K154="","",$K154-기준정보!$C$5)</f>
        <v>46433</v>
      </c>
      <c r="M154" s="28" t="n">
        <f aca="false">IF($L154="","",$L154-기준정보!$C$6)</f>
        <v>46343</v>
      </c>
      <c r="N154" s="29" t="n">
        <f aca="false">IF($M154="","",$M154-기준정보!$C$4)</f>
        <v>101</v>
      </c>
      <c r="O154" s="27" t="s">
        <v>70</v>
      </c>
      <c r="P154" s="27" t="s">
        <v>71</v>
      </c>
      <c r="Q154" s="30"/>
      <c r="R154" s="26" t="str">
        <f aca="false">IF($H154="","",IF(AND(ISNUMBER(SEARCH("CMT",$H154)),OR(ISNUMBER(SEARCH("완사입",$H154)),ISNUMBER(SEARCH("ODM",$H154)))),"본사/생산처 혼재",IF(ISNUMBER(SEARCH("CMT",$H154)),"본사(소재팀)","생산처")))</f>
        <v>생산처</v>
      </c>
      <c r="S154" s="26" t="s">
        <v>231</v>
      </c>
      <c r="T154" s="25" t="s">
        <v>78</v>
      </c>
      <c r="U154" s="31" t="n">
        <v>4000</v>
      </c>
      <c r="V154" s="26" t="s">
        <v>529</v>
      </c>
      <c r="W154" s="26" t="str">
        <f aca="false">IF($K154="","출고일 미정",IF($O154="X","작지 미발행",IF($O154="부분","작지 일부 미발행",IF(AND($Q154&lt;&gt;"",$Q154&gt;$M154),"소재입고 마감("&amp;TEXT($M154,"MM/DD")&amp;") 초과",IF($O154="","발행여부 확인 필요",IF($Q154="","소재 입고일정 확인 필요","정상"))))))</f>
        <v>소재 입고일정 확인 필요</v>
      </c>
      <c r="X154" s="24" t="str">
        <f aca="false">IF($K154="","",IF(OR(LEFT($W154,2)="작지",LEFT($W154,4)="소재입고"),IF(LEFT($G154,1)="S","★ 납기위험(S코드)","◆ 지연주의"),IF($W154="정상","✓ 정상","? 확인필요")))</f>
        <v>? 확인필요</v>
      </c>
      <c r="Y154" s="27"/>
      <c r="Z154" s="32"/>
    </row>
    <row r="155" customFormat="false" ht="15" hidden="false" customHeight="false" outlineLevel="0" collapsed="false">
      <c r="A155" s="24" t="n">
        <v>151</v>
      </c>
      <c r="B155" s="25" t="s">
        <v>192</v>
      </c>
      <c r="C155" s="25" t="s">
        <v>213</v>
      </c>
      <c r="D155" s="26" t="s">
        <v>545</v>
      </c>
      <c r="E155" s="25" t="s">
        <v>546</v>
      </c>
      <c r="F155" s="26" t="s">
        <v>547</v>
      </c>
      <c r="G155" s="24" t="str">
        <f aca="false">IF($D155="","",IF(MID($D155,5,1)="S","S(봄)",IF(MID($D155,5,1)="M","M(여름)",IF(MID($D155,5,1)="X","X(사계절)",MID($D155,5,1)))))</f>
        <v>M(여름)</v>
      </c>
      <c r="H155" s="25" t="s">
        <v>67</v>
      </c>
      <c r="I155" s="24"/>
      <c r="J155" s="27" t="s">
        <v>529</v>
      </c>
      <c r="K155" s="28" t="n">
        <f aca="false">IF($J155="","",IFERROR(DATE(IF(VALUE(LEFT($J155,FIND("월",$J155)-1))&gt;=9,기준정보!$C$7-1,기준정보!$C$7),VALUE(LEFT($J155,FIND("월",$J155)-1)),1+7*(VALUE(SUBSTITUTE(MID($J155,FIND("월",$J155)+1,5),"주",""))-1)),""))</f>
        <v>46447</v>
      </c>
      <c r="L155" s="28" t="n">
        <f aca="false">IF($K155="","",$K155-기준정보!$C$5)</f>
        <v>46433</v>
      </c>
      <c r="M155" s="28" t="n">
        <f aca="false">IF($L155="","",$L155-기준정보!$C$6)</f>
        <v>46343</v>
      </c>
      <c r="N155" s="29" t="n">
        <f aca="false">IF($M155="","",$M155-기준정보!$C$4)</f>
        <v>101</v>
      </c>
      <c r="O155" s="27" t="s">
        <v>70</v>
      </c>
      <c r="P155" s="27" t="s">
        <v>71</v>
      </c>
      <c r="Q155" s="30"/>
      <c r="R155" s="26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S155" s="25" t="s">
        <v>94</v>
      </c>
      <c r="T155" s="25" t="s">
        <v>73</v>
      </c>
      <c r="U155" s="31" t="n">
        <v>3000</v>
      </c>
      <c r="V155" s="26" t="s">
        <v>529</v>
      </c>
      <c r="W155" s="26" t="str">
        <f aca="false">IF($K155="","출고일 미정",IF($O155="X","작지 미발행",IF($O155="부분","작지 일부 미발행",IF(AND($Q155&lt;&gt;"",$Q155&gt;$M155),"소재입고 마감("&amp;TEXT($M155,"MM/DD")&amp;") 초과",IF($O155="","발행여부 확인 필요",IF($Q155="","소재 입고일정 확인 필요","정상"))))))</f>
        <v>소재 입고일정 확인 필요</v>
      </c>
      <c r="X155" s="24" t="str">
        <f aca="false">IF($K155="","",IF(OR(LEFT($W155,2)="작지",LEFT($W155,4)="소재입고"),IF(LEFT($G155,1)="S","★ 납기위험(S코드)","◆ 지연주의"),IF($W155="정상","✓ 정상","? 확인필요")))</f>
        <v>? 확인필요</v>
      </c>
      <c r="Y155" s="27"/>
      <c r="Z155" s="32"/>
    </row>
    <row r="156" customFormat="false" ht="15" hidden="false" customHeight="false" outlineLevel="0" collapsed="false">
      <c r="A156" s="24" t="n">
        <v>152</v>
      </c>
      <c r="B156" s="25" t="s">
        <v>241</v>
      </c>
      <c r="C156" s="25" t="s">
        <v>242</v>
      </c>
      <c r="D156" s="26" t="s">
        <v>548</v>
      </c>
      <c r="E156" s="25" t="s">
        <v>549</v>
      </c>
      <c r="F156" s="26" t="s">
        <v>550</v>
      </c>
      <c r="G156" s="24" t="str">
        <f aca="false">IF($D156="","",IF(MID($D156,5,1)="S","S(봄)",IF(MID($D156,5,1)="M","M(여름)",IF(MID($D156,5,1)="X","X(사계절)",MID($D156,5,1)))))</f>
        <v>M(여름)</v>
      </c>
      <c r="H156" s="25" t="s">
        <v>67</v>
      </c>
      <c r="I156" s="24"/>
      <c r="J156" s="27" t="s">
        <v>529</v>
      </c>
      <c r="K156" s="28" t="n">
        <f aca="false">IF($J156="","",IFERROR(DATE(IF(VALUE(LEFT($J156,FIND("월",$J156)-1))&gt;=9,기준정보!$C$7-1,기준정보!$C$7),VALUE(LEFT($J156,FIND("월",$J156)-1)),1+7*(VALUE(SUBSTITUTE(MID($J156,FIND("월",$J156)+1,5),"주",""))-1)),""))</f>
        <v>46447</v>
      </c>
      <c r="L156" s="28" t="n">
        <f aca="false">IF($K156="","",$K156-기준정보!$C$5)</f>
        <v>46433</v>
      </c>
      <c r="M156" s="28" t="n">
        <f aca="false">IF($L156="","",$L156-기준정보!$C$6)</f>
        <v>46343</v>
      </c>
      <c r="N156" s="29" t="n">
        <f aca="false">IF($M156="","",$M156-기준정보!$C$4)</f>
        <v>101</v>
      </c>
      <c r="O156" s="27" t="s">
        <v>70</v>
      </c>
      <c r="P156" s="27" t="s">
        <v>71</v>
      </c>
      <c r="Q156" s="30"/>
      <c r="R156" s="26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S156" s="25" t="s">
        <v>77</v>
      </c>
      <c r="T156" s="25" t="s">
        <v>320</v>
      </c>
      <c r="U156" s="31" t="n">
        <v>3200</v>
      </c>
      <c r="V156" s="26" t="s">
        <v>529</v>
      </c>
      <c r="W156" s="26" t="str">
        <f aca="false">IF($K156="","출고일 미정",IF($O156="X","작지 미발행",IF($O156="부분","작지 일부 미발행",IF(AND($Q156&lt;&gt;"",$Q156&gt;$M156),"소재입고 마감("&amp;TEXT($M156,"MM/DD")&amp;") 초과",IF($O156="","발행여부 확인 필요",IF($Q156="","소재 입고일정 확인 필요","정상"))))))</f>
        <v>소재 입고일정 확인 필요</v>
      </c>
      <c r="X156" s="24" t="str">
        <f aca="false">IF($K156="","",IF(OR(LEFT($W156,2)="작지",LEFT($W156,4)="소재입고"),IF(LEFT($G156,1)="S","★ 납기위험(S코드)","◆ 지연주의"),IF($W156="정상","✓ 정상","? 확인필요")))</f>
        <v>? 확인필요</v>
      </c>
      <c r="Y156" s="27"/>
      <c r="Z156" s="32"/>
    </row>
    <row r="157" customFormat="false" ht="15" hidden="false" customHeight="false" outlineLevel="0" collapsed="false">
      <c r="A157" s="24" t="n">
        <v>153</v>
      </c>
      <c r="B157" s="25" t="s">
        <v>241</v>
      </c>
      <c r="C157" s="25" t="s">
        <v>250</v>
      </c>
      <c r="D157" s="26" t="s">
        <v>551</v>
      </c>
      <c r="E157" s="25" t="s">
        <v>552</v>
      </c>
      <c r="F157" s="26" t="s">
        <v>553</v>
      </c>
      <c r="G157" s="24" t="str">
        <f aca="false">IF($D157="","",IF(MID($D157,5,1)="S","S(봄)",IF(MID($D157,5,1)="M","M(여름)",IF(MID($D157,5,1)="X","X(사계절)",MID($D157,5,1)))))</f>
        <v>M(여름)</v>
      </c>
      <c r="H157" s="25" t="s">
        <v>67</v>
      </c>
      <c r="I157" s="24"/>
      <c r="J157" s="27" t="s">
        <v>529</v>
      </c>
      <c r="K157" s="28" t="n">
        <f aca="false">IF($J157="","",IFERROR(DATE(IF(VALUE(LEFT($J157,FIND("월",$J157)-1))&gt;=9,기준정보!$C$7-1,기준정보!$C$7),VALUE(LEFT($J157,FIND("월",$J157)-1)),1+7*(VALUE(SUBSTITUTE(MID($J157,FIND("월",$J157)+1,5),"주",""))-1)),""))</f>
        <v>46447</v>
      </c>
      <c r="L157" s="28" t="n">
        <f aca="false">IF($K157="","",$K157-기준정보!$C$5)</f>
        <v>46433</v>
      </c>
      <c r="M157" s="28" t="n">
        <f aca="false">IF($L157="","",$L157-기준정보!$C$6)</f>
        <v>46343</v>
      </c>
      <c r="N157" s="29" t="n">
        <f aca="false">IF($M157="","",$M157-기준정보!$C$4)</f>
        <v>101</v>
      </c>
      <c r="O157" s="27" t="s">
        <v>70</v>
      </c>
      <c r="P157" s="27" t="s">
        <v>71</v>
      </c>
      <c r="Q157" s="30"/>
      <c r="R157" s="26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S157" s="25" t="s">
        <v>254</v>
      </c>
      <c r="T157" s="25" t="s">
        <v>73</v>
      </c>
      <c r="U157" s="31" t="n">
        <v>12500</v>
      </c>
      <c r="V157" s="26" t="s">
        <v>529</v>
      </c>
      <c r="W157" s="26" t="str">
        <f aca="false">IF($K157="","출고일 미정",IF($O157="X","작지 미발행",IF($O157="부분","작지 일부 미발행",IF(AND($Q157&lt;&gt;"",$Q157&gt;$M157),"소재입고 마감("&amp;TEXT($M157,"MM/DD")&amp;") 초과",IF($O157="","발행여부 확인 필요",IF($Q157="","소재 입고일정 확인 필요","정상"))))))</f>
        <v>소재 입고일정 확인 필요</v>
      </c>
      <c r="X157" s="24" t="str">
        <f aca="false">IF($K157="","",IF(OR(LEFT($W157,2)="작지",LEFT($W157,4)="소재입고"),IF(LEFT($G157,1)="S","★ 납기위험(S코드)","◆ 지연주의"),IF($W157="정상","✓ 정상","? 확인필요")))</f>
        <v>? 확인필요</v>
      </c>
      <c r="Y157" s="27"/>
      <c r="Z157" s="32"/>
    </row>
    <row r="158" customFormat="false" ht="15" hidden="false" customHeight="false" outlineLevel="0" collapsed="false">
      <c r="A158" s="24" t="n">
        <v>154</v>
      </c>
      <c r="B158" s="25" t="s">
        <v>212</v>
      </c>
      <c r="C158" s="25" t="s">
        <v>554</v>
      </c>
      <c r="D158" s="26" t="s">
        <v>555</v>
      </c>
      <c r="E158" s="25" t="s">
        <v>556</v>
      </c>
      <c r="F158" s="26" t="s">
        <v>557</v>
      </c>
      <c r="G158" s="24" t="str">
        <f aca="false">IF($D158="","",IF(MID($D158,5,1)="S","S(봄)",IF(MID($D158,5,1)="M","M(여름)",IF(MID($D158,5,1)="X","X(사계절)",MID($D158,5,1)))))</f>
        <v>M(여름)</v>
      </c>
      <c r="H158" s="25" t="s">
        <v>67</v>
      </c>
      <c r="I158" s="24" t="s">
        <v>469</v>
      </c>
      <c r="J158" s="27" t="s">
        <v>529</v>
      </c>
      <c r="K158" s="28" t="n">
        <f aca="false">IF($J158="","",IFERROR(DATE(IF(VALUE(LEFT($J158,FIND("월",$J158)-1))&gt;=9,기준정보!$C$7-1,기준정보!$C$7),VALUE(LEFT($J158,FIND("월",$J158)-1)),1+7*(VALUE(SUBSTITUTE(MID($J158,FIND("월",$J158)+1,5),"주",""))-1)),""))</f>
        <v>46447</v>
      </c>
      <c r="L158" s="28" t="n">
        <f aca="false">IF($K158="","",$K158-기준정보!$C$5)</f>
        <v>46433</v>
      </c>
      <c r="M158" s="28" t="n">
        <f aca="false">IF($L158="","",$L158-기준정보!$C$6)</f>
        <v>46343</v>
      </c>
      <c r="N158" s="29" t="n">
        <f aca="false">IF($M158="","",$M158-기준정보!$C$4)</f>
        <v>101</v>
      </c>
      <c r="O158" s="27" t="s">
        <v>70</v>
      </c>
      <c r="P158" s="27" t="s">
        <v>71</v>
      </c>
      <c r="Q158" s="30"/>
      <c r="R158" s="26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S158" s="25" t="s">
        <v>72</v>
      </c>
      <c r="T158" s="25" t="s">
        <v>73</v>
      </c>
      <c r="U158" s="31" t="n">
        <v>250</v>
      </c>
      <c r="V158" s="26"/>
      <c r="W158" s="26" t="str">
        <f aca="false">IF($K158="","출고일 미정",IF($O158="X","작지 미발행",IF($O158="부분","작지 일부 미발행",IF(AND($Q158&lt;&gt;"",$Q158&gt;$M158),"소재입고 마감("&amp;TEXT($M158,"MM/DD")&amp;") 초과",IF($O158="","발행여부 확인 필요",IF($Q158="","소재 입고일정 확인 필요","정상"))))))</f>
        <v>소재 입고일정 확인 필요</v>
      </c>
      <c r="X158" s="24" t="str">
        <f aca="false">IF($K158="","",IF(OR(LEFT($W158,2)="작지",LEFT($W158,4)="소재입고"),IF(LEFT($G158,1)="S","★ 납기위험(S코드)","◆ 지연주의"),IF($W158="정상","✓ 정상","? 확인필요")))</f>
        <v>? 확인필요</v>
      </c>
      <c r="Y158" s="27"/>
      <c r="Z158" s="32"/>
    </row>
    <row r="159" customFormat="false" ht="15" hidden="false" customHeight="false" outlineLevel="0" collapsed="false">
      <c r="A159" s="24" t="n">
        <v>155</v>
      </c>
      <c r="B159" s="25" t="s">
        <v>212</v>
      </c>
      <c r="C159" s="25" t="s">
        <v>554</v>
      </c>
      <c r="D159" s="26" t="s">
        <v>558</v>
      </c>
      <c r="E159" s="25" t="s">
        <v>559</v>
      </c>
      <c r="F159" s="26" t="s">
        <v>560</v>
      </c>
      <c r="G159" s="24" t="str">
        <f aca="false">IF($D159="","",IF(MID($D159,5,1)="S","S(봄)",IF(MID($D159,5,1)="M","M(여름)",IF(MID($D159,5,1)="X","X(사계절)",MID($D159,5,1)))))</f>
        <v>M(여름)</v>
      </c>
      <c r="H159" s="25" t="s">
        <v>67</v>
      </c>
      <c r="I159" s="24" t="s">
        <v>469</v>
      </c>
      <c r="J159" s="27" t="s">
        <v>529</v>
      </c>
      <c r="K159" s="28" t="n">
        <f aca="false">IF($J159="","",IFERROR(DATE(IF(VALUE(LEFT($J159,FIND("월",$J159)-1))&gt;=9,기준정보!$C$7-1,기준정보!$C$7),VALUE(LEFT($J159,FIND("월",$J159)-1)),1+7*(VALUE(SUBSTITUTE(MID($J159,FIND("월",$J159)+1,5),"주",""))-1)),""))</f>
        <v>46447</v>
      </c>
      <c r="L159" s="28" t="n">
        <f aca="false">IF($K159="","",$K159-기준정보!$C$5)</f>
        <v>46433</v>
      </c>
      <c r="M159" s="28" t="n">
        <f aca="false">IF($L159="","",$L159-기준정보!$C$6)</f>
        <v>46343</v>
      </c>
      <c r="N159" s="29" t="n">
        <f aca="false">IF($M159="","",$M159-기준정보!$C$4)</f>
        <v>101</v>
      </c>
      <c r="O159" s="27" t="s">
        <v>70</v>
      </c>
      <c r="P159" s="27" t="s">
        <v>71</v>
      </c>
      <c r="Q159" s="30"/>
      <c r="R159" s="26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S159" s="25" t="s">
        <v>72</v>
      </c>
      <c r="T159" s="25" t="s">
        <v>73</v>
      </c>
      <c r="U159" s="31" t="n">
        <v>250</v>
      </c>
      <c r="V159" s="26"/>
      <c r="W159" s="26" t="str">
        <f aca="false">IF($K159="","출고일 미정",IF($O159="X","작지 미발행",IF($O159="부분","작지 일부 미발행",IF(AND($Q159&lt;&gt;"",$Q159&gt;$M159),"소재입고 마감("&amp;TEXT($M159,"MM/DD")&amp;") 초과",IF($O159="","발행여부 확인 필요",IF($Q159="","소재 입고일정 확인 필요","정상"))))))</f>
        <v>소재 입고일정 확인 필요</v>
      </c>
      <c r="X159" s="24" t="str">
        <f aca="false">IF($K159="","",IF(OR(LEFT($W159,2)="작지",LEFT($W159,4)="소재입고"),IF(LEFT($G159,1)="S","★ 납기위험(S코드)","◆ 지연주의"),IF($W159="정상","✓ 정상","? 확인필요")))</f>
        <v>? 확인필요</v>
      </c>
      <c r="Y159" s="27"/>
      <c r="Z159" s="32"/>
    </row>
    <row r="160" customFormat="false" ht="15" hidden="false" customHeight="false" outlineLevel="0" collapsed="false">
      <c r="A160" s="24" t="n">
        <v>156</v>
      </c>
      <c r="B160" s="25" t="s">
        <v>212</v>
      </c>
      <c r="C160" s="25" t="s">
        <v>81</v>
      </c>
      <c r="D160" s="26" t="s">
        <v>561</v>
      </c>
      <c r="E160" s="25" t="s">
        <v>562</v>
      </c>
      <c r="F160" s="26" t="s">
        <v>148</v>
      </c>
      <c r="G160" s="24" t="str">
        <f aca="false">IF($D160="","",IF(MID($D160,5,1)="S","S(봄)",IF(MID($D160,5,1)="M","M(여름)",IF(MID($D160,5,1)="X","X(사계절)",MID($D160,5,1)))))</f>
        <v>M(여름)</v>
      </c>
      <c r="H160" s="25" t="s">
        <v>67</v>
      </c>
      <c r="I160" s="24" t="s">
        <v>469</v>
      </c>
      <c r="J160" s="27" t="s">
        <v>529</v>
      </c>
      <c r="K160" s="28" t="n">
        <f aca="false">IF($J160="","",IFERROR(DATE(IF(VALUE(LEFT($J160,FIND("월",$J160)-1))&gt;=9,기준정보!$C$7-1,기준정보!$C$7),VALUE(LEFT($J160,FIND("월",$J160)-1)),1+7*(VALUE(SUBSTITUTE(MID($J160,FIND("월",$J160)+1,5),"주",""))-1)),""))</f>
        <v>46447</v>
      </c>
      <c r="L160" s="28" t="n">
        <f aca="false">IF($K160="","",$K160-기준정보!$C$5)</f>
        <v>46433</v>
      </c>
      <c r="M160" s="28" t="n">
        <f aca="false">IF($L160="","",$L160-기준정보!$C$6)</f>
        <v>46343</v>
      </c>
      <c r="N160" s="29" t="n">
        <f aca="false">IF($M160="","",$M160-기준정보!$C$4)</f>
        <v>101</v>
      </c>
      <c r="O160" s="27" t="s">
        <v>70</v>
      </c>
      <c r="P160" s="27" t="s">
        <v>71</v>
      </c>
      <c r="Q160" s="30"/>
      <c r="R160" s="26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S160" s="26" t="s">
        <v>137</v>
      </c>
      <c r="T160" s="25" t="s">
        <v>73</v>
      </c>
      <c r="U160" s="31" t="n">
        <v>400</v>
      </c>
      <c r="V160" s="26"/>
      <c r="W160" s="26" t="str">
        <f aca="false">IF($K160="","출고일 미정",IF($O160="X","작지 미발행",IF($O160="부분","작지 일부 미발행",IF(AND($Q160&lt;&gt;"",$Q160&gt;$M160),"소재입고 마감("&amp;TEXT($M160,"MM/DD")&amp;") 초과",IF($O160="","발행여부 확인 필요",IF($Q160="","소재 입고일정 확인 필요","정상"))))))</f>
        <v>소재 입고일정 확인 필요</v>
      </c>
      <c r="X160" s="24" t="str">
        <f aca="false">IF($K160="","",IF(OR(LEFT($W160,2)="작지",LEFT($W160,4)="소재입고"),IF(LEFT($G160,1)="S","★ 납기위험(S코드)","◆ 지연주의"),IF($W160="정상","✓ 정상","? 확인필요")))</f>
        <v>? 확인필요</v>
      </c>
      <c r="Y160" s="27"/>
      <c r="Z160" s="32"/>
    </row>
    <row r="161" customFormat="false" ht="15" hidden="false" customHeight="false" outlineLevel="0" collapsed="false">
      <c r="A161" s="24" t="n">
        <v>157</v>
      </c>
      <c r="B161" s="25" t="s">
        <v>212</v>
      </c>
      <c r="C161" s="25" t="s">
        <v>81</v>
      </c>
      <c r="D161" s="26" t="s">
        <v>563</v>
      </c>
      <c r="E161" s="25" t="s">
        <v>564</v>
      </c>
      <c r="F161" s="26" t="s">
        <v>565</v>
      </c>
      <c r="G161" s="24" t="str">
        <f aca="false">IF($D161="","",IF(MID($D161,5,1)="S","S(봄)",IF(MID($D161,5,1)="M","M(여름)",IF(MID($D161,5,1)="X","X(사계절)",MID($D161,5,1)))))</f>
        <v>M(여름)</v>
      </c>
      <c r="H161" s="25" t="s">
        <v>67</v>
      </c>
      <c r="I161" s="24" t="s">
        <v>469</v>
      </c>
      <c r="J161" s="27" t="s">
        <v>529</v>
      </c>
      <c r="K161" s="28" t="n">
        <f aca="false">IF($J161="","",IFERROR(DATE(IF(VALUE(LEFT($J161,FIND("월",$J161)-1))&gt;=9,기준정보!$C$7-1,기준정보!$C$7),VALUE(LEFT($J161,FIND("월",$J161)-1)),1+7*(VALUE(SUBSTITUTE(MID($J161,FIND("월",$J161)+1,5),"주",""))-1)),""))</f>
        <v>46447</v>
      </c>
      <c r="L161" s="28" t="n">
        <f aca="false">IF($K161="","",$K161-기준정보!$C$5)</f>
        <v>46433</v>
      </c>
      <c r="M161" s="28" t="n">
        <f aca="false">IF($L161="","",$L161-기준정보!$C$6)</f>
        <v>46343</v>
      </c>
      <c r="N161" s="29" t="n">
        <f aca="false">IF($M161="","",$M161-기준정보!$C$4)</f>
        <v>101</v>
      </c>
      <c r="O161" s="27" t="s">
        <v>70</v>
      </c>
      <c r="P161" s="27" t="s">
        <v>71</v>
      </c>
      <c r="Q161" s="30"/>
      <c r="R161" s="26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S161" s="26" t="s">
        <v>137</v>
      </c>
      <c r="T161" s="25" t="s">
        <v>73</v>
      </c>
      <c r="U161" s="31" t="n">
        <v>900</v>
      </c>
      <c r="V161" s="26"/>
      <c r="W161" s="26" t="str">
        <f aca="false">IF($K161="","출고일 미정",IF($O161="X","작지 미발행",IF($O161="부분","작지 일부 미발행",IF(AND($Q161&lt;&gt;"",$Q161&gt;$M161),"소재입고 마감("&amp;TEXT($M161,"MM/DD")&amp;") 초과",IF($O161="","발행여부 확인 필요",IF($Q161="","소재 입고일정 확인 필요","정상"))))))</f>
        <v>소재 입고일정 확인 필요</v>
      </c>
      <c r="X161" s="24" t="str">
        <f aca="false">IF($K161="","",IF(OR(LEFT($W161,2)="작지",LEFT($W161,4)="소재입고"),IF(LEFT($G161,1)="S","★ 납기위험(S코드)","◆ 지연주의"),IF($W161="정상","✓ 정상","? 확인필요")))</f>
        <v>? 확인필요</v>
      </c>
      <c r="Y161" s="27"/>
      <c r="Z161" s="32"/>
    </row>
    <row r="162" customFormat="false" ht="15" hidden="false" customHeight="false" outlineLevel="0" collapsed="false">
      <c r="A162" s="24" t="n">
        <v>158</v>
      </c>
      <c r="B162" s="25" t="s">
        <v>212</v>
      </c>
      <c r="C162" s="25" t="s">
        <v>81</v>
      </c>
      <c r="D162" s="26" t="s">
        <v>566</v>
      </c>
      <c r="E162" s="25" t="s">
        <v>567</v>
      </c>
      <c r="F162" s="26" t="s">
        <v>568</v>
      </c>
      <c r="G162" s="24" t="str">
        <f aca="false">IF($D162="","",IF(MID($D162,5,1)="S","S(봄)",IF(MID($D162,5,1)="M","M(여름)",IF(MID($D162,5,1)="X","X(사계절)",MID($D162,5,1)))))</f>
        <v>M(여름)</v>
      </c>
      <c r="H162" s="25" t="s">
        <v>67</v>
      </c>
      <c r="I162" s="24" t="s">
        <v>469</v>
      </c>
      <c r="J162" s="27" t="s">
        <v>529</v>
      </c>
      <c r="K162" s="28" t="n">
        <f aca="false">IF($J162="","",IFERROR(DATE(IF(VALUE(LEFT($J162,FIND("월",$J162)-1))&gt;=9,기준정보!$C$7-1,기준정보!$C$7),VALUE(LEFT($J162,FIND("월",$J162)-1)),1+7*(VALUE(SUBSTITUTE(MID($J162,FIND("월",$J162)+1,5),"주",""))-1)),""))</f>
        <v>46447</v>
      </c>
      <c r="L162" s="28" t="n">
        <f aca="false">IF($K162="","",$K162-기준정보!$C$5)</f>
        <v>46433</v>
      </c>
      <c r="M162" s="28" t="n">
        <f aca="false">IF($L162="","",$L162-기준정보!$C$6)</f>
        <v>46343</v>
      </c>
      <c r="N162" s="29" t="n">
        <f aca="false">IF($M162="","",$M162-기준정보!$C$4)</f>
        <v>101</v>
      </c>
      <c r="O162" s="27" t="s">
        <v>70</v>
      </c>
      <c r="P162" s="27" t="s">
        <v>71</v>
      </c>
      <c r="Q162" s="30"/>
      <c r="R162" s="26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S162" s="26" t="s">
        <v>231</v>
      </c>
      <c r="T162" s="25" t="s">
        <v>73</v>
      </c>
      <c r="U162" s="31" t="n">
        <v>350</v>
      </c>
      <c r="V162" s="26"/>
      <c r="W162" s="26" t="str">
        <f aca="false">IF($K162="","출고일 미정",IF($O162="X","작지 미발행",IF($O162="부분","작지 일부 미발행",IF(AND($Q162&lt;&gt;"",$Q162&gt;$M162),"소재입고 마감("&amp;TEXT($M162,"MM/DD")&amp;") 초과",IF($O162="","발행여부 확인 필요",IF($Q162="","소재 입고일정 확인 필요","정상"))))))</f>
        <v>소재 입고일정 확인 필요</v>
      </c>
      <c r="X162" s="24" t="str">
        <f aca="false">IF($K162="","",IF(OR(LEFT($W162,2)="작지",LEFT($W162,4)="소재입고"),IF(LEFT($G162,1)="S","★ 납기위험(S코드)","◆ 지연주의"),IF($W162="정상","✓ 정상","? 확인필요")))</f>
        <v>? 확인필요</v>
      </c>
      <c r="Y162" s="27"/>
      <c r="Z162" s="32"/>
    </row>
    <row r="163" customFormat="false" ht="15" hidden="false" customHeight="false" outlineLevel="0" collapsed="false">
      <c r="A163" s="24" t="n">
        <v>159</v>
      </c>
      <c r="B163" s="25" t="s">
        <v>212</v>
      </c>
      <c r="C163" s="25" t="s">
        <v>81</v>
      </c>
      <c r="D163" s="26" t="s">
        <v>569</v>
      </c>
      <c r="E163" s="25" t="s">
        <v>570</v>
      </c>
      <c r="F163" s="26" t="s">
        <v>571</v>
      </c>
      <c r="G163" s="24" t="str">
        <f aca="false">IF($D163="","",IF(MID($D163,5,1)="S","S(봄)",IF(MID($D163,5,1)="M","M(여름)",IF(MID($D163,5,1)="X","X(사계절)",MID($D163,5,1)))))</f>
        <v>M(여름)</v>
      </c>
      <c r="H163" s="25" t="s">
        <v>67</v>
      </c>
      <c r="I163" s="24" t="s">
        <v>469</v>
      </c>
      <c r="J163" s="27" t="s">
        <v>529</v>
      </c>
      <c r="K163" s="28" t="n">
        <f aca="false">IF($J163="","",IFERROR(DATE(IF(VALUE(LEFT($J163,FIND("월",$J163)-1))&gt;=9,기준정보!$C$7-1,기준정보!$C$7),VALUE(LEFT($J163,FIND("월",$J163)-1)),1+7*(VALUE(SUBSTITUTE(MID($J163,FIND("월",$J163)+1,5),"주",""))-1)),""))</f>
        <v>46447</v>
      </c>
      <c r="L163" s="28" t="n">
        <f aca="false">IF($K163="","",$K163-기준정보!$C$5)</f>
        <v>46433</v>
      </c>
      <c r="M163" s="28" t="n">
        <f aca="false">IF($L163="","",$L163-기준정보!$C$6)</f>
        <v>46343</v>
      </c>
      <c r="N163" s="29" t="n">
        <f aca="false">IF($M163="","",$M163-기준정보!$C$4)</f>
        <v>101</v>
      </c>
      <c r="O163" s="27" t="s">
        <v>70</v>
      </c>
      <c r="P163" s="27" t="s">
        <v>71</v>
      </c>
      <c r="Q163" s="30"/>
      <c r="R163" s="26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S163" s="25" t="s">
        <v>299</v>
      </c>
      <c r="T163" s="25" t="s">
        <v>73</v>
      </c>
      <c r="U163" s="31" t="n">
        <v>1870</v>
      </c>
      <c r="V163" s="26"/>
      <c r="W163" s="26" t="str">
        <f aca="false">IF($K163="","출고일 미정",IF($O163="X","작지 미발행",IF($O163="부분","작지 일부 미발행",IF(AND($Q163&lt;&gt;"",$Q163&gt;$M163),"소재입고 마감("&amp;TEXT($M163,"MM/DD")&amp;") 초과",IF($O163="","발행여부 확인 필요",IF($Q163="","소재 입고일정 확인 필요","정상"))))))</f>
        <v>소재 입고일정 확인 필요</v>
      </c>
      <c r="X163" s="24" t="str">
        <f aca="false">IF($K163="","",IF(OR(LEFT($W163,2)="작지",LEFT($W163,4)="소재입고"),IF(LEFT($G163,1)="S","★ 납기위험(S코드)","◆ 지연주의"),IF($W163="정상","✓ 정상","? 확인필요")))</f>
        <v>? 확인필요</v>
      </c>
      <c r="Y163" s="27"/>
      <c r="Z163" s="32"/>
    </row>
    <row r="164" customFormat="false" ht="15" hidden="false" customHeight="false" outlineLevel="0" collapsed="false">
      <c r="A164" s="24" t="n">
        <v>160</v>
      </c>
      <c r="B164" s="25" t="s">
        <v>212</v>
      </c>
      <c r="C164" s="25" t="s">
        <v>81</v>
      </c>
      <c r="D164" s="26" t="s">
        <v>572</v>
      </c>
      <c r="E164" s="25" t="s">
        <v>573</v>
      </c>
      <c r="F164" s="26" t="s">
        <v>574</v>
      </c>
      <c r="G164" s="24" t="str">
        <f aca="false">IF($D164="","",IF(MID($D164,5,1)="S","S(봄)",IF(MID($D164,5,1)="M","M(여름)",IF(MID($D164,5,1)="X","X(사계절)",MID($D164,5,1)))))</f>
        <v>M(여름)</v>
      </c>
      <c r="H164" s="25" t="s">
        <v>67</v>
      </c>
      <c r="I164" s="24" t="s">
        <v>469</v>
      </c>
      <c r="J164" s="27" t="s">
        <v>529</v>
      </c>
      <c r="K164" s="28" t="n">
        <f aca="false">IF($J164="","",IFERROR(DATE(IF(VALUE(LEFT($J164,FIND("월",$J164)-1))&gt;=9,기준정보!$C$7-1,기준정보!$C$7),VALUE(LEFT($J164,FIND("월",$J164)-1)),1+7*(VALUE(SUBSTITUTE(MID($J164,FIND("월",$J164)+1,5),"주",""))-1)),""))</f>
        <v>46447</v>
      </c>
      <c r="L164" s="28" t="n">
        <f aca="false">IF($K164="","",$K164-기준정보!$C$5)</f>
        <v>46433</v>
      </c>
      <c r="M164" s="28" t="n">
        <f aca="false">IF($L164="","",$L164-기준정보!$C$6)</f>
        <v>46343</v>
      </c>
      <c r="N164" s="29" t="n">
        <f aca="false">IF($M164="","",$M164-기준정보!$C$4)</f>
        <v>101</v>
      </c>
      <c r="O164" s="27" t="s">
        <v>70</v>
      </c>
      <c r="P164" s="27" t="s">
        <v>71</v>
      </c>
      <c r="Q164" s="30"/>
      <c r="R164" s="26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S164" s="25" t="s">
        <v>299</v>
      </c>
      <c r="T164" s="25" t="s">
        <v>73</v>
      </c>
      <c r="U164" s="31" t="n">
        <v>500</v>
      </c>
      <c r="V164" s="26"/>
      <c r="W164" s="26" t="str">
        <f aca="false">IF($K164="","출고일 미정",IF($O164="X","작지 미발행",IF($O164="부분","작지 일부 미발행",IF(AND($Q164&lt;&gt;"",$Q164&gt;$M164),"소재입고 마감("&amp;TEXT($M164,"MM/DD")&amp;") 초과",IF($O164="","발행여부 확인 필요",IF($Q164="","소재 입고일정 확인 필요","정상"))))))</f>
        <v>소재 입고일정 확인 필요</v>
      </c>
      <c r="X164" s="24" t="str">
        <f aca="false">IF($K164="","",IF(OR(LEFT($W164,2)="작지",LEFT($W164,4)="소재입고"),IF(LEFT($G164,1)="S","★ 납기위험(S코드)","◆ 지연주의"),IF($W164="정상","✓ 정상","? 확인필요")))</f>
        <v>? 확인필요</v>
      </c>
      <c r="Y164" s="27"/>
      <c r="Z164" s="32"/>
    </row>
    <row r="165" customFormat="false" ht="15" hidden="false" customHeight="false" outlineLevel="0" collapsed="false">
      <c r="A165" s="24" t="n">
        <v>161</v>
      </c>
      <c r="B165" s="25" t="s">
        <v>212</v>
      </c>
      <c r="C165" s="25" t="s">
        <v>81</v>
      </c>
      <c r="D165" s="26" t="s">
        <v>575</v>
      </c>
      <c r="E165" s="25" t="s">
        <v>576</v>
      </c>
      <c r="F165" s="26" t="s">
        <v>148</v>
      </c>
      <c r="G165" s="24" t="str">
        <f aca="false">IF($D165="","",IF(MID($D165,5,1)="S","S(봄)",IF(MID($D165,5,1)="M","M(여름)",IF(MID($D165,5,1)="X","X(사계절)",MID($D165,5,1)))))</f>
        <v>M(여름)</v>
      </c>
      <c r="H165" s="25" t="s">
        <v>67</v>
      </c>
      <c r="I165" s="24" t="s">
        <v>469</v>
      </c>
      <c r="J165" s="27" t="s">
        <v>529</v>
      </c>
      <c r="K165" s="28" t="n">
        <f aca="false">IF($J165="","",IFERROR(DATE(IF(VALUE(LEFT($J165,FIND("월",$J165)-1))&gt;=9,기준정보!$C$7-1,기준정보!$C$7),VALUE(LEFT($J165,FIND("월",$J165)-1)),1+7*(VALUE(SUBSTITUTE(MID($J165,FIND("월",$J165)+1,5),"주",""))-1)),""))</f>
        <v>46447</v>
      </c>
      <c r="L165" s="28" t="n">
        <f aca="false">IF($K165="","",$K165-기준정보!$C$5)</f>
        <v>46433</v>
      </c>
      <c r="M165" s="28" t="n">
        <f aca="false">IF($L165="","",$L165-기준정보!$C$6)</f>
        <v>46343</v>
      </c>
      <c r="N165" s="29" t="n">
        <f aca="false">IF($M165="","",$M165-기준정보!$C$4)</f>
        <v>101</v>
      </c>
      <c r="O165" s="27" t="s">
        <v>70</v>
      </c>
      <c r="P165" s="27" t="s">
        <v>71</v>
      </c>
      <c r="Q165" s="30"/>
      <c r="R165" s="26" t="str">
        <f aca="false">IF($H165="","",IF(AND(ISNUMBER(SEARCH("CMT",$H165)),OR(ISNUMBER(SEARCH("완사입",$H165)),ISNUMBER(SEARCH("ODM",$H165)))),"본사/생산처 혼재",IF(ISNUMBER(SEARCH("CMT",$H165)),"본사(소재팀)","생산처")))</f>
        <v>생산처</v>
      </c>
      <c r="S165" s="25" t="s">
        <v>299</v>
      </c>
      <c r="T165" s="25" t="s">
        <v>73</v>
      </c>
      <c r="U165" s="31" t="n">
        <v>900</v>
      </c>
      <c r="V165" s="26"/>
      <c r="W165" s="26" t="str">
        <f aca="false">IF($K165="","출고일 미정",IF($O165="X","작지 미발행",IF($O165="부분","작지 일부 미발행",IF(AND($Q165&lt;&gt;"",$Q165&gt;$M165),"소재입고 마감("&amp;TEXT($M165,"MM/DD")&amp;") 초과",IF($O165="","발행여부 확인 필요",IF($Q165="","소재 입고일정 확인 필요","정상"))))))</f>
        <v>소재 입고일정 확인 필요</v>
      </c>
      <c r="X165" s="24" t="str">
        <f aca="false">IF($K165="","",IF(OR(LEFT($W165,2)="작지",LEFT($W165,4)="소재입고"),IF(LEFT($G165,1)="S","★ 납기위험(S코드)","◆ 지연주의"),IF($W165="정상","✓ 정상","? 확인필요")))</f>
        <v>? 확인필요</v>
      </c>
      <c r="Y165" s="27"/>
      <c r="Z165" s="32"/>
    </row>
    <row r="166" customFormat="false" ht="15" hidden="false" customHeight="false" outlineLevel="0" collapsed="false">
      <c r="A166" s="24" t="n">
        <v>162</v>
      </c>
      <c r="B166" s="25" t="s">
        <v>212</v>
      </c>
      <c r="C166" s="25" t="s">
        <v>554</v>
      </c>
      <c r="D166" s="26" t="s">
        <v>577</v>
      </c>
      <c r="E166" s="25" t="s">
        <v>578</v>
      </c>
      <c r="F166" s="26" t="s">
        <v>579</v>
      </c>
      <c r="G166" s="24" t="str">
        <f aca="false">IF($D166="","",IF(MID($D166,5,1)="S","S(봄)",IF(MID($D166,5,1)="M","M(여름)",IF(MID($D166,5,1)="X","X(사계절)",MID($D166,5,1)))))</f>
        <v>M(여름)</v>
      </c>
      <c r="H166" s="25" t="s">
        <v>67</v>
      </c>
      <c r="I166" s="24" t="s">
        <v>469</v>
      </c>
      <c r="J166" s="27" t="s">
        <v>529</v>
      </c>
      <c r="K166" s="28" t="n">
        <f aca="false">IF($J166="","",IFERROR(DATE(IF(VALUE(LEFT($J166,FIND("월",$J166)-1))&gt;=9,기준정보!$C$7-1,기준정보!$C$7),VALUE(LEFT($J166,FIND("월",$J166)-1)),1+7*(VALUE(SUBSTITUTE(MID($J166,FIND("월",$J166)+1,5),"주",""))-1)),""))</f>
        <v>46447</v>
      </c>
      <c r="L166" s="28" t="n">
        <f aca="false">IF($K166="","",$K166-기준정보!$C$5)</f>
        <v>46433</v>
      </c>
      <c r="M166" s="28" t="n">
        <f aca="false">IF($L166="","",$L166-기준정보!$C$6)</f>
        <v>46343</v>
      </c>
      <c r="N166" s="29" t="n">
        <f aca="false">IF($M166="","",$M166-기준정보!$C$4)</f>
        <v>101</v>
      </c>
      <c r="O166" s="27" t="s">
        <v>70</v>
      </c>
      <c r="P166" s="27" t="s">
        <v>71</v>
      </c>
      <c r="Q166" s="30"/>
      <c r="R166" s="26" t="str">
        <f aca="false">IF($H166="","",IF(AND(ISNUMBER(SEARCH("CMT",$H166)),OR(ISNUMBER(SEARCH("완사입",$H166)),ISNUMBER(SEARCH("ODM",$H166)))),"본사/생산처 혼재",IF(ISNUMBER(SEARCH("CMT",$H166)),"본사(소재팀)","생산처")))</f>
        <v>생산처</v>
      </c>
      <c r="S166" s="25" t="s">
        <v>72</v>
      </c>
      <c r="T166" s="25" t="s">
        <v>73</v>
      </c>
      <c r="U166" s="31" t="n">
        <v>300</v>
      </c>
      <c r="V166" s="26"/>
      <c r="W166" s="26" t="str">
        <f aca="false">IF($K166="","출고일 미정",IF($O166="X","작지 미발행",IF($O166="부분","작지 일부 미발행",IF(AND($Q166&lt;&gt;"",$Q166&gt;$M166),"소재입고 마감("&amp;TEXT($M166,"MM/DD")&amp;") 초과",IF($O166="","발행여부 확인 필요",IF($Q166="","소재 입고일정 확인 필요","정상"))))))</f>
        <v>소재 입고일정 확인 필요</v>
      </c>
      <c r="X166" s="24" t="str">
        <f aca="false">IF($K166="","",IF(OR(LEFT($W166,2)="작지",LEFT($W166,4)="소재입고"),IF(LEFT($G166,1)="S","★ 납기위험(S코드)","◆ 지연주의"),IF($W166="정상","✓ 정상","? 확인필요")))</f>
        <v>? 확인필요</v>
      </c>
      <c r="Y166" s="27"/>
      <c r="Z166" s="32"/>
    </row>
    <row r="167" customFormat="false" ht="15" hidden="false" customHeight="false" outlineLevel="0" collapsed="false">
      <c r="A167" s="24" t="n">
        <v>163</v>
      </c>
      <c r="B167" s="25" t="s">
        <v>212</v>
      </c>
      <c r="C167" s="25" t="s">
        <v>554</v>
      </c>
      <c r="D167" s="26" t="s">
        <v>580</v>
      </c>
      <c r="E167" s="25" t="s">
        <v>581</v>
      </c>
      <c r="F167" s="26" t="s">
        <v>560</v>
      </c>
      <c r="G167" s="24" t="str">
        <f aca="false">IF($D167="","",IF(MID($D167,5,1)="S","S(봄)",IF(MID($D167,5,1)="M","M(여름)",IF(MID($D167,5,1)="X","X(사계절)",MID($D167,5,1)))))</f>
        <v>M(여름)</v>
      </c>
      <c r="H167" s="25" t="s">
        <v>67</v>
      </c>
      <c r="I167" s="24" t="s">
        <v>469</v>
      </c>
      <c r="J167" s="27" t="s">
        <v>529</v>
      </c>
      <c r="K167" s="28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46447</v>
      </c>
      <c r="L167" s="28" t="n">
        <f aca="false">IF($K167="","",$K167-기준정보!$C$5)</f>
        <v>46433</v>
      </c>
      <c r="M167" s="28" t="n">
        <f aca="false">IF($L167="","",$L167-기준정보!$C$6)</f>
        <v>46343</v>
      </c>
      <c r="N167" s="29" t="n">
        <f aca="false">IF($M167="","",$M167-기준정보!$C$4)</f>
        <v>101</v>
      </c>
      <c r="O167" s="27" t="s">
        <v>70</v>
      </c>
      <c r="P167" s="27" t="s">
        <v>71</v>
      </c>
      <c r="Q167" s="30"/>
      <c r="R167" s="26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S167" s="25" t="s">
        <v>72</v>
      </c>
      <c r="T167" s="25" t="s">
        <v>73</v>
      </c>
      <c r="U167" s="31" t="n">
        <v>300</v>
      </c>
      <c r="V167" s="26"/>
      <c r="W167" s="26" t="str">
        <f aca="false">IF($K167="","출고일 미정",IF($O167="X","작지 미발행",IF($O167="부분","작지 일부 미발행",IF(AND($Q167&lt;&gt;"",$Q167&gt;$M167),"소재입고 마감("&amp;TEXT($M167,"MM/DD")&amp;") 초과",IF($O167="","발행여부 확인 필요",IF($Q167="","소재 입고일정 확인 필요","정상"))))))</f>
        <v>소재 입고일정 확인 필요</v>
      </c>
      <c r="X167" s="24" t="str">
        <f aca="false">IF($K167="","",IF(OR(LEFT($W167,2)="작지",LEFT($W167,4)="소재입고"),IF(LEFT($G167,1)="S","★ 납기위험(S코드)","◆ 지연주의"),IF($W167="정상","✓ 정상","? 확인필요")))</f>
        <v>? 확인필요</v>
      </c>
      <c r="Y167" s="27"/>
      <c r="Z167" s="32"/>
    </row>
    <row r="168" customFormat="false" ht="15" hidden="false" customHeight="false" outlineLevel="0" collapsed="false">
      <c r="A168" s="24" t="n">
        <v>164</v>
      </c>
      <c r="B168" s="25" t="s">
        <v>241</v>
      </c>
      <c r="C168" s="25" t="s">
        <v>250</v>
      </c>
      <c r="D168" s="26" t="s">
        <v>582</v>
      </c>
      <c r="E168" s="25" t="s">
        <v>583</v>
      </c>
      <c r="F168" s="26" t="s">
        <v>584</v>
      </c>
      <c r="G168" s="24" t="str">
        <f aca="false">IF($D168="","",IF(MID($D168,5,1)="S","S(봄)",IF(MID($D168,5,1)="M","M(여름)",IF(MID($D168,5,1)="X","X(사계절)",MID($D168,5,1)))))</f>
        <v>M(여름)</v>
      </c>
      <c r="H168" s="26" t="s">
        <v>197</v>
      </c>
      <c r="I168" s="24"/>
      <c r="J168" s="27" t="s">
        <v>529</v>
      </c>
      <c r="K168" s="28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46447</v>
      </c>
      <c r="L168" s="28" t="n">
        <f aca="false">IF($K168="","",$K168-기준정보!$C$5)</f>
        <v>46433</v>
      </c>
      <c r="M168" s="28" t="n">
        <f aca="false">IF($L168="","",$L168-기준정보!$C$6)</f>
        <v>46343</v>
      </c>
      <c r="N168" s="29" t="n">
        <f aca="false">IF($M168="","",$M168-기준정보!$C$4)</f>
        <v>101</v>
      </c>
      <c r="O168" s="27" t="s">
        <v>70</v>
      </c>
      <c r="P168" s="27" t="s">
        <v>71</v>
      </c>
      <c r="Q168" s="30"/>
      <c r="R168" s="26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S168" s="26" t="s">
        <v>137</v>
      </c>
      <c r="T168" s="25" t="s">
        <v>73</v>
      </c>
      <c r="U168" s="31" t="n">
        <v>5000</v>
      </c>
      <c r="V168" s="26" t="s">
        <v>529</v>
      </c>
      <c r="W168" s="26" t="str">
        <f aca="false">IF($K168="","출고일 미정",IF($O168="X","작지 미발행",IF($O168="부분","작지 일부 미발행",IF(AND($Q168&lt;&gt;"",$Q168&gt;$M168),"소재입고 마감("&amp;TEXT($M168,"MM/DD")&amp;") 초과",IF($O168="","발행여부 확인 필요",IF($Q168="","소재 입고일정 확인 필요","정상"))))))</f>
        <v>소재 입고일정 확인 필요</v>
      </c>
      <c r="X168" s="24" t="str">
        <f aca="false">IF($K168="","",IF(OR(LEFT($W168,2)="작지",LEFT($W168,4)="소재입고"),IF(LEFT($G168,1)="S","★ 납기위험(S코드)","◆ 지연주의"),IF($W168="정상","✓ 정상","? 확인필요")))</f>
        <v>? 확인필요</v>
      </c>
      <c r="Y168" s="27"/>
      <c r="Z168" s="32"/>
    </row>
    <row r="169" customFormat="false" ht="15" hidden="false" customHeight="false" outlineLevel="0" collapsed="false">
      <c r="A169" s="24" t="n">
        <v>165</v>
      </c>
      <c r="B169" s="25" t="s">
        <v>241</v>
      </c>
      <c r="C169" s="25" t="s">
        <v>250</v>
      </c>
      <c r="D169" s="26" t="s">
        <v>585</v>
      </c>
      <c r="E169" s="25" t="s">
        <v>586</v>
      </c>
      <c r="F169" s="26" t="s">
        <v>587</v>
      </c>
      <c r="G169" s="24" t="str">
        <f aca="false">IF($D169="","",IF(MID($D169,5,1)="S","S(봄)",IF(MID($D169,5,1)="M","M(여름)",IF(MID($D169,5,1)="X","X(사계절)",MID($D169,5,1)))))</f>
        <v>M(여름)</v>
      </c>
      <c r="H169" s="26" t="s">
        <v>197</v>
      </c>
      <c r="I169" s="24"/>
      <c r="J169" s="27" t="s">
        <v>529</v>
      </c>
      <c r="K169" s="28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46447</v>
      </c>
      <c r="L169" s="28" t="n">
        <f aca="false">IF($K169="","",$K169-기준정보!$C$5)</f>
        <v>46433</v>
      </c>
      <c r="M169" s="28" t="n">
        <f aca="false">IF($L169="","",$L169-기준정보!$C$6)</f>
        <v>46343</v>
      </c>
      <c r="N169" s="29" t="n">
        <f aca="false">IF($M169="","",$M169-기준정보!$C$4)</f>
        <v>101</v>
      </c>
      <c r="O169" s="27" t="s">
        <v>70</v>
      </c>
      <c r="P169" s="27" t="s">
        <v>71</v>
      </c>
      <c r="Q169" s="30"/>
      <c r="R169" s="26" t="str">
        <f aca="false">IF($H169="","",IF(AND(ISNUMBER(SEARCH("CMT",$H169)),OR(ISNUMBER(SEARCH("완사입",$H169)),ISNUMBER(SEARCH("ODM",$H169)))),"본사/생산처 혼재",IF(ISNUMBER(SEARCH("CMT",$H169)),"본사(소재팀)","생산처")))</f>
        <v>본사(소재팀)</v>
      </c>
      <c r="S169" s="26" t="s">
        <v>137</v>
      </c>
      <c r="T169" s="25" t="s">
        <v>73</v>
      </c>
      <c r="U169" s="31" t="n">
        <v>3000</v>
      </c>
      <c r="V169" s="26" t="s">
        <v>529</v>
      </c>
      <c r="W169" s="26" t="str">
        <f aca="false">IF($K169="","출고일 미정",IF($O169="X","작지 미발행",IF($O169="부분","작지 일부 미발행",IF(AND($Q169&lt;&gt;"",$Q169&gt;$M169),"소재입고 마감("&amp;TEXT($M169,"MM/DD")&amp;") 초과",IF($O169="","발행여부 확인 필요",IF($Q169="","소재 입고일정 확인 필요","정상"))))))</f>
        <v>소재 입고일정 확인 필요</v>
      </c>
      <c r="X169" s="24" t="str">
        <f aca="false">IF($K169="","",IF(OR(LEFT($W169,2)="작지",LEFT($W169,4)="소재입고"),IF(LEFT($G169,1)="S","★ 납기위험(S코드)","◆ 지연주의"),IF($W169="정상","✓ 정상","? 확인필요")))</f>
        <v>? 확인필요</v>
      </c>
      <c r="Y169" s="27"/>
      <c r="Z169" s="32"/>
    </row>
    <row r="170" customFormat="false" ht="15" hidden="false" customHeight="false" outlineLevel="0" collapsed="false">
      <c r="A170" s="24" t="n">
        <v>166</v>
      </c>
      <c r="B170" s="25" t="s">
        <v>241</v>
      </c>
      <c r="C170" s="25" t="s">
        <v>250</v>
      </c>
      <c r="D170" s="26" t="s">
        <v>588</v>
      </c>
      <c r="E170" s="25" t="s">
        <v>589</v>
      </c>
      <c r="F170" s="26" t="s">
        <v>590</v>
      </c>
      <c r="G170" s="24" t="str">
        <f aca="false">IF($D170="","",IF(MID($D170,5,1)="S","S(봄)",IF(MID($D170,5,1)="M","M(여름)",IF(MID($D170,5,1)="X","X(사계절)",MID($D170,5,1)))))</f>
        <v>M(여름)</v>
      </c>
      <c r="H170" s="26" t="s">
        <v>197</v>
      </c>
      <c r="I170" s="24"/>
      <c r="J170" s="27" t="s">
        <v>529</v>
      </c>
      <c r="K170" s="28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46447</v>
      </c>
      <c r="L170" s="28" t="n">
        <f aca="false">IF($K170="","",$K170-기준정보!$C$5)</f>
        <v>46433</v>
      </c>
      <c r="M170" s="28" t="n">
        <f aca="false">IF($L170="","",$L170-기준정보!$C$6)</f>
        <v>46343</v>
      </c>
      <c r="N170" s="29" t="n">
        <f aca="false">IF($M170="","",$M170-기준정보!$C$4)</f>
        <v>101</v>
      </c>
      <c r="O170" s="27" t="s">
        <v>70</v>
      </c>
      <c r="P170" s="27" t="s">
        <v>71</v>
      </c>
      <c r="Q170" s="30"/>
      <c r="R170" s="26" t="str">
        <f aca="false">IF($H170="","",IF(AND(ISNUMBER(SEARCH("CMT",$H170)),OR(ISNUMBER(SEARCH("완사입",$H170)),ISNUMBER(SEARCH("ODM",$H170)))),"본사/생산처 혼재",IF(ISNUMBER(SEARCH("CMT",$H170)),"본사(소재팀)","생산처")))</f>
        <v>본사(소재팀)</v>
      </c>
      <c r="S170" s="26" t="s">
        <v>223</v>
      </c>
      <c r="T170" s="25" t="s">
        <v>73</v>
      </c>
      <c r="U170" s="31" t="n">
        <v>3000</v>
      </c>
      <c r="V170" s="26" t="s">
        <v>529</v>
      </c>
      <c r="W170" s="26" t="str">
        <f aca="false">IF($K170="","출고일 미정",IF($O170="X","작지 미발행",IF($O170="부분","작지 일부 미발행",IF(AND($Q170&lt;&gt;"",$Q170&gt;$M170),"소재입고 마감("&amp;TEXT($M170,"MM/DD")&amp;") 초과",IF($O170="","발행여부 확인 필요",IF($Q170="","소재 입고일정 확인 필요","정상"))))))</f>
        <v>소재 입고일정 확인 필요</v>
      </c>
      <c r="X170" s="24" t="str">
        <f aca="false">IF($K170="","",IF(OR(LEFT($W170,2)="작지",LEFT($W170,4)="소재입고"),IF(LEFT($G170,1)="S","★ 납기위험(S코드)","◆ 지연주의"),IF($W170="정상","✓ 정상","? 확인필요")))</f>
        <v>? 확인필요</v>
      </c>
      <c r="Y170" s="27"/>
      <c r="Z170" s="32"/>
    </row>
    <row r="171" customFormat="false" ht="15" hidden="false" customHeight="false" outlineLevel="0" collapsed="false">
      <c r="A171" s="24" t="n">
        <v>167</v>
      </c>
      <c r="B171" s="25" t="s">
        <v>241</v>
      </c>
      <c r="C171" s="25" t="s">
        <v>250</v>
      </c>
      <c r="D171" s="26" t="s">
        <v>591</v>
      </c>
      <c r="E171" s="25" t="s">
        <v>592</v>
      </c>
      <c r="F171" s="26" t="s">
        <v>378</v>
      </c>
      <c r="G171" s="24" t="str">
        <f aca="false">IF($D171="","",IF(MID($D171,5,1)="S","S(봄)",IF(MID($D171,5,1)="M","M(여름)",IF(MID($D171,5,1)="X","X(사계절)",MID($D171,5,1)))))</f>
        <v>M(여름)</v>
      </c>
      <c r="H171" s="25" t="s">
        <v>67</v>
      </c>
      <c r="I171" s="24"/>
      <c r="J171" s="27" t="s">
        <v>529</v>
      </c>
      <c r="K171" s="28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46447</v>
      </c>
      <c r="L171" s="28" t="n">
        <f aca="false">IF($K171="","",$K171-기준정보!$C$5)</f>
        <v>46433</v>
      </c>
      <c r="M171" s="28" t="n">
        <f aca="false">IF($L171="","",$L171-기준정보!$C$6)</f>
        <v>46343</v>
      </c>
      <c r="N171" s="29" t="n">
        <f aca="false">IF($M171="","",$M171-기준정보!$C$4)</f>
        <v>101</v>
      </c>
      <c r="O171" s="27" t="s">
        <v>70</v>
      </c>
      <c r="P171" s="27" t="s">
        <v>71</v>
      </c>
      <c r="Q171" s="30"/>
      <c r="R171" s="26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S171" s="25" t="s">
        <v>379</v>
      </c>
      <c r="T171" s="25" t="s">
        <v>73</v>
      </c>
      <c r="U171" s="31" t="n">
        <v>1200</v>
      </c>
      <c r="V171" s="26" t="s">
        <v>529</v>
      </c>
      <c r="W171" s="26" t="str">
        <f aca="false">IF($K171="","출고일 미정",IF($O171="X","작지 미발행",IF($O171="부분","작지 일부 미발행",IF(AND($Q171&lt;&gt;"",$Q171&gt;$M171),"소재입고 마감("&amp;TEXT($M171,"MM/DD")&amp;") 초과",IF($O171="","발행여부 확인 필요",IF($Q171="","소재 입고일정 확인 필요","정상"))))))</f>
        <v>소재 입고일정 확인 필요</v>
      </c>
      <c r="X171" s="24" t="str">
        <f aca="false">IF($K171="","",IF(OR(LEFT($W171,2)="작지",LEFT($W171,4)="소재입고"),IF(LEFT($G171,1)="S","★ 납기위험(S코드)","◆ 지연주의"),IF($W171="정상","✓ 정상","? 확인필요")))</f>
        <v>? 확인필요</v>
      </c>
      <c r="Y171" s="27"/>
      <c r="Z171" s="32"/>
    </row>
    <row r="172" customFormat="false" ht="15" hidden="false" customHeight="false" outlineLevel="0" collapsed="false">
      <c r="A172" s="24" t="n">
        <v>168</v>
      </c>
      <c r="B172" s="25" t="s">
        <v>212</v>
      </c>
      <c r="C172" s="25" t="s">
        <v>81</v>
      </c>
      <c r="D172" s="26" t="s">
        <v>593</v>
      </c>
      <c r="E172" s="25" t="s">
        <v>594</v>
      </c>
      <c r="F172" s="26" t="s">
        <v>148</v>
      </c>
      <c r="G172" s="24" t="str">
        <f aca="false">IF($D172="","",IF(MID($D172,5,1)="S","S(봄)",IF(MID($D172,5,1)="M","M(여름)",IF(MID($D172,5,1)="X","X(사계절)",MID($D172,5,1)))))</f>
        <v>M(여름)</v>
      </c>
      <c r="H172" s="25" t="s">
        <v>67</v>
      </c>
      <c r="I172" s="24" t="s">
        <v>469</v>
      </c>
      <c r="J172" s="27" t="s">
        <v>529</v>
      </c>
      <c r="K172" s="28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46447</v>
      </c>
      <c r="L172" s="28" t="n">
        <f aca="false">IF($K172="","",$K172-기준정보!$C$5)</f>
        <v>46433</v>
      </c>
      <c r="M172" s="28" t="n">
        <f aca="false">IF($L172="","",$L172-기준정보!$C$6)</f>
        <v>46343</v>
      </c>
      <c r="N172" s="29" t="n">
        <f aca="false">IF($M172="","",$M172-기준정보!$C$4)</f>
        <v>101</v>
      </c>
      <c r="O172" s="27" t="s">
        <v>70</v>
      </c>
      <c r="P172" s="27" t="s">
        <v>71</v>
      </c>
      <c r="Q172" s="30"/>
      <c r="R172" s="26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S172" s="26" t="s">
        <v>137</v>
      </c>
      <c r="T172" s="25" t="s">
        <v>73</v>
      </c>
      <c r="U172" s="31" t="n">
        <v>500</v>
      </c>
      <c r="V172" s="26"/>
      <c r="W172" s="26" t="str">
        <f aca="false">IF($K172="","출고일 미정",IF($O172="X","작지 미발행",IF($O172="부분","작지 일부 미발행",IF(AND($Q172&lt;&gt;"",$Q172&gt;$M172),"소재입고 마감("&amp;TEXT($M172,"MM/DD")&amp;") 초과",IF($O172="","발행여부 확인 필요",IF($Q172="","소재 입고일정 확인 필요","정상"))))))</f>
        <v>소재 입고일정 확인 필요</v>
      </c>
      <c r="X172" s="24" t="str">
        <f aca="false">IF($K172="","",IF(OR(LEFT($W172,2)="작지",LEFT($W172,4)="소재입고"),IF(LEFT($G172,1)="S","★ 납기위험(S코드)","◆ 지연주의"),IF($W172="정상","✓ 정상","? 확인필요")))</f>
        <v>? 확인필요</v>
      </c>
      <c r="Y172" s="27"/>
      <c r="Z172" s="32"/>
    </row>
    <row r="173" customFormat="false" ht="15" hidden="false" customHeight="false" outlineLevel="0" collapsed="false">
      <c r="A173" s="24" t="n">
        <v>169</v>
      </c>
      <c r="B173" s="25" t="s">
        <v>212</v>
      </c>
      <c r="C173" s="25" t="s">
        <v>81</v>
      </c>
      <c r="D173" s="26" t="s">
        <v>595</v>
      </c>
      <c r="E173" s="25" t="s">
        <v>596</v>
      </c>
      <c r="F173" s="26" t="s">
        <v>568</v>
      </c>
      <c r="G173" s="24" t="str">
        <f aca="false">IF($D173="","",IF(MID($D173,5,1)="S","S(봄)",IF(MID($D173,5,1)="M","M(여름)",IF(MID($D173,5,1)="X","X(사계절)",MID($D173,5,1)))))</f>
        <v>M(여름)</v>
      </c>
      <c r="H173" s="25" t="s">
        <v>67</v>
      </c>
      <c r="I173" s="24" t="s">
        <v>469</v>
      </c>
      <c r="J173" s="27" t="s">
        <v>529</v>
      </c>
      <c r="K173" s="28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46447</v>
      </c>
      <c r="L173" s="28" t="n">
        <f aca="false">IF($K173="","",$K173-기준정보!$C$5)</f>
        <v>46433</v>
      </c>
      <c r="M173" s="28" t="n">
        <f aca="false">IF($L173="","",$L173-기준정보!$C$6)</f>
        <v>46343</v>
      </c>
      <c r="N173" s="29" t="n">
        <f aca="false">IF($M173="","",$M173-기준정보!$C$4)</f>
        <v>101</v>
      </c>
      <c r="O173" s="27" t="s">
        <v>70</v>
      </c>
      <c r="P173" s="27" t="s">
        <v>71</v>
      </c>
      <c r="Q173" s="30"/>
      <c r="R173" s="26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S173" s="26" t="s">
        <v>137</v>
      </c>
      <c r="T173" s="25" t="s">
        <v>73</v>
      </c>
      <c r="U173" s="31" t="n">
        <v>500</v>
      </c>
      <c r="V173" s="26"/>
      <c r="W173" s="26" t="str">
        <f aca="false">IF($K173="","출고일 미정",IF($O173="X","작지 미발행",IF($O173="부분","작지 일부 미발행",IF(AND($Q173&lt;&gt;"",$Q173&gt;$M173),"소재입고 마감("&amp;TEXT($M173,"MM/DD")&amp;") 초과",IF($O173="","발행여부 확인 필요",IF($Q173="","소재 입고일정 확인 필요","정상"))))))</f>
        <v>소재 입고일정 확인 필요</v>
      </c>
      <c r="X173" s="24" t="str">
        <f aca="false">IF($K173="","",IF(OR(LEFT($W173,2)="작지",LEFT($W173,4)="소재입고"),IF(LEFT($G173,1)="S","★ 납기위험(S코드)","◆ 지연주의"),IF($W173="정상","✓ 정상","? 확인필요")))</f>
        <v>? 확인필요</v>
      </c>
      <c r="Y173" s="27"/>
      <c r="Z173" s="32"/>
    </row>
    <row r="174" customFormat="false" ht="15" hidden="false" customHeight="false" outlineLevel="0" collapsed="false">
      <c r="A174" s="24" t="n">
        <v>170</v>
      </c>
      <c r="B174" s="25" t="s">
        <v>212</v>
      </c>
      <c r="C174" s="25" t="s">
        <v>81</v>
      </c>
      <c r="D174" s="26" t="s">
        <v>597</v>
      </c>
      <c r="E174" s="25" t="s">
        <v>598</v>
      </c>
      <c r="F174" s="26" t="s">
        <v>568</v>
      </c>
      <c r="G174" s="24" t="str">
        <f aca="false">IF($D174="","",IF(MID($D174,5,1)="S","S(봄)",IF(MID($D174,5,1)="M","M(여름)",IF(MID($D174,5,1)="X","X(사계절)",MID($D174,5,1)))))</f>
        <v>M(여름)</v>
      </c>
      <c r="H174" s="25" t="s">
        <v>67</v>
      </c>
      <c r="I174" s="24" t="s">
        <v>469</v>
      </c>
      <c r="J174" s="27" t="s">
        <v>529</v>
      </c>
      <c r="K174" s="28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46447</v>
      </c>
      <c r="L174" s="28" t="n">
        <f aca="false">IF($K174="","",$K174-기준정보!$C$5)</f>
        <v>46433</v>
      </c>
      <c r="M174" s="28" t="n">
        <f aca="false">IF($L174="","",$L174-기준정보!$C$6)</f>
        <v>46343</v>
      </c>
      <c r="N174" s="29" t="n">
        <f aca="false">IF($M174="","",$M174-기준정보!$C$4)</f>
        <v>101</v>
      </c>
      <c r="O174" s="27" t="s">
        <v>70</v>
      </c>
      <c r="P174" s="27" t="s">
        <v>71</v>
      </c>
      <c r="Q174" s="30"/>
      <c r="R174" s="26" t="str">
        <f aca="false">IF($H174="","",IF(AND(ISNUMBER(SEARCH("CMT",$H174)),OR(ISNUMBER(SEARCH("완사입",$H174)),ISNUMBER(SEARCH("ODM",$H174)))),"본사/생산처 혼재",IF(ISNUMBER(SEARCH("CMT",$H174)),"본사(소재팀)","생산처")))</f>
        <v>생산처</v>
      </c>
      <c r="S174" s="26" t="s">
        <v>231</v>
      </c>
      <c r="T174" s="25" t="s">
        <v>73</v>
      </c>
      <c r="U174" s="31" t="n">
        <v>250</v>
      </c>
      <c r="V174" s="26"/>
      <c r="W174" s="26" t="str">
        <f aca="false">IF($K174="","출고일 미정",IF($O174="X","작지 미발행",IF($O174="부분","작지 일부 미발행",IF(AND($Q174&lt;&gt;"",$Q174&gt;$M174),"소재입고 마감("&amp;TEXT($M174,"MM/DD")&amp;") 초과",IF($O174="","발행여부 확인 필요",IF($Q174="","소재 입고일정 확인 필요","정상"))))))</f>
        <v>소재 입고일정 확인 필요</v>
      </c>
      <c r="X174" s="24" t="str">
        <f aca="false">IF($K174="","",IF(OR(LEFT($W174,2)="작지",LEFT($W174,4)="소재입고"),IF(LEFT($G174,1)="S","★ 납기위험(S코드)","◆ 지연주의"),IF($W174="정상","✓ 정상","? 확인필요")))</f>
        <v>? 확인필요</v>
      </c>
      <c r="Y174" s="27"/>
      <c r="Z174" s="32"/>
    </row>
    <row r="175" customFormat="false" ht="15" hidden="false" customHeight="false" outlineLevel="0" collapsed="false">
      <c r="A175" s="24" t="n">
        <v>171</v>
      </c>
      <c r="B175" s="25" t="s">
        <v>112</v>
      </c>
      <c r="C175" s="25" t="s">
        <v>250</v>
      </c>
      <c r="D175" s="26" t="s">
        <v>599</v>
      </c>
      <c r="E175" s="25" t="s">
        <v>600</v>
      </c>
      <c r="F175" s="26" t="s">
        <v>601</v>
      </c>
      <c r="G175" s="24" t="str">
        <f aca="false">IF($D175="","",IF(MID($D175,5,1)="S","S(봄)",IF(MID($D175,5,1)="M","M(여름)",IF(MID($D175,5,1)="X","X(사계절)",MID($D175,5,1)))))</f>
        <v>M(여름)</v>
      </c>
      <c r="H175" s="25" t="s">
        <v>67</v>
      </c>
      <c r="I175" s="24"/>
      <c r="J175" s="27" t="s">
        <v>529</v>
      </c>
      <c r="K175" s="28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46447</v>
      </c>
      <c r="L175" s="28" t="n">
        <f aca="false">IF($K175="","",$K175-기준정보!$C$5)</f>
        <v>46433</v>
      </c>
      <c r="M175" s="28" t="n">
        <f aca="false">IF($L175="","",$L175-기준정보!$C$6)</f>
        <v>46343</v>
      </c>
      <c r="N175" s="29" t="n">
        <f aca="false">IF($M175="","",$M175-기준정보!$C$4)</f>
        <v>101</v>
      </c>
      <c r="O175" s="27" t="s">
        <v>70</v>
      </c>
      <c r="P175" s="27" t="s">
        <v>71</v>
      </c>
      <c r="Q175" s="30"/>
      <c r="R175" s="26" t="str">
        <f aca="false">IF($H175="","",IF(AND(ISNUMBER(SEARCH("CMT",$H175)),OR(ISNUMBER(SEARCH("완사입",$H175)),ISNUMBER(SEARCH("ODM",$H175)))),"본사/생산처 혼재",IF(ISNUMBER(SEARCH("CMT",$H175)),"본사(소재팀)","생산처")))</f>
        <v>생산처</v>
      </c>
      <c r="S175" s="25" t="s">
        <v>227</v>
      </c>
      <c r="T175" s="25" t="s">
        <v>73</v>
      </c>
      <c r="U175" s="31" t="n">
        <v>3000</v>
      </c>
      <c r="V175" s="26" t="s">
        <v>529</v>
      </c>
      <c r="W175" s="26" t="str">
        <f aca="false">IF($K175="","출고일 미정",IF($O175="X","작지 미발행",IF($O175="부분","작지 일부 미발행",IF(AND($Q175&lt;&gt;"",$Q175&gt;$M175),"소재입고 마감("&amp;TEXT($M175,"MM/DD")&amp;") 초과",IF($O175="","발행여부 확인 필요",IF($Q175="","소재 입고일정 확인 필요","정상"))))))</f>
        <v>소재 입고일정 확인 필요</v>
      </c>
      <c r="X175" s="24" t="str">
        <f aca="false">IF($K175="","",IF(OR(LEFT($W175,2)="작지",LEFT($W175,4)="소재입고"),IF(LEFT($G175,1)="S","★ 납기위험(S코드)","◆ 지연주의"),IF($W175="정상","✓ 정상","? 확인필요")))</f>
        <v>? 확인필요</v>
      </c>
      <c r="Y175" s="27"/>
      <c r="Z175" s="32"/>
    </row>
    <row r="176" customFormat="false" ht="15" hidden="false" customHeight="false" outlineLevel="0" collapsed="false">
      <c r="A176" s="24" t="n">
        <v>172</v>
      </c>
      <c r="B176" s="25" t="s">
        <v>212</v>
      </c>
      <c r="C176" s="25" t="s">
        <v>81</v>
      </c>
      <c r="D176" s="26" t="s">
        <v>602</v>
      </c>
      <c r="E176" s="25" t="s">
        <v>603</v>
      </c>
      <c r="F176" s="26" t="s">
        <v>604</v>
      </c>
      <c r="G176" s="24" t="str">
        <f aca="false">IF($D176="","",IF(MID($D176,5,1)="S","S(봄)",IF(MID($D176,5,1)="M","M(여름)",IF(MID($D176,5,1)="X","X(사계절)",MID($D176,5,1)))))</f>
        <v>M(여름)</v>
      </c>
      <c r="H176" s="25" t="s">
        <v>67</v>
      </c>
      <c r="I176" s="24" t="s">
        <v>469</v>
      </c>
      <c r="J176" s="27" t="s">
        <v>529</v>
      </c>
      <c r="K176" s="28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46447</v>
      </c>
      <c r="L176" s="28" t="n">
        <f aca="false">IF($K176="","",$K176-기준정보!$C$5)</f>
        <v>46433</v>
      </c>
      <c r="M176" s="28" t="n">
        <f aca="false">IF($L176="","",$L176-기준정보!$C$6)</f>
        <v>46343</v>
      </c>
      <c r="N176" s="29" t="n">
        <f aca="false">IF($M176="","",$M176-기준정보!$C$4)</f>
        <v>101</v>
      </c>
      <c r="O176" s="27" t="s">
        <v>70</v>
      </c>
      <c r="P176" s="27" t="s">
        <v>71</v>
      </c>
      <c r="Q176" s="30"/>
      <c r="R176" s="26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S176" s="25" t="s">
        <v>299</v>
      </c>
      <c r="T176" s="25" t="s">
        <v>73</v>
      </c>
      <c r="U176" s="31" t="n">
        <v>1010</v>
      </c>
      <c r="V176" s="26"/>
      <c r="W176" s="26" t="str">
        <f aca="false">IF($K176="","출고일 미정",IF($O176="X","작지 미발행",IF($O176="부분","작지 일부 미발행",IF(AND($Q176&lt;&gt;"",$Q176&gt;$M176),"소재입고 마감("&amp;TEXT($M176,"MM/DD")&amp;") 초과",IF($O176="","발행여부 확인 필요",IF($Q176="","소재 입고일정 확인 필요","정상"))))))</f>
        <v>소재 입고일정 확인 필요</v>
      </c>
      <c r="X176" s="24" t="str">
        <f aca="false">IF($K176="","",IF(OR(LEFT($W176,2)="작지",LEFT($W176,4)="소재입고"),IF(LEFT($G176,1)="S","★ 납기위험(S코드)","◆ 지연주의"),IF($W176="정상","✓ 정상","? 확인필요")))</f>
        <v>? 확인필요</v>
      </c>
      <c r="Y176" s="27"/>
      <c r="Z176" s="32"/>
    </row>
    <row r="177" customFormat="false" ht="15" hidden="false" customHeight="false" outlineLevel="0" collapsed="false">
      <c r="A177" s="24" t="n">
        <v>173</v>
      </c>
      <c r="B177" s="25" t="s">
        <v>212</v>
      </c>
      <c r="C177" s="25" t="s">
        <v>81</v>
      </c>
      <c r="D177" s="26" t="s">
        <v>605</v>
      </c>
      <c r="E177" s="25" t="s">
        <v>606</v>
      </c>
      <c r="F177" s="26" t="s">
        <v>568</v>
      </c>
      <c r="G177" s="24" t="str">
        <f aca="false">IF($D177="","",IF(MID($D177,5,1)="S","S(봄)",IF(MID($D177,5,1)="M","M(여름)",IF(MID($D177,5,1)="X","X(사계절)",MID($D177,5,1)))))</f>
        <v>M(여름)</v>
      </c>
      <c r="H177" s="25" t="s">
        <v>67</v>
      </c>
      <c r="I177" s="24" t="s">
        <v>469</v>
      </c>
      <c r="J177" s="27" t="s">
        <v>529</v>
      </c>
      <c r="K177" s="28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46447</v>
      </c>
      <c r="L177" s="28" t="n">
        <f aca="false">IF($K177="","",$K177-기준정보!$C$5)</f>
        <v>46433</v>
      </c>
      <c r="M177" s="28" t="n">
        <f aca="false">IF($L177="","",$L177-기준정보!$C$6)</f>
        <v>46343</v>
      </c>
      <c r="N177" s="29" t="n">
        <f aca="false">IF($M177="","",$M177-기준정보!$C$4)</f>
        <v>101</v>
      </c>
      <c r="O177" s="27" t="s">
        <v>70</v>
      </c>
      <c r="P177" s="27" t="s">
        <v>71</v>
      </c>
      <c r="Q177" s="30"/>
      <c r="R177" s="26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S177" s="25" t="s">
        <v>299</v>
      </c>
      <c r="T177" s="25" t="s">
        <v>73</v>
      </c>
      <c r="U177" s="31" t="n">
        <v>700</v>
      </c>
      <c r="V177" s="26"/>
      <c r="W177" s="26" t="str">
        <f aca="false">IF($K177="","출고일 미정",IF($O177="X","작지 미발행",IF($O177="부분","작지 일부 미발행",IF(AND($Q177&lt;&gt;"",$Q177&gt;$M177),"소재입고 마감("&amp;TEXT($M177,"MM/DD")&amp;") 초과",IF($O177="","발행여부 확인 필요",IF($Q177="","소재 입고일정 확인 필요","정상"))))))</f>
        <v>소재 입고일정 확인 필요</v>
      </c>
      <c r="X177" s="24" t="str">
        <f aca="false">IF($K177="","",IF(OR(LEFT($W177,2)="작지",LEFT($W177,4)="소재입고"),IF(LEFT($G177,1)="S","★ 납기위험(S코드)","◆ 지연주의"),IF($W177="정상","✓ 정상","? 확인필요")))</f>
        <v>? 확인필요</v>
      </c>
      <c r="Y177" s="27"/>
      <c r="Z177" s="32"/>
    </row>
    <row r="178" customFormat="false" ht="15" hidden="false" customHeight="false" outlineLevel="0" collapsed="false">
      <c r="A178" s="24" t="n">
        <v>174</v>
      </c>
      <c r="B178" s="25" t="s">
        <v>212</v>
      </c>
      <c r="C178" s="25" t="s">
        <v>81</v>
      </c>
      <c r="D178" s="26" t="s">
        <v>607</v>
      </c>
      <c r="E178" s="25" t="s">
        <v>608</v>
      </c>
      <c r="F178" s="26" t="s">
        <v>574</v>
      </c>
      <c r="G178" s="24" t="str">
        <f aca="false">IF($D178="","",IF(MID($D178,5,1)="S","S(봄)",IF(MID($D178,5,1)="M","M(여름)",IF(MID($D178,5,1)="X","X(사계절)",MID($D178,5,1)))))</f>
        <v>M(여름)</v>
      </c>
      <c r="H178" s="25" t="s">
        <v>67</v>
      </c>
      <c r="I178" s="24" t="s">
        <v>469</v>
      </c>
      <c r="J178" s="27" t="s">
        <v>529</v>
      </c>
      <c r="K178" s="28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46447</v>
      </c>
      <c r="L178" s="28" t="n">
        <f aca="false">IF($K178="","",$K178-기준정보!$C$5)</f>
        <v>46433</v>
      </c>
      <c r="M178" s="28" t="n">
        <f aca="false">IF($L178="","",$L178-기준정보!$C$6)</f>
        <v>46343</v>
      </c>
      <c r="N178" s="29" t="n">
        <f aca="false">IF($M178="","",$M178-기준정보!$C$4)</f>
        <v>101</v>
      </c>
      <c r="O178" s="27" t="s">
        <v>70</v>
      </c>
      <c r="P178" s="27" t="s">
        <v>71</v>
      </c>
      <c r="Q178" s="30"/>
      <c r="R178" s="26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S178" s="25" t="s">
        <v>299</v>
      </c>
      <c r="T178" s="25" t="s">
        <v>73</v>
      </c>
      <c r="U178" s="31" t="n">
        <v>300</v>
      </c>
      <c r="V178" s="26"/>
      <c r="W178" s="26" t="str">
        <f aca="false">IF($K178="","출고일 미정",IF($O178="X","작지 미발행",IF($O178="부분","작지 일부 미발행",IF(AND($Q178&lt;&gt;"",$Q178&gt;$M178),"소재입고 마감("&amp;TEXT($M178,"MM/DD")&amp;") 초과",IF($O178="","발행여부 확인 필요",IF($Q178="","소재 입고일정 확인 필요","정상"))))))</f>
        <v>소재 입고일정 확인 필요</v>
      </c>
      <c r="X178" s="24" t="str">
        <f aca="false">IF($K178="","",IF(OR(LEFT($W178,2)="작지",LEFT($W178,4)="소재입고"),IF(LEFT($G178,1)="S","★ 납기위험(S코드)","◆ 지연주의"),IF($W178="정상","✓ 정상","? 확인필요")))</f>
        <v>? 확인필요</v>
      </c>
      <c r="Y178" s="27"/>
      <c r="Z178" s="32"/>
    </row>
    <row r="179" customFormat="false" ht="15" hidden="false" customHeight="false" outlineLevel="0" collapsed="false">
      <c r="A179" s="24" t="n">
        <v>175</v>
      </c>
      <c r="B179" s="25" t="s">
        <v>212</v>
      </c>
      <c r="C179" s="25" t="s">
        <v>81</v>
      </c>
      <c r="D179" s="26" t="s">
        <v>609</v>
      </c>
      <c r="E179" s="25" t="s">
        <v>610</v>
      </c>
      <c r="F179" s="26" t="s">
        <v>560</v>
      </c>
      <c r="G179" s="24" t="str">
        <f aca="false">IF($D179="","",IF(MID($D179,5,1)="S","S(봄)",IF(MID($D179,5,1)="M","M(여름)",IF(MID($D179,5,1)="X","X(사계절)",MID($D179,5,1)))))</f>
        <v>M(여름)</v>
      </c>
      <c r="H179" s="25" t="s">
        <v>67</v>
      </c>
      <c r="I179" s="24" t="s">
        <v>469</v>
      </c>
      <c r="J179" s="27" t="s">
        <v>529</v>
      </c>
      <c r="K179" s="28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46447</v>
      </c>
      <c r="L179" s="28" t="n">
        <f aca="false">IF($K179="","",$K179-기준정보!$C$5)</f>
        <v>46433</v>
      </c>
      <c r="M179" s="28" t="n">
        <f aca="false">IF($L179="","",$L179-기준정보!$C$6)</f>
        <v>46343</v>
      </c>
      <c r="N179" s="29" t="n">
        <f aca="false">IF($M179="","",$M179-기준정보!$C$4)</f>
        <v>101</v>
      </c>
      <c r="O179" s="27" t="s">
        <v>70</v>
      </c>
      <c r="P179" s="27" t="s">
        <v>71</v>
      </c>
      <c r="Q179" s="30"/>
      <c r="R179" s="26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S179" s="25" t="s">
        <v>299</v>
      </c>
      <c r="T179" s="25" t="s">
        <v>73</v>
      </c>
      <c r="U179" s="31" t="n">
        <v>500</v>
      </c>
      <c r="V179" s="26"/>
      <c r="W179" s="26" t="str">
        <f aca="false">IF($K179="","출고일 미정",IF($O179="X","작지 미발행",IF($O179="부분","작지 일부 미발행",IF(AND($Q179&lt;&gt;"",$Q179&gt;$M179),"소재입고 마감("&amp;TEXT($M179,"MM/DD")&amp;") 초과",IF($O179="","발행여부 확인 필요",IF($Q179="","소재 입고일정 확인 필요","정상"))))))</f>
        <v>소재 입고일정 확인 필요</v>
      </c>
      <c r="X179" s="24" t="str">
        <f aca="false">IF($K179="","",IF(OR(LEFT($W179,2)="작지",LEFT($W179,4)="소재입고"),IF(LEFT($G179,1)="S","★ 납기위험(S코드)","◆ 지연주의"),IF($W179="정상","✓ 정상","? 확인필요")))</f>
        <v>? 확인필요</v>
      </c>
      <c r="Y179" s="27"/>
      <c r="Z179" s="32"/>
    </row>
    <row r="180" customFormat="false" ht="15" hidden="false" customHeight="false" outlineLevel="0" collapsed="false">
      <c r="A180" s="24" t="n">
        <v>176</v>
      </c>
      <c r="B180" s="25" t="s">
        <v>187</v>
      </c>
      <c r="C180" s="25" t="s">
        <v>188</v>
      </c>
      <c r="D180" s="26" t="s">
        <v>611</v>
      </c>
      <c r="E180" s="25" t="s">
        <v>612</v>
      </c>
      <c r="F180" s="26" t="s">
        <v>613</v>
      </c>
      <c r="G180" s="24" t="str">
        <f aca="false">IF($D180="","",IF(MID($D180,5,1)="S","S(봄)",IF(MID($D180,5,1)="M","M(여름)",IF(MID($D180,5,1)="X","X(사계절)",MID($D180,5,1)))))</f>
        <v>M(여름)</v>
      </c>
      <c r="H180" s="26" t="s">
        <v>197</v>
      </c>
      <c r="I180" s="24"/>
      <c r="J180" s="27" t="s">
        <v>614</v>
      </c>
      <c r="K180" s="28" t="n">
        <f aca="false">IF($J180="","",IFERROR(DATE(IF(VALUE(LEFT($J180,FIND("월",$J180)-1))&gt;=9,기준정보!$C$7-1,기준정보!$C$7),VALUE(LEFT($J180,FIND("월",$J180)-1)),1+7*(VALUE(SUBSTITUTE(MID($J180,FIND("월",$J180)+1,5),"주",""))-1)),""))</f>
        <v>46454</v>
      </c>
      <c r="L180" s="28" t="n">
        <f aca="false">IF($K180="","",$K180-기준정보!$C$5)</f>
        <v>46440</v>
      </c>
      <c r="M180" s="28" t="n">
        <f aca="false">IF($L180="","",$L180-기준정보!$C$6)</f>
        <v>46350</v>
      </c>
      <c r="N180" s="29" t="n">
        <f aca="false">IF($M180="","",$M180-기준정보!$C$4)</f>
        <v>108</v>
      </c>
      <c r="O180" s="27" t="s">
        <v>70</v>
      </c>
      <c r="P180" s="27" t="s">
        <v>71</v>
      </c>
      <c r="Q180" s="30"/>
      <c r="R180" s="26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S180" s="25" t="s">
        <v>254</v>
      </c>
      <c r="T180" s="26"/>
      <c r="U180" s="31" t="n">
        <v>9000</v>
      </c>
      <c r="V180" s="26" t="s">
        <v>614</v>
      </c>
      <c r="W180" s="26" t="str">
        <f aca="false">IF($K180="","출고일 미정",IF($O180="X","작지 미발행",IF($O180="부분","작지 일부 미발행",IF(AND($Q180&lt;&gt;"",$Q180&gt;$M180),"소재입고 마감("&amp;TEXT($M180,"MM/DD")&amp;") 초과",IF($O180="","발행여부 확인 필요",IF($Q180="","소재 입고일정 확인 필요","정상"))))))</f>
        <v>소재 입고일정 확인 필요</v>
      </c>
      <c r="X180" s="24" t="str">
        <f aca="false">IF($K180="","",IF(OR(LEFT($W180,2)="작지",LEFT($W180,4)="소재입고"),IF(LEFT($G180,1)="S","★ 납기위험(S코드)","◆ 지연주의"),IF($W180="정상","✓ 정상","? 확인필요")))</f>
        <v>? 확인필요</v>
      </c>
      <c r="Y180" s="27"/>
      <c r="Z180" s="32"/>
    </row>
    <row r="181" customFormat="false" ht="15" hidden="false" customHeight="false" outlineLevel="0" collapsed="false">
      <c r="A181" s="24" t="n">
        <v>177</v>
      </c>
      <c r="B181" s="25" t="s">
        <v>187</v>
      </c>
      <c r="C181" s="25" t="s">
        <v>188</v>
      </c>
      <c r="D181" s="26" t="s">
        <v>615</v>
      </c>
      <c r="E181" s="25" t="s">
        <v>616</v>
      </c>
      <c r="F181" s="26" t="s">
        <v>617</v>
      </c>
      <c r="G181" s="24" t="str">
        <f aca="false">IF($D181="","",IF(MID($D181,5,1)="S","S(봄)",IF(MID($D181,5,1)="M","M(여름)",IF(MID($D181,5,1)="X","X(사계절)",MID($D181,5,1)))))</f>
        <v>M(여름)</v>
      </c>
      <c r="H181" s="25" t="s">
        <v>67</v>
      </c>
      <c r="I181" s="24"/>
      <c r="J181" s="27" t="s">
        <v>614</v>
      </c>
      <c r="K181" s="28" t="n">
        <f aca="false">IF($J181="","",IFERROR(DATE(IF(VALUE(LEFT($J181,FIND("월",$J181)-1))&gt;=9,기준정보!$C$7-1,기준정보!$C$7),VALUE(LEFT($J181,FIND("월",$J181)-1)),1+7*(VALUE(SUBSTITUTE(MID($J181,FIND("월",$J181)+1,5),"주",""))-1)),""))</f>
        <v>46454</v>
      </c>
      <c r="L181" s="28" t="n">
        <f aca="false">IF($K181="","",$K181-기준정보!$C$5)</f>
        <v>46440</v>
      </c>
      <c r="M181" s="28" t="n">
        <f aca="false">IF($L181="","",$L181-기준정보!$C$6)</f>
        <v>46350</v>
      </c>
      <c r="N181" s="29" t="n">
        <f aca="false">IF($M181="","",$M181-기준정보!$C$4)</f>
        <v>108</v>
      </c>
      <c r="O181" s="27" t="s">
        <v>70</v>
      </c>
      <c r="P181" s="27" t="s">
        <v>71</v>
      </c>
      <c r="Q181" s="30"/>
      <c r="R181" s="26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S181" s="25" t="s">
        <v>77</v>
      </c>
      <c r="T181" s="26"/>
      <c r="U181" s="31" t="n">
        <v>2200</v>
      </c>
      <c r="V181" s="26" t="s">
        <v>614</v>
      </c>
      <c r="W181" s="26" t="str">
        <f aca="false">IF($K181="","출고일 미정",IF($O181="X","작지 미발행",IF($O181="부분","작지 일부 미발행",IF(AND($Q181&lt;&gt;"",$Q181&gt;$M181),"소재입고 마감("&amp;TEXT($M181,"MM/DD")&amp;") 초과",IF($O181="","발행여부 확인 필요",IF($Q181="","소재 입고일정 확인 필요","정상"))))))</f>
        <v>소재 입고일정 확인 필요</v>
      </c>
      <c r="X181" s="24" t="str">
        <f aca="false">IF($K181="","",IF(OR(LEFT($W181,2)="작지",LEFT($W181,4)="소재입고"),IF(LEFT($G181,1)="S","★ 납기위험(S코드)","◆ 지연주의"),IF($W181="정상","✓ 정상","? 확인필요")))</f>
        <v>? 확인필요</v>
      </c>
      <c r="Y181" s="27"/>
      <c r="Z181" s="32"/>
    </row>
    <row r="182" customFormat="false" ht="15" hidden="false" customHeight="false" outlineLevel="0" collapsed="false">
      <c r="A182" s="24" t="n">
        <v>178</v>
      </c>
      <c r="B182" s="25" t="s">
        <v>187</v>
      </c>
      <c r="C182" s="25" t="s">
        <v>188</v>
      </c>
      <c r="D182" s="26" t="s">
        <v>618</v>
      </c>
      <c r="E182" s="25" t="s">
        <v>619</v>
      </c>
      <c r="F182" s="26" t="s">
        <v>207</v>
      </c>
      <c r="G182" s="24" t="str">
        <f aca="false">IF($D182="","",IF(MID($D182,5,1)="S","S(봄)",IF(MID($D182,5,1)="M","M(여름)",IF(MID($D182,5,1)="X","X(사계절)",MID($D182,5,1)))))</f>
        <v>M(여름)</v>
      </c>
      <c r="H182" s="25" t="s">
        <v>67</v>
      </c>
      <c r="I182" s="24"/>
      <c r="J182" s="27" t="s">
        <v>614</v>
      </c>
      <c r="K182" s="28" t="n">
        <f aca="false">IF($J182="","",IFERROR(DATE(IF(VALUE(LEFT($J182,FIND("월",$J182)-1))&gt;=9,기준정보!$C$7-1,기준정보!$C$7),VALUE(LEFT($J182,FIND("월",$J182)-1)),1+7*(VALUE(SUBSTITUTE(MID($J182,FIND("월",$J182)+1,5),"주",""))-1)),""))</f>
        <v>46454</v>
      </c>
      <c r="L182" s="28" t="n">
        <f aca="false">IF($K182="","",$K182-기준정보!$C$5)</f>
        <v>46440</v>
      </c>
      <c r="M182" s="28" t="n">
        <f aca="false">IF($L182="","",$L182-기준정보!$C$6)</f>
        <v>46350</v>
      </c>
      <c r="N182" s="29" t="n">
        <f aca="false">IF($M182="","",$M182-기준정보!$C$4)</f>
        <v>108</v>
      </c>
      <c r="O182" s="27" t="s">
        <v>70</v>
      </c>
      <c r="P182" s="27" t="s">
        <v>71</v>
      </c>
      <c r="Q182" s="30"/>
      <c r="R182" s="26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S182" s="25" t="s">
        <v>254</v>
      </c>
      <c r="T182" s="26"/>
      <c r="U182" s="31" t="n">
        <v>2000</v>
      </c>
      <c r="V182" s="26" t="s">
        <v>614</v>
      </c>
      <c r="W182" s="26" t="str">
        <f aca="false">IF($K182="","출고일 미정",IF($O182="X","작지 미발행",IF($O182="부분","작지 일부 미발행",IF(AND($Q182&lt;&gt;"",$Q182&gt;$M182),"소재입고 마감("&amp;TEXT($M182,"MM/DD")&amp;") 초과",IF($O182="","발행여부 확인 필요",IF($Q182="","소재 입고일정 확인 필요","정상"))))))</f>
        <v>소재 입고일정 확인 필요</v>
      </c>
      <c r="X182" s="24" t="str">
        <f aca="false">IF($K182="","",IF(OR(LEFT($W182,2)="작지",LEFT($W182,4)="소재입고"),IF(LEFT($G182,1)="S","★ 납기위험(S코드)","◆ 지연주의"),IF($W182="정상","✓ 정상","? 확인필요")))</f>
        <v>? 확인필요</v>
      </c>
      <c r="Y182" s="27"/>
      <c r="Z182" s="32"/>
    </row>
    <row r="183" customFormat="false" ht="15" hidden="false" customHeight="false" outlineLevel="0" collapsed="false">
      <c r="A183" s="24" t="n">
        <v>179</v>
      </c>
      <c r="B183" s="25" t="s">
        <v>192</v>
      </c>
      <c r="C183" s="25" t="s">
        <v>193</v>
      </c>
      <c r="D183" s="26" t="s">
        <v>620</v>
      </c>
      <c r="E183" s="25" t="s">
        <v>621</v>
      </c>
      <c r="F183" s="26" t="s">
        <v>622</v>
      </c>
      <c r="G183" s="24" t="str">
        <f aca="false">IF($D183="","",IF(MID($D183,5,1)="S","S(봄)",IF(MID($D183,5,1)="M","M(여름)",IF(MID($D183,5,1)="X","X(사계절)",MID($D183,5,1)))))</f>
        <v>M(여름)</v>
      </c>
      <c r="H183" s="26" t="s">
        <v>197</v>
      </c>
      <c r="I183" s="24"/>
      <c r="J183" s="27" t="s">
        <v>614</v>
      </c>
      <c r="K183" s="28" t="n">
        <f aca="false">IF($J183="","",IFERROR(DATE(IF(VALUE(LEFT($J183,FIND("월",$J183)-1))&gt;=9,기준정보!$C$7-1,기준정보!$C$7),VALUE(LEFT($J183,FIND("월",$J183)-1)),1+7*(VALUE(SUBSTITUTE(MID($J183,FIND("월",$J183)+1,5),"주",""))-1)),""))</f>
        <v>46454</v>
      </c>
      <c r="L183" s="28" t="n">
        <f aca="false">IF($K183="","",$K183-기준정보!$C$5)</f>
        <v>46440</v>
      </c>
      <c r="M183" s="28" t="n">
        <f aca="false">IF($L183="","",$L183-기준정보!$C$6)</f>
        <v>46350</v>
      </c>
      <c r="N183" s="29" t="n">
        <f aca="false">IF($M183="","",$M183-기준정보!$C$4)</f>
        <v>108</v>
      </c>
      <c r="O183" s="27" t="s">
        <v>70</v>
      </c>
      <c r="P183" s="27" t="s">
        <v>71</v>
      </c>
      <c r="Q183" s="30"/>
      <c r="R183" s="26" t="str">
        <f aca="false">IF($H183="","",IF(AND(ISNUMBER(SEARCH("CMT",$H183)),OR(ISNUMBER(SEARCH("완사입",$H183)),ISNUMBER(SEARCH("ODM",$H183)))),"본사/생산처 혼재",IF(ISNUMBER(SEARCH("CMT",$H183)),"본사(소재팀)","생산처")))</f>
        <v>본사(소재팀)</v>
      </c>
      <c r="S183" s="25" t="s">
        <v>198</v>
      </c>
      <c r="T183" s="25" t="s">
        <v>73</v>
      </c>
      <c r="U183" s="31" t="n">
        <v>6000</v>
      </c>
      <c r="V183" s="26" t="s">
        <v>614</v>
      </c>
      <c r="W183" s="26" t="str">
        <f aca="false">IF($K183="","출고일 미정",IF($O183="X","작지 미발행",IF($O183="부분","작지 일부 미발행",IF(AND($Q183&lt;&gt;"",$Q183&gt;$M183),"소재입고 마감("&amp;TEXT($M183,"MM/DD")&amp;") 초과",IF($O183="","발행여부 확인 필요",IF($Q183="","소재 입고일정 확인 필요","정상"))))))</f>
        <v>소재 입고일정 확인 필요</v>
      </c>
      <c r="X183" s="24" t="str">
        <f aca="false">IF($K183="","",IF(OR(LEFT($W183,2)="작지",LEFT($W183,4)="소재입고"),IF(LEFT($G183,1)="S","★ 납기위험(S코드)","◆ 지연주의"),IF($W183="정상","✓ 정상","? 확인필요")))</f>
        <v>? 확인필요</v>
      </c>
      <c r="Y183" s="27"/>
      <c r="Z183" s="32"/>
    </row>
    <row r="184" customFormat="false" ht="15" hidden="false" customHeight="false" outlineLevel="0" collapsed="false">
      <c r="A184" s="24" t="n">
        <v>180</v>
      </c>
      <c r="B184" s="25" t="s">
        <v>192</v>
      </c>
      <c r="C184" s="25" t="s">
        <v>193</v>
      </c>
      <c r="D184" s="26" t="s">
        <v>623</v>
      </c>
      <c r="E184" s="25" t="s">
        <v>624</v>
      </c>
      <c r="F184" s="26" t="s">
        <v>207</v>
      </c>
      <c r="G184" s="24" t="str">
        <f aca="false">IF($D184="","",IF(MID($D184,5,1)="S","S(봄)",IF(MID($D184,5,1)="M","M(여름)",IF(MID($D184,5,1)="X","X(사계절)",MID($D184,5,1)))))</f>
        <v>M(여름)</v>
      </c>
      <c r="H184" s="25" t="s">
        <v>67</v>
      </c>
      <c r="I184" s="24"/>
      <c r="J184" s="27" t="s">
        <v>614</v>
      </c>
      <c r="K184" s="28" t="n">
        <f aca="false">IF($J184="","",IFERROR(DATE(IF(VALUE(LEFT($J184,FIND("월",$J184)-1))&gt;=9,기준정보!$C$7-1,기준정보!$C$7),VALUE(LEFT($J184,FIND("월",$J184)-1)),1+7*(VALUE(SUBSTITUTE(MID($J184,FIND("월",$J184)+1,5),"주",""))-1)),""))</f>
        <v>46454</v>
      </c>
      <c r="L184" s="28" t="n">
        <f aca="false">IF($K184="","",$K184-기준정보!$C$5)</f>
        <v>46440</v>
      </c>
      <c r="M184" s="28" t="n">
        <f aca="false">IF($L184="","",$L184-기준정보!$C$6)</f>
        <v>46350</v>
      </c>
      <c r="N184" s="29" t="n">
        <f aca="false">IF($M184="","",$M184-기준정보!$C$4)</f>
        <v>108</v>
      </c>
      <c r="O184" s="27" t="s">
        <v>70</v>
      </c>
      <c r="P184" s="27" t="s">
        <v>71</v>
      </c>
      <c r="Q184" s="30"/>
      <c r="R184" s="26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S184" s="26" t="s">
        <v>137</v>
      </c>
      <c r="T184" s="25" t="s">
        <v>73</v>
      </c>
      <c r="U184" s="31" t="n">
        <v>3700</v>
      </c>
      <c r="V184" s="26" t="s">
        <v>614</v>
      </c>
      <c r="W184" s="26" t="str">
        <f aca="false">IF($K184="","출고일 미정",IF($O184="X","작지 미발행",IF($O184="부분","작지 일부 미발행",IF(AND($Q184&lt;&gt;"",$Q184&gt;$M184),"소재입고 마감("&amp;TEXT($M184,"MM/DD")&amp;") 초과",IF($O184="","발행여부 확인 필요",IF($Q184="","소재 입고일정 확인 필요","정상"))))))</f>
        <v>소재 입고일정 확인 필요</v>
      </c>
      <c r="X184" s="24" t="str">
        <f aca="false">IF($K184="","",IF(OR(LEFT($W184,2)="작지",LEFT($W184,4)="소재입고"),IF(LEFT($G184,1)="S","★ 납기위험(S코드)","◆ 지연주의"),IF($W184="정상","✓ 정상","? 확인필요")))</f>
        <v>? 확인필요</v>
      </c>
      <c r="Y184" s="27"/>
      <c r="Z184" s="32"/>
    </row>
    <row r="185" customFormat="false" ht="15" hidden="false" customHeight="false" outlineLevel="0" collapsed="false">
      <c r="A185" s="24" t="n">
        <v>181</v>
      </c>
      <c r="B185" s="25" t="s">
        <v>192</v>
      </c>
      <c r="C185" s="25" t="s">
        <v>193</v>
      </c>
      <c r="D185" s="26" t="s">
        <v>625</v>
      </c>
      <c r="E185" s="25" t="s">
        <v>626</v>
      </c>
      <c r="F185" s="26" t="s">
        <v>148</v>
      </c>
      <c r="G185" s="24" t="str">
        <f aca="false">IF($D185="","",IF(MID($D185,5,1)="S","S(봄)",IF(MID($D185,5,1)="M","M(여름)",IF(MID($D185,5,1)="X","X(사계절)",MID($D185,5,1)))))</f>
        <v>M(여름)</v>
      </c>
      <c r="H185" s="25" t="s">
        <v>67</v>
      </c>
      <c r="I185" s="24"/>
      <c r="J185" s="27" t="s">
        <v>614</v>
      </c>
      <c r="K185" s="28" t="n">
        <f aca="false">IF($J185="","",IFERROR(DATE(IF(VALUE(LEFT($J185,FIND("월",$J185)-1))&gt;=9,기준정보!$C$7-1,기준정보!$C$7),VALUE(LEFT($J185,FIND("월",$J185)-1)),1+7*(VALUE(SUBSTITUTE(MID($J185,FIND("월",$J185)+1,5),"주",""))-1)),""))</f>
        <v>46454</v>
      </c>
      <c r="L185" s="28" t="n">
        <f aca="false">IF($K185="","",$K185-기준정보!$C$5)</f>
        <v>46440</v>
      </c>
      <c r="M185" s="28" t="n">
        <f aca="false">IF($L185="","",$L185-기준정보!$C$6)</f>
        <v>46350</v>
      </c>
      <c r="N185" s="29" t="n">
        <f aca="false">IF($M185="","",$M185-기준정보!$C$4)</f>
        <v>108</v>
      </c>
      <c r="O185" s="27" t="s">
        <v>70</v>
      </c>
      <c r="P185" s="27" t="s">
        <v>71</v>
      </c>
      <c r="Q185" s="30"/>
      <c r="R185" s="26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S185" s="26" t="s">
        <v>137</v>
      </c>
      <c r="T185" s="25" t="s">
        <v>73</v>
      </c>
      <c r="U185" s="31" t="n">
        <v>2000</v>
      </c>
      <c r="V185" s="26" t="s">
        <v>614</v>
      </c>
      <c r="W185" s="26" t="str">
        <f aca="false">IF($K185="","출고일 미정",IF($O185="X","작지 미발행",IF($O185="부분","작지 일부 미발행",IF(AND($Q185&lt;&gt;"",$Q185&gt;$M185),"소재입고 마감("&amp;TEXT($M185,"MM/DD")&amp;") 초과",IF($O185="","발행여부 확인 필요",IF($Q185="","소재 입고일정 확인 필요","정상"))))))</f>
        <v>소재 입고일정 확인 필요</v>
      </c>
      <c r="X185" s="24" t="str">
        <f aca="false">IF($K185="","",IF(OR(LEFT($W185,2)="작지",LEFT($W185,4)="소재입고"),IF(LEFT($G185,1)="S","★ 납기위험(S코드)","◆ 지연주의"),IF($W185="정상","✓ 정상","? 확인필요")))</f>
        <v>? 확인필요</v>
      </c>
      <c r="Y185" s="27"/>
      <c r="Z185" s="32"/>
    </row>
    <row r="186" customFormat="false" ht="15" hidden="false" customHeight="false" outlineLevel="0" collapsed="false">
      <c r="A186" s="24" t="n">
        <v>182</v>
      </c>
      <c r="B186" s="25" t="s">
        <v>192</v>
      </c>
      <c r="C186" s="25" t="s">
        <v>193</v>
      </c>
      <c r="D186" s="26" t="s">
        <v>627</v>
      </c>
      <c r="E186" s="25" t="s">
        <v>628</v>
      </c>
      <c r="F186" s="26" t="s">
        <v>148</v>
      </c>
      <c r="G186" s="24" t="str">
        <f aca="false">IF($D186="","",IF(MID($D186,5,1)="S","S(봄)",IF(MID($D186,5,1)="M","M(여름)",IF(MID($D186,5,1)="X","X(사계절)",MID($D186,5,1)))))</f>
        <v>M(여름)</v>
      </c>
      <c r="H186" s="25" t="s">
        <v>67</v>
      </c>
      <c r="I186" s="24"/>
      <c r="J186" s="27" t="s">
        <v>614</v>
      </c>
      <c r="K186" s="28" t="n">
        <f aca="false">IF($J186="","",IFERROR(DATE(IF(VALUE(LEFT($J186,FIND("월",$J186)-1))&gt;=9,기준정보!$C$7-1,기준정보!$C$7),VALUE(LEFT($J186,FIND("월",$J186)-1)),1+7*(VALUE(SUBSTITUTE(MID($J186,FIND("월",$J186)+1,5),"주",""))-1)),""))</f>
        <v>46454</v>
      </c>
      <c r="L186" s="28" t="n">
        <f aca="false">IF($K186="","",$K186-기준정보!$C$5)</f>
        <v>46440</v>
      </c>
      <c r="M186" s="28" t="n">
        <f aca="false">IF($L186="","",$L186-기준정보!$C$6)</f>
        <v>46350</v>
      </c>
      <c r="N186" s="29" t="n">
        <f aca="false">IF($M186="","",$M186-기준정보!$C$4)</f>
        <v>108</v>
      </c>
      <c r="O186" s="27" t="s">
        <v>70</v>
      </c>
      <c r="P186" s="27" t="s">
        <v>71</v>
      </c>
      <c r="Q186" s="30"/>
      <c r="R186" s="26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S186" s="25" t="s">
        <v>227</v>
      </c>
      <c r="T186" s="25" t="s">
        <v>73</v>
      </c>
      <c r="U186" s="31" t="n">
        <v>2000</v>
      </c>
      <c r="V186" s="26" t="s">
        <v>614</v>
      </c>
      <c r="W186" s="26" t="str">
        <f aca="false">IF($K186="","출고일 미정",IF($O186="X","작지 미발행",IF($O186="부분","작지 일부 미발행",IF(AND($Q186&lt;&gt;"",$Q186&gt;$M186),"소재입고 마감("&amp;TEXT($M186,"MM/DD")&amp;") 초과",IF($O186="","발행여부 확인 필요",IF($Q186="","소재 입고일정 확인 필요","정상"))))))</f>
        <v>소재 입고일정 확인 필요</v>
      </c>
      <c r="X186" s="24" t="str">
        <f aca="false">IF($K186="","",IF(OR(LEFT($W186,2)="작지",LEFT($W186,4)="소재입고"),IF(LEFT($G186,1)="S","★ 납기위험(S코드)","◆ 지연주의"),IF($W186="정상","✓ 정상","? 확인필요")))</f>
        <v>? 확인필요</v>
      </c>
      <c r="Y186" s="27"/>
      <c r="Z186" s="32"/>
    </row>
    <row r="187" customFormat="false" ht="15" hidden="false" customHeight="false" outlineLevel="0" collapsed="false">
      <c r="A187" s="24" t="n">
        <v>183</v>
      </c>
      <c r="B187" s="25" t="s">
        <v>192</v>
      </c>
      <c r="C187" s="25" t="s">
        <v>193</v>
      </c>
      <c r="D187" s="26" t="s">
        <v>629</v>
      </c>
      <c r="E187" s="25" t="s">
        <v>630</v>
      </c>
      <c r="F187" s="26" t="s">
        <v>631</v>
      </c>
      <c r="G187" s="24" t="str">
        <f aca="false">IF($D187="","",IF(MID($D187,5,1)="S","S(봄)",IF(MID($D187,5,1)="M","M(여름)",IF(MID($D187,5,1)="X","X(사계절)",MID($D187,5,1)))))</f>
        <v>M(여름)</v>
      </c>
      <c r="H187" s="25" t="s">
        <v>67</v>
      </c>
      <c r="I187" s="24"/>
      <c r="J187" s="27" t="s">
        <v>614</v>
      </c>
      <c r="K187" s="28" t="n">
        <f aca="false">IF($J187="","",IFERROR(DATE(IF(VALUE(LEFT($J187,FIND("월",$J187)-1))&gt;=9,기준정보!$C$7-1,기준정보!$C$7),VALUE(LEFT($J187,FIND("월",$J187)-1)),1+7*(VALUE(SUBSTITUTE(MID($J187,FIND("월",$J187)+1,5),"주",""))-1)),""))</f>
        <v>46454</v>
      </c>
      <c r="L187" s="28" t="n">
        <f aca="false">IF($K187="","",$K187-기준정보!$C$5)</f>
        <v>46440</v>
      </c>
      <c r="M187" s="28" t="n">
        <f aca="false">IF($L187="","",$L187-기준정보!$C$6)</f>
        <v>46350</v>
      </c>
      <c r="N187" s="29" t="n">
        <f aca="false">IF($M187="","",$M187-기준정보!$C$4)</f>
        <v>108</v>
      </c>
      <c r="O187" s="27" t="s">
        <v>70</v>
      </c>
      <c r="P187" s="27" t="s">
        <v>71</v>
      </c>
      <c r="Q187" s="30"/>
      <c r="R187" s="26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S187" s="26" t="s">
        <v>118</v>
      </c>
      <c r="T187" s="25" t="s">
        <v>73</v>
      </c>
      <c r="U187" s="31" t="n">
        <v>1500</v>
      </c>
      <c r="V187" s="26" t="s">
        <v>614</v>
      </c>
      <c r="W187" s="26" t="str">
        <f aca="false">IF($K187="","출고일 미정",IF($O187="X","작지 미발행",IF($O187="부분","작지 일부 미발행",IF(AND($Q187&lt;&gt;"",$Q187&gt;$M187),"소재입고 마감("&amp;TEXT($M187,"MM/DD")&amp;") 초과",IF($O187="","발행여부 확인 필요",IF($Q187="","소재 입고일정 확인 필요","정상"))))))</f>
        <v>소재 입고일정 확인 필요</v>
      </c>
      <c r="X187" s="24" t="str">
        <f aca="false">IF($K187="","",IF(OR(LEFT($W187,2)="작지",LEFT($W187,4)="소재입고"),IF(LEFT($G187,1)="S","★ 납기위험(S코드)","◆ 지연주의"),IF($W187="정상","✓ 정상","? 확인필요")))</f>
        <v>? 확인필요</v>
      </c>
      <c r="Y187" s="27"/>
      <c r="Z187" s="32"/>
    </row>
    <row r="188" customFormat="false" ht="15" hidden="false" customHeight="false" outlineLevel="0" collapsed="false">
      <c r="A188" s="24" t="n">
        <v>184</v>
      </c>
      <c r="B188" s="25" t="s">
        <v>192</v>
      </c>
      <c r="C188" s="25" t="s">
        <v>193</v>
      </c>
      <c r="D188" s="26" t="s">
        <v>632</v>
      </c>
      <c r="E188" s="25" t="s">
        <v>633</v>
      </c>
      <c r="F188" s="26" t="s">
        <v>634</v>
      </c>
      <c r="G188" s="24" t="str">
        <f aca="false">IF($D188="","",IF(MID($D188,5,1)="S","S(봄)",IF(MID($D188,5,1)="M","M(여름)",IF(MID($D188,5,1)="X","X(사계절)",MID($D188,5,1)))))</f>
        <v>M(여름)</v>
      </c>
      <c r="H188" s="25" t="s">
        <v>67</v>
      </c>
      <c r="I188" s="24"/>
      <c r="J188" s="27" t="s">
        <v>614</v>
      </c>
      <c r="K188" s="28" t="n">
        <f aca="false">IF($J188="","",IFERROR(DATE(IF(VALUE(LEFT($J188,FIND("월",$J188)-1))&gt;=9,기준정보!$C$7-1,기준정보!$C$7),VALUE(LEFT($J188,FIND("월",$J188)-1)),1+7*(VALUE(SUBSTITUTE(MID($J188,FIND("월",$J188)+1,5),"주",""))-1)),""))</f>
        <v>46454</v>
      </c>
      <c r="L188" s="28" t="n">
        <f aca="false">IF($K188="","",$K188-기준정보!$C$5)</f>
        <v>46440</v>
      </c>
      <c r="M188" s="28" t="n">
        <f aca="false">IF($L188="","",$L188-기준정보!$C$6)</f>
        <v>46350</v>
      </c>
      <c r="N188" s="29" t="n">
        <f aca="false">IF($M188="","",$M188-기준정보!$C$4)</f>
        <v>108</v>
      </c>
      <c r="O188" s="27" t="s">
        <v>70</v>
      </c>
      <c r="P188" s="27" t="s">
        <v>71</v>
      </c>
      <c r="Q188" s="30"/>
      <c r="R188" s="26" t="str">
        <f aca="false">IF($H188="","",IF(AND(ISNUMBER(SEARCH("CMT",$H188)),OR(ISNUMBER(SEARCH("완사입",$H188)),ISNUMBER(SEARCH("ODM",$H188)))),"본사/생산처 혼재",IF(ISNUMBER(SEARCH("CMT",$H188)),"본사(소재팀)","생산처")))</f>
        <v>생산처</v>
      </c>
      <c r="S188" s="26" t="s">
        <v>118</v>
      </c>
      <c r="T188" s="25" t="s">
        <v>73</v>
      </c>
      <c r="U188" s="31" t="n">
        <v>6300</v>
      </c>
      <c r="V188" s="26" t="s">
        <v>614</v>
      </c>
      <c r="W188" s="26" t="str">
        <f aca="false">IF($K188="","출고일 미정",IF($O188="X","작지 미발행",IF($O188="부분","작지 일부 미발행",IF(AND($Q188&lt;&gt;"",$Q188&gt;$M188),"소재입고 마감("&amp;TEXT($M188,"MM/DD")&amp;") 초과",IF($O188="","발행여부 확인 필요",IF($Q188="","소재 입고일정 확인 필요","정상"))))))</f>
        <v>소재 입고일정 확인 필요</v>
      </c>
      <c r="X188" s="24" t="str">
        <f aca="false">IF($K188="","",IF(OR(LEFT($W188,2)="작지",LEFT($W188,4)="소재입고"),IF(LEFT($G188,1)="S","★ 납기위험(S코드)","◆ 지연주의"),IF($W188="정상","✓ 정상","? 확인필요")))</f>
        <v>? 확인필요</v>
      </c>
      <c r="Y188" s="27"/>
      <c r="Z188" s="32"/>
    </row>
    <row r="189" customFormat="false" ht="15" hidden="false" customHeight="false" outlineLevel="0" collapsed="false">
      <c r="A189" s="24" t="n">
        <v>185</v>
      </c>
      <c r="B189" s="25" t="s">
        <v>192</v>
      </c>
      <c r="C189" s="25" t="s">
        <v>193</v>
      </c>
      <c r="D189" s="26" t="s">
        <v>635</v>
      </c>
      <c r="E189" s="25" t="s">
        <v>636</v>
      </c>
      <c r="F189" s="26" t="s">
        <v>637</v>
      </c>
      <c r="G189" s="24" t="str">
        <f aca="false">IF($D189="","",IF(MID($D189,5,1)="S","S(봄)",IF(MID($D189,5,1)="M","M(여름)",IF(MID($D189,5,1)="X","X(사계절)",MID($D189,5,1)))))</f>
        <v>M(여름)</v>
      </c>
      <c r="H189" s="25" t="s">
        <v>67</v>
      </c>
      <c r="I189" s="24"/>
      <c r="J189" s="27" t="s">
        <v>614</v>
      </c>
      <c r="K189" s="28" t="n">
        <f aca="false">IF($J189="","",IFERROR(DATE(IF(VALUE(LEFT($J189,FIND("월",$J189)-1))&gt;=9,기준정보!$C$7-1,기준정보!$C$7),VALUE(LEFT($J189,FIND("월",$J189)-1)),1+7*(VALUE(SUBSTITUTE(MID($J189,FIND("월",$J189)+1,5),"주",""))-1)),""))</f>
        <v>46454</v>
      </c>
      <c r="L189" s="28" t="n">
        <f aca="false">IF($K189="","",$K189-기준정보!$C$5)</f>
        <v>46440</v>
      </c>
      <c r="M189" s="28" t="n">
        <f aca="false">IF($L189="","",$L189-기준정보!$C$6)</f>
        <v>46350</v>
      </c>
      <c r="N189" s="29" t="n">
        <f aca="false">IF($M189="","",$M189-기준정보!$C$4)</f>
        <v>108</v>
      </c>
      <c r="O189" s="27" t="s">
        <v>70</v>
      </c>
      <c r="P189" s="27" t="s">
        <v>71</v>
      </c>
      <c r="Q189" s="30"/>
      <c r="R189" s="26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S189" s="25" t="s">
        <v>299</v>
      </c>
      <c r="T189" s="25" t="s">
        <v>73</v>
      </c>
      <c r="U189" s="31" t="n">
        <v>5700</v>
      </c>
      <c r="V189" s="26" t="s">
        <v>614</v>
      </c>
      <c r="W189" s="26" t="str">
        <f aca="false">IF($K189="","출고일 미정",IF($O189="X","작지 미발행",IF($O189="부분","작지 일부 미발행",IF(AND($Q189&lt;&gt;"",$Q189&gt;$M189),"소재입고 마감("&amp;TEXT($M189,"MM/DD")&amp;") 초과",IF($O189="","발행여부 확인 필요",IF($Q189="","소재 입고일정 확인 필요","정상"))))))</f>
        <v>소재 입고일정 확인 필요</v>
      </c>
      <c r="X189" s="24" t="str">
        <f aca="false">IF($K189="","",IF(OR(LEFT($W189,2)="작지",LEFT($W189,4)="소재입고"),IF(LEFT($G189,1)="S","★ 납기위험(S코드)","◆ 지연주의"),IF($W189="정상","✓ 정상","? 확인필요")))</f>
        <v>? 확인필요</v>
      </c>
      <c r="Y189" s="27"/>
      <c r="Z189" s="32"/>
    </row>
    <row r="190" customFormat="false" ht="15" hidden="false" customHeight="false" outlineLevel="0" collapsed="false">
      <c r="A190" s="24" t="n">
        <v>186</v>
      </c>
      <c r="B190" s="25" t="s">
        <v>192</v>
      </c>
      <c r="C190" s="25" t="s">
        <v>193</v>
      </c>
      <c r="D190" s="26" t="s">
        <v>638</v>
      </c>
      <c r="E190" s="25" t="s">
        <v>639</v>
      </c>
      <c r="F190" s="26" t="s">
        <v>640</v>
      </c>
      <c r="G190" s="24" t="str">
        <f aca="false">IF($D190="","",IF(MID($D190,5,1)="S","S(봄)",IF(MID($D190,5,1)="M","M(여름)",IF(MID($D190,5,1)="X","X(사계절)",MID($D190,5,1)))))</f>
        <v>M(여름)</v>
      </c>
      <c r="H190" s="25" t="s">
        <v>67</v>
      </c>
      <c r="I190" s="24"/>
      <c r="J190" s="27" t="s">
        <v>614</v>
      </c>
      <c r="K190" s="28" t="n">
        <f aca="false">IF($J190="","",IFERROR(DATE(IF(VALUE(LEFT($J190,FIND("월",$J190)-1))&gt;=9,기준정보!$C$7-1,기준정보!$C$7),VALUE(LEFT($J190,FIND("월",$J190)-1)),1+7*(VALUE(SUBSTITUTE(MID($J190,FIND("월",$J190)+1,5),"주",""))-1)),""))</f>
        <v>46454</v>
      </c>
      <c r="L190" s="28" t="n">
        <f aca="false">IF($K190="","",$K190-기준정보!$C$5)</f>
        <v>46440</v>
      </c>
      <c r="M190" s="28" t="n">
        <f aca="false">IF($L190="","",$L190-기준정보!$C$6)</f>
        <v>46350</v>
      </c>
      <c r="N190" s="29" t="n">
        <f aca="false">IF($M190="","",$M190-기준정보!$C$4)</f>
        <v>108</v>
      </c>
      <c r="O190" s="27" t="s">
        <v>70</v>
      </c>
      <c r="P190" s="27" t="s">
        <v>71</v>
      </c>
      <c r="Q190" s="30"/>
      <c r="R190" s="26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S190" s="25" t="s">
        <v>299</v>
      </c>
      <c r="T190" s="25" t="s">
        <v>73</v>
      </c>
      <c r="U190" s="31" t="n">
        <v>2500</v>
      </c>
      <c r="V190" s="26" t="s">
        <v>614</v>
      </c>
      <c r="W190" s="26" t="str">
        <f aca="false">IF($K190="","출고일 미정",IF($O190="X","작지 미발행",IF($O190="부분","작지 일부 미발행",IF(AND($Q190&lt;&gt;"",$Q190&gt;$M190),"소재입고 마감("&amp;TEXT($M190,"MM/DD")&amp;") 초과",IF($O190="","발행여부 확인 필요",IF($Q190="","소재 입고일정 확인 필요","정상"))))))</f>
        <v>소재 입고일정 확인 필요</v>
      </c>
      <c r="X190" s="24" t="str">
        <f aca="false">IF($K190="","",IF(OR(LEFT($W190,2)="작지",LEFT($W190,4)="소재입고"),IF(LEFT($G190,1)="S","★ 납기위험(S코드)","◆ 지연주의"),IF($W190="정상","✓ 정상","? 확인필요")))</f>
        <v>? 확인필요</v>
      </c>
      <c r="Y190" s="27"/>
      <c r="Z190" s="32"/>
    </row>
    <row r="191" customFormat="false" ht="15" hidden="false" customHeight="false" outlineLevel="0" collapsed="false">
      <c r="A191" s="24" t="n">
        <v>187</v>
      </c>
      <c r="B191" s="25" t="s">
        <v>192</v>
      </c>
      <c r="C191" s="25" t="s">
        <v>193</v>
      </c>
      <c r="D191" s="26" t="s">
        <v>641</v>
      </c>
      <c r="E191" s="25" t="s">
        <v>642</v>
      </c>
      <c r="F191" s="26" t="s">
        <v>637</v>
      </c>
      <c r="G191" s="24" t="str">
        <f aca="false">IF($D191="","",IF(MID($D191,5,1)="S","S(봄)",IF(MID($D191,5,1)="M","M(여름)",IF(MID($D191,5,1)="X","X(사계절)",MID($D191,5,1)))))</f>
        <v>M(여름)</v>
      </c>
      <c r="H191" s="25" t="s">
        <v>67</v>
      </c>
      <c r="I191" s="24"/>
      <c r="J191" s="27" t="s">
        <v>614</v>
      </c>
      <c r="K191" s="28" t="n">
        <f aca="false">IF($J191="","",IFERROR(DATE(IF(VALUE(LEFT($J191,FIND("월",$J191)-1))&gt;=9,기준정보!$C$7-1,기준정보!$C$7),VALUE(LEFT($J191,FIND("월",$J191)-1)),1+7*(VALUE(SUBSTITUTE(MID($J191,FIND("월",$J191)+1,5),"주",""))-1)),""))</f>
        <v>46454</v>
      </c>
      <c r="L191" s="28" t="n">
        <f aca="false">IF($K191="","",$K191-기준정보!$C$5)</f>
        <v>46440</v>
      </c>
      <c r="M191" s="28" t="n">
        <f aca="false">IF($L191="","",$L191-기준정보!$C$6)</f>
        <v>46350</v>
      </c>
      <c r="N191" s="29" t="n">
        <f aca="false">IF($M191="","",$M191-기준정보!$C$4)</f>
        <v>108</v>
      </c>
      <c r="O191" s="27" t="s">
        <v>70</v>
      </c>
      <c r="P191" s="27" t="s">
        <v>71</v>
      </c>
      <c r="Q191" s="30"/>
      <c r="R191" s="26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S191" s="25" t="s">
        <v>94</v>
      </c>
      <c r="T191" s="25" t="s">
        <v>73</v>
      </c>
      <c r="U191" s="31" t="n">
        <v>4500</v>
      </c>
      <c r="V191" s="26" t="s">
        <v>614</v>
      </c>
      <c r="W191" s="26" t="str">
        <f aca="false">IF($K191="","출고일 미정",IF($O191="X","작지 미발행",IF($O191="부분","작지 일부 미발행",IF(AND($Q191&lt;&gt;"",$Q191&gt;$M191),"소재입고 마감("&amp;TEXT($M191,"MM/DD")&amp;") 초과",IF($O191="","발행여부 확인 필요",IF($Q191="","소재 입고일정 확인 필요","정상"))))))</f>
        <v>소재 입고일정 확인 필요</v>
      </c>
      <c r="X191" s="24" t="str">
        <f aca="false">IF($K191="","",IF(OR(LEFT($W191,2)="작지",LEFT($W191,4)="소재입고"),IF(LEFT($G191,1)="S","★ 납기위험(S코드)","◆ 지연주의"),IF($W191="정상","✓ 정상","? 확인필요")))</f>
        <v>? 확인필요</v>
      </c>
      <c r="Y191" s="27"/>
      <c r="Z191" s="32"/>
    </row>
    <row r="192" customFormat="false" ht="15" hidden="false" customHeight="false" outlineLevel="0" collapsed="false">
      <c r="A192" s="24" t="n">
        <v>188</v>
      </c>
      <c r="B192" s="25" t="s">
        <v>192</v>
      </c>
      <c r="C192" s="25" t="s">
        <v>193</v>
      </c>
      <c r="D192" s="26" t="s">
        <v>643</v>
      </c>
      <c r="E192" s="25" t="s">
        <v>644</v>
      </c>
      <c r="F192" s="26" t="s">
        <v>645</v>
      </c>
      <c r="G192" s="24" t="str">
        <f aca="false">IF($D192="","",IF(MID($D192,5,1)="S","S(봄)",IF(MID($D192,5,1)="M","M(여름)",IF(MID($D192,5,1)="X","X(사계절)",MID($D192,5,1)))))</f>
        <v>M(여름)</v>
      </c>
      <c r="H192" s="25" t="s">
        <v>67</v>
      </c>
      <c r="I192" s="24"/>
      <c r="J192" s="27" t="s">
        <v>614</v>
      </c>
      <c r="K192" s="28" t="n">
        <f aca="false">IF($J192="","",IFERROR(DATE(IF(VALUE(LEFT($J192,FIND("월",$J192)-1))&gt;=9,기준정보!$C$7-1,기준정보!$C$7),VALUE(LEFT($J192,FIND("월",$J192)-1)),1+7*(VALUE(SUBSTITUTE(MID($J192,FIND("월",$J192)+1,5),"주",""))-1)),""))</f>
        <v>46454</v>
      </c>
      <c r="L192" s="28" t="n">
        <f aca="false">IF($K192="","",$K192-기준정보!$C$5)</f>
        <v>46440</v>
      </c>
      <c r="M192" s="28" t="n">
        <f aca="false">IF($L192="","",$L192-기준정보!$C$6)</f>
        <v>46350</v>
      </c>
      <c r="N192" s="29" t="n">
        <f aca="false">IF($M192="","",$M192-기준정보!$C$4)</f>
        <v>108</v>
      </c>
      <c r="O192" s="27" t="s">
        <v>70</v>
      </c>
      <c r="P192" s="27" t="s">
        <v>71</v>
      </c>
      <c r="Q192" s="30"/>
      <c r="R192" s="26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S192" s="26" t="s">
        <v>231</v>
      </c>
      <c r="T192" s="25" t="s">
        <v>78</v>
      </c>
      <c r="U192" s="31" t="n">
        <v>1600</v>
      </c>
      <c r="V192" s="26" t="s">
        <v>614</v>
      </c>
      <c r="W192" s="26" t="str">
        <f aca="false">IF($K192="","출고일 미정",IF($O192="X","작지 미발행",IF($O192="부분","작지 일부 미발행",IF(AND($Q192&lt;&gt;"",$Q192&gt;$M192),"소재입고 마감("&amp;TEXT($M192,"MM/DD")&amp;") 초과",IF($O192="","발행여부 확인 필요",IF($Q192="","소재 입고일정 확인 필요","정상"))))))</f>
        <v>소재 입고일정 확인 필요</v>
      </c>
      <c r="X192" s="24" t="str">
        <f aca="false">IF($K192="","",IF(OR(LEFT($W192,2)="작지",LEFT($W192,4)="소재입고"),IF(LEFT($G192,1)="S","★ 납기위험(S코드)","◆ 지연주의"),IF($W192="정상","✓ 정상","? 확인필요")))</f>
        <v>? 확인필요</v>
      </c>
      <c r="Y192" s="27"/>
      <c r="Z192" s="32"/>
    </row>
    <row r="193" customFormat="false" ht="15" hidden="false" customHeight="false" outlineLevel="0" collapsed="false">
      <c r="A193" s="24" t="n">
        <v>189</v>
      </c>
      <c r="B193" s="25" t="s">
        <v>187</v>
      </c>
      <c r="C193" s="25" t="s">
        <v>193</v>
      </c>
      <c r="D193" s="26" t="s">
        <v>646</v>
      </c>
      <c r="E193" s="25" t="s">
        <v>647</v>
      </c>
      <c r="F193" s="26" t="s">
        <v>648</v>
      </c>
      <c r="G193" s="24" t="str">
        <f aca="false">IF($D193="","",IF(MID($D193,5,1)="S","S(봄)",IF(MID($D193,5,1)="M","M(여름)",IF(MID($D193,5,1)="X","X(사계절)",MID($D193,5,1)))))</f>
        <v>M(여름)</v>
      </c>
      <c r="H193" s="26" t="s">
        <v>197</v>
      </c>
      <c r="I193" s="24"/>
      <c r="J193" s="27" t="s">
        <v>614</v>
      </c>
      <c r="K193" s="28" t="n">
        <f aca="false">IF($J193="","",IFERROR(DATE(IF(VALUE(LEFT($J193,FIND("월",$J193)-1))&gt;=9,기준정보!$C$7-1,기준정보!$C$7),VALUE(LEFT($J193,FIND("월",$J193)-1)),1+7*(VALUE(SUBSTITUTE(MID($J193,FIND("월",$J193)+1,5),"주",""))-1)),""))</f>
        <v>46454</v>
      </c>
      <c r="L193" s="28" t="n">
        <f aca="false">IF($K193="","",$K193-기준정보!$C$5)</f>
        <v>46440</v>
      </c>
      <c r="M193" s="28" t="n">
        <f aca="false">IF($L193="","",$L193-기준정보!$C$6)</f>
        <v>46350</v>
      </c>
      <c r="N193" s="29" t="n">
        <f aca="false">IF($M193="","",$M193-기준정보!$C$4)</f>
        <v>108</v>
      </c>
      <c r="O193" s="27" t="s">
        <v>70</v>
      </c>
      <c r="P193" s="27" t="s">
        <v>71</v>
      </c>
      <c r="Q193" s="30"/>
      <c r="R193" s="26" t="str">
        <f aca="false">IF($H193="","",IF(AND(ISNUMBER(SEARCH("CMT",$H193)),OR(ISNUMBER(SEARCH("완사입",$H193)),ISNUMBER(SEARCH("ODM",$H193)))),"본사/생산처 혼재",IF(ISNUMBER(SEARCH("CMT",$H193)),"본사(소재팀)","생산처")))</f>
        <v>본사(소재팀)</v>
      </c>
      <c r="S193" s="25" t="s">
        <v>254</v>
      </c>
      <c r="T193" s="26"/>
      <c r="U193" s="31" t="n">
        <v>5500</v>
      </c>
      <c r="V193" s="26" t="s">
        <v>614</v>
      </c>
      <c r="W193" s="26" t="str">
        <f aca="false">IF($K193="","출고일 미정",IF($O193="X","작지 미발행",IF($O193="부분","작지 일부 미발행",IF(AND($Q193&lt;&gt;"",$Q193&gt;$M193),"소재입고 마감("&amp;TEXT($M193,"MM/DD")&amp;") 초과",IF($O193="","발행여부 확인 필요",IF($Q193="","소재 입고일정 확인 필요","정상"))))))</f>
        <v>소재 입고일정 확인 필요</v>
      </c>
      <c r="X193" s="24" t="str">
        <f aca="false">IF($K193="","",IF(OR(LEFT($W193,2)="작지",LEFT($W193,4)="소재입고"),IF(LEFT($G193,1)="S","★ 납기위험(S코드)","◆ 지연주의"),IF($W193="정상","✓ 정상","? 확인필요")))</f>
        <v>? 확인필요</v>
      </c>
      <c r="Y193" s="27"/>
      <c r="Z193" s="32"/>
    </row>
    <row r="194" customFormat="false" ht="15" hidden="false" customHeight="false" outlineLevel="0" collapsed="false">
      <c r="A194" s="24" t="n">
        <v>190</v>
      </c>
      <c r="B194" s="25" t="s">
        <v>208</v>
      </c>
      <c r="C194" s="25" t="s">
        <v>188</v>
      </c>
      <c r="D194" s="26" t="s">
        <v>649</v>
      </c>
      <c r="E194" s="25" t="s">
        <v>650</v>
      </c>
      <c r="F194" s="26" t="s">
        <v>651</v>
      </c>
      <c r="G194" s="24" t="str">
        <f aca="false">IF($D194="","",IF(MID($D194,5,1)="S","S(봄)",IF(MID($D194,5,1)="M","M(여름)",IF(MID($D194,5,1)="X","X(사계절)",MID($D194,5,1)))))</f>
        <v>M(여름)</v>
      </c>
      <c r="H194" s="25" t="s">
        <v>67</v>
      </c>
      <c r="I194" s="24"/>
      <c r="J194" s="27" t="s">
        <v>614</v>
      </c>
      <c r="K194" s="28" t="n">
        <f aca="false">IF($J194="","",IFERROR(DATE(IF(VALUE(LEFT($J194,FIND("월",$J194)-1))&gt;=9,기준정보!$C$7-1,기준정보!$C$7),VALUE(LEFT($J194,FIND("월",$J194)-1)),1+7*(VALUE(SUBSTITUTE(MID($J194,FIND("월",$J194)+1,5),"주",""))-1)),""))</f>
        <v>46454</v>
      </c>
      <c r="L194" s="28" t="n">
        <f aca="false">IF($K194="","",$K194-기준정보!$C$5)</f>
        <v>46440</v>
      </c>
      <c r="M194" s="28" t="n">
        <f aca="false">IF($L194="","",$L194-기준정보!$C$6)</f>
        <v>46350</v>
      </c>
      <c r="N194" s="29" t="n">
        <f aca="false">IF($M194="","",$M194-기준정보!$C$4)</f>
        <v>108</v>
      </c>
      <c r="O194" s="27" t="s">
        <v>70</v>
      </c>
      <c r="P194" s="27" t="s">
        <v>71</v>
      </c>
      <c r="Q194" s="30"/>
      <c r="R194" s="26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S194" s="25" t="s">
        <v>254</v>
      </c>
      <c r="T194" s="25" t="s">
        <v>73</v>
      </c>
      <c r="U194" s="31" t="n">
        <v>13500</v>
      </c>
      <c r="V194" s="26"/>
      <c r="W194" s="26" t="str">
        <f aca="false">IF($K194="","출고일 미정",IF($O194="X","작지 미발행",IF($O194="부분","작지 일부 미발행",IF(AND($Q194&lt;&gt;"",$Q194&gt;$M194),"소재입고 마감("&amp;TEXT($M194,"MM/DD")&amp;") 초과",IF($O194="","발행여부 확인 필요",IF($Q194="","소재 입고일정 확인 필요","정상"))))))</f>
        <v>소재 입고일정 확인 필요</v>
      </c>
      <c r="X194" s="24" t="str">
        <f aca="false">IF($K194="","",IF(OR(LEFT($W194,2)="작지",LEFT($W194,4)="소재입고"),IF(LEFT($G194,1)="S","★ 납기위험(S코드)","◆ 지연주의"),IF($W194="정상","✓ 정상","? 확인필요")))</f>
        <v>? 확인필요</v>
      </c>
      <c r="Y194" s="27"/>
      <c r="Z194" s="32"/>
    </row>
    <row r="195" customFormat="false" ht="15" hidden="false" customHeight="false" outlineLevel="0" collapsed="false">
      <c r="A195" s="24" t="n">
        <v>191</v>
      </c>
      <c r="B195" s="25" t="s">
        <v>208</v>
      </c>
      <c r="C195" s="25" t="s">
        <v>188</v>
      </c>
      <c r="D195" s="26" t="s">
        <v>652</v>
      </c>
      <c r="E195" s="25" t="s">
        <v>653</v>
      </c>
      <c r="F195" s="26" t="s">
        <v>654</v>
      </c>
      <c r="G195" s="24" t="str">
        <f aca="false">IF($D195="","",IF(MID($D195,5,1)="S","S(봄)",IF(MID($D195,5,1)="M","M(여름)",IF(MID($D195,5,1)="X","X(사계절)",MID($D195,5,1)))))</f>
        <v>M(여름)</v>
      </c>
      <c r="H195" s="25" t="s">
        <v>67</v>
      </c>
      <c r="I195" s="24"/>
      <c r="J195" s="27" t="s">
        <v>614</v>
      </c>
      <c r="K195" s="28" t="n">
        <f aca="false">IF($J195="","",IFERROR(DATE(IF(VALUE(LEFT($J195,FIND("월",$J195)-1))&gt;=9,기준정보!$C$7-1,기준정보!$C$7),VALUE(LEFT($J195,FIND("월",$J195)-1)),1+7*(VALUE(SUBSTITUTE(MID($J195,FIND("월",$J195)+1,5),"주",""))-1)),""))</f>
        <v>46454</v>
      </c>
      <c r="L195" s="28" t="n">
        <f aca="false">IF($K195="","",$K195-기준정보!$C$5)</f>
        <v>46440</v>
      </c>
      <c r="M195" s="28" t="n">
        <f aca="false">IF($L195="","",$L195-기준정보!$C$6)</f>
        <v>46350</v>
      </c>
      <c r="N195" s="29" t="n">
        <f aca="false">IF($M195="","",$M195-기준정보!$C$4)</f>
        <v>108</v>
      </c>
      <c r="O195" s="27" t="s">
        <v>70</v>
      </c>
      <c r="P195" s="27" t="s">
        <v>71</v>
      </c>
      <c r="Q195" s="30"/>
      <c r="R195" s="26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S195" s="25" t="s">
        <v>77</v>
      </c>
      <c r="T195" s="25" t="s">
        <v>78</v>
      </c>
      <c r="U195" s="31" t="n">
        <v>3200</v>
      </c>
      <c r="V195" s="26"/>
      <c r="W195" s="26" t="str">
        <f aca="false">IF($K195="","출고일 미정",IF($O195="X","작지 미발행",IF($O195="부분","작지 일부 미발행",IF(AND($Q195&lt;&gt;"",$Q195&gt;$M195),"소재입고 마감("&amp;TEXT($M195,"MM/DD")&amp;") 초과",IF($O195="","발행여부 확인 필요",IF($Q195="","소재 입고일정 확인 필요","정상"))))))</f>
        <v>소재 입고일정 확인 필요</v>
      </c>
      <c r="X195" s="24" t="str">
        <f aca="false">IF($K195="","",IF(OR(LEFT($W195,2)="작지",LEFT($W195,4)="소재입고"),IF(LEFT($G195,1)="S","★ 납기위험(S코드)","◆ 지연주의"),IF($W195="정상","✓ 정상","? 확인필요")))</f>
        <v>? 확인필요</v>
      </c>
      <c r="Y195" s="27"/>
      <c r="Z195" s="32"/>
    </row>
    <row r="196" customFormat="false" ht="15" hidden="false" customHeight="false" outlineLevel="0" collapsed="false">
      <c r="A196" s="24" t="n">
        <v>192</v>
      </c>
      <c r="B196" s="25" t="s">
        <v>212</v>
      </c>
      <c r="C196" s="25" t="s">
        <v>213</v>
      </c>
      <c r="D196" s="26" t="s">
        <v>655</v>
      </c>
      <c r="E196" s="25" t="s">
        <v>656</v>
      </c>
      <c r="F196" s="26" t="s">
        <v>657</v>
      </c>
      <c r="G196" s="24" t="str">
        <f aca="false">IF($D196="","",IF(MID($D196,5,1)="S","S(봄)",IF(MID($D196,5,1)="M","M(여름)",IF(MID($D196,5,1)="X","X(사계절)",MID($D196,5,1)))))</f>
        <v>M(여름)</v>
      </c>
      <c r="H196" s="25" t="s">
        <v>67</v>
      </c>
      <c r="I196" s="24" t="s">
        <v>404</v>
      </c>
      <c r="J196" s="27" t="s">
        <v>614</v>
      </c>
      <c r="K196" s="28" t="n">
        <f aca="false">IF($J196="","",IFERROR(DATE(IF(VALUE(LEFT($J196,FIND("월",$J196)-1))&gt;=9,기준정보!$C$7-1,기준정보!$C$7),VALUE(LEFT($J196,FIND("월",$J196)-1)),1+7*(VALUE(SUBSTITUTE(MID($J196,FIND("월",$J196)+1,5),"주",""))-1)),""))</f>
        <v>46454</v>
      </c>
      <c r="L196" s="28" t="n">
        <f aca="false">IF($K196="","",$K196-기준정보!$C$5)</f>
        <v>46440</v>
      </c>
      <c r="M196" s="28" t="n">
        <f aca="false">IF($L196="","",$L196-기준정보!$C$6)</f>
        <v>46350</v>
      </c>
      <c r="N196" s="29" t="n">
        <f aca="false">IF($M196="","",$M196-기준정보!$C$4)</f>
        <v>108</v>
      </c>
      <c r="O196" s="27" t="s">
        <v>70</v>
      </c>
      <c r="P196" s="27" t="s">
        <v>71</v>
      </c>
      <c r="Q196" s="30"/>
      <c r="R196" s="26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S196" s="26" t="s">
        <v>137</v>
      </c>
      <c r="T196" s="25" t="s">
        <v>73</v>
      </c>
      <c r="U196" s="31" t="n">
        <v>1616</v>
      </c>
      <c r="V196" s="26" t="s">
        <v>614</v>
      </c>
      <c r="W196" s="26" t="str">
        <f aca="false">IF($K196="","출고일 미정",IF($O196="X","작지 미발행",IF($O196="부분","작지 일부 미발행",IF(AND($Q196&lt;&gt;"",$Q196&gt;$M196),"소재입고 마감("&amp;TEXT($M196,"MM/DD")&amp;") 초과",IF($O196="","발행여부 확인 필요",IF($Q196="","소재 입고일정 확인 필요","정상"))))))</f>
        <v>소재 입고일정 확인 필요</v>
      </c>
      <c r="X196" s="24" t="str">
        <f aca="false">IF($K196="","",IF(OR(LEFT($W196,2)="작지",LEFT($W196,4)="소재입고"),IF(LEFT($G196,1)="S","★ 납기위험(S코드)","◆ 지연주의"),IF($W196="정상","✓ 정상","? 확인필요")))</f>
        <v>? 확인필요</v>
      </c>
      <c r="Y196" s="27"/>
      <c r="Z196" s="32"/>
    </row>
    <row r="197" customFormat="false" ht="15" hidden="false" customHeight="false" outlineLevel="0" collapsed="false">
      <c r="A197" s="24" t="n">
        <v>193</v>
      </c>
      <c r="B197" s="25" t="s">
        <v>212</v>
      </c>
      <c r="C197" s="25" t="s">
        <v>213</v>
      </c>
      <c r="D197" s="26" t="s">
        <v>658</v>
      </c>
      <c r="E197" s="25" t="s">
        <v>659</v>
      </c>
      <c r="F197" s="26" t="s">
        <v>660</v>
      </c>
      <c r="G197" s="24" t="str">
        <f aca="false">IF($D197="","",IF(MID($D197,5,1)="S","S(봄)",IF(MID($D197,5,1)="M","M(여름)",IF(MID($D197,5,1)="X","X(사계절)",MID($D197,5,1)))))</f>
        <v>M(여름)</v>
      </c>
      <c r="H197" s="25" t="s">
        <v>67</v>
      </c>
      <c r="I197" s="24" t="s">
        <v>404</v>
      </c>
      <c r="J197" s="27" t="s">
        <v>614</v>
      </c>
      <c r="K197" s="28" t="n">
        <f aca="false">IF($J197="","",IFERROR(DATE(IF(VALUE(LEFT($J197,FIND("월",$J197)-1))&gt;=9,기준정보!$C$7-1,기준정보!$C$7),VALUE(LEFT($J197,FIND("월",$J197)-1)),1+7*(VALUE(SUBSTITUTE(MID($J197,FIND("월",$J197)+1,5),"주",""))-1)),""))</f>
        <v>46454</v>
      </c>
      <c r="L197" s="28" t="n">
        <f aca="false">IF($K197="","",$K197-기준정보!$C$5)</f>
        <v>46440</v>
      </c>
      <c r="M197" s="28" t="n">
        <f aca="false">IF($L197="","",$L197-기준정보!$C$6)</f>
        <v>46350</v>
      </c>
      <c r="N197" s="29" t="n">
        <f aca="false">IF($M197="","",$M197-기준정보!$C$4)</f>
        <v>108</v>
      </c>
      <c r="O197" s="27" t="s">
        <v>70</v>
      </c>
      <c r="P197" s="27" t="s">
        <v>71</v>
      </c>
      <c r="Q197" s="30"/>
      <c r="R197" s="26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S197" s="25" t="s">
        <v>246</v>
      </c>
      <c r="T197" s="25" t="s">
        <v>73</v>
      </c>
      <c r="U197" s="31" t="n">
        <v>6500</v>
      </c>
      <c r="V197" s="26" t="s">
        <v>614</v>
      </c>
      <c r="W197" s="26" t="str">
        <f aca="false">IF($K197="","출고일 미정",IF($O197="X","작지 미발행",IF($O197="부분","작지 일부 미발행",IF(AND($Q197&lt;&gt;"",$Q197&gt;$M197),"소재입고 마감("&amp;TEXT($M197,"MM/DD")&amp;") 초과",IF($O197="","발행여부 확인 필요",IF($Q197="","소재 입고일정 확인 필요","정상"))))))</f>
        <v>소재 입고일정 확인 필요</v>
      </c>
      <c r="X197" s="24" t="str">
        <f aca="false">IF($K197="","",IF(OR(LEFT($W197,2)="작지",LEFT($W197,4)="소재입고"),IF(LEFT($G197,1)="S","★ 납기위험(S코드)","◆ 지연주의"),IF($W197="정상","✓ 정상","? 확인필요")))</f>
        <v>? 확인필요</v>
      </c>
      <c r="Y197" s="27"/>
      <c r="Z197" s="32"/>
    </row>
    <row r="198" customFormat="false" ht="15" hidden="false" customHeight="false" outlineLevel="0" collapsed="false">
      <c r="A198" s="24" t="n">
        <v>194</v>
      </c>
      <c r="B198" s="25" t="s">
        <v>212</v>
      </c>
      <c r="C198" s="25" t="s">
        <v>213</v>
      </c>
      <c r="D198" s="26" t="s">
        <v>661</v>
      </c>
      <c r="E198" s="25" t="s">
        <v>662</v>
      </c>
      <c r="F198" s="26" t="s">
        <v>663</v>
      </c>
      <c r="G198" s="24" t="str">
        <f aca="false">IF($D198="","",IF(MID($D198,5,1)="S","S(봄)",IF(MID($D198,5,1)="M","M(여름)",IF(MID($D198,5,1)="X","X(사계절)",MID($D198,5,1)))))</f>
        <v>M(여름)</v>
      </c>
      <c r="H198" s="25" t="s">
        <v>67</v>
      </c>
      <c r="I198" s="24" t="s">
        <v>404</v>
      </c>
      <c r="J198" s="27" t="s">
        <v>614</v>
      </c>
      <c r="K198" s="28" t="n">
        <f aca="false">IF($J198="","",IFERROR(DATE(IF(VALUE(LEFT($J198,FIND("월",$J198)-1))&gt;=9,기준정보!$C$7-1,기준정보!$C$7),VALUE(LEFT($J198,FIND("월",$J198)-1)),1+7*(VALUE(SUBSTITUTE(MID($J198,FIND("월",$J198)+1,5),"주",""))-1)),""))</f>
        <v>46454</v>
      </c>
      <c r="L198" s="28" t="n">
        <f aca="false">IF($K198="","",$K198-기준정보!$C$5)</f>
        <v>46440</v>
      </c>
      <c r="M198" s="28" t="n">
        <f aca="false">IF($L198="","",$L198-기준정보!$C$6)</f>
        <v>46350</v>
      </c>
      <c r="N198" s="29" t="n">
        <f aca="false">IF($M198="","",$M198-기준정보!$C$4)</f>
        <v>108</v>
      </c>
      <c r="O198" s="27" t="s">
        <v>70</v>
      </c>
      <c r="P198" s="27" t="s">
        <v>71</v>
      </c>
      <c r="Q198" s="30"/>
      <c r="R198" s="26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S198" s="26" t="s">
        <v>137</v>
      </c>
      <c r="T198" s="25" t="s">
        <v>73</v>
      </c>
      <c r="U198" s="31" t="n">
        <v>1000</v>
      </c>
      <c r="V198" s="26" t="s">
        <v>614</v>
      </c>
      <c r="W198" s="26" t="str">
        <f aca="false">IF($K198="","출고일 미정",IF($O198="X","작지 미발행",IF($O198="부분","작지 일부 미발행",IF(AND($Q198&lt;&gt;"",$Q198&gt;$M198),"소재입고 마감("&amp;TEXT($M198,"MM/DD")&amp;") 초과",IF($O198="","발행여부 확인 필요",IF($Q198="","소재 입고일정 확인 필요","정상"))))))</f>
        <v>소재 입고일정 확인 필요</v>
      </c>
      <c r="X198" s="24" t="str">
        <f aca="false">IF($K198="","",IF(OR(LEFT($W198,2)="작지",LEFT($W198,4)="소재입고"),IF(LEFT($G198,1)="S","★ 납기위험(S코드)","◆ 지연주의"),IF($W198="정상","✓ 정상","? 확인필요")))</f>
        <v>? 확인필요</v>
      </c>
      <c r="Y198" s="27"/>
      <c r="Z198" s="32"/>
    </row>
    <row r="199" customFormat="false" ht="15" hidden="false" customHeight="false" outlineLevel="0" collapsed="false">
      <c r="A199" s="24" t="n">
        <v>195</v>
      </c>
      <c r="B199" s="25" t="s">
        <v>212</v>
      </c>
      <c r="C199" s="25" t="s">
        <v>213</v>
      </c>
      <c r="D199" s="26" t="s">
        <v>664</v>
      </c>
      <c r="E199" s="25" t="s">
        <v>665</v>
      </c>
      <c r="F199" s="26" t="s">
        <v>226</v>
      </c>
      <c r="G199" s="24" t="str">
        <f aca="false">IF($D199="","",IF(MID($D199,5,1)="S","S(봄)",IF(MID($D199,5,1)="M","M(여름)",IF(MID($D199,5,1)="X","X(사계절)",MID($D199,5,1)))))</f>
        <v>M(여름)</v>
      </c>
      <c r="H199" s="25" t="s">
        <v>67</v>
      </c>
      <c r="I199" s="24" t="s">
        <v>404</v>
      </c>
      <c r="J199" s="27" t="s">
        <v>614</v>
      </c>
      <c r="K199" s="28" t="n">
        <f aca="false">IF($J199="","",IFERROR(DATE(IF(VALUE(LEFT($J199,FIND("월",$J199)-1))&gt;=9,기준정보!$C$7-1,기준정보!$C$7),VALUE(LEFT($J199,FIND("월",$J199)-1)),1+7*(VALUE(SUBSTITUTE(MID($J199,FIND("월",$J199)+1,5),"주",""))-1)),""))</f>
        <v>46454</v>
      </c>
      <c r="L199" s="28" t="n">
        <f aca="false">IF($K199="","",$K199-기준정보!$C$5)</f>
        <v>46440</v>
      </c>
      <c r="M199" s="28" t="n">
        <f aca="false">IF($L199="","",$L199-기준정보!$C$6)</f>
        <v>46350</v>
      </c>
      <c r="N199" s="29" t="n">
        <f aca="false">IF($M199="","",$M199-기준정보!$C$4)</f>
        <v>108</v>
      </c>
      <c r="O199" s="27" t="s">
        <v>70</v>
      </c>
      <c r="P199" s="27" t="s">
        <v>71</v>
      </c>
      <c r="Q199" s="30"/>
      <c r="R199" s="26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S199" s="26" t="s">
        <v>137</v>
      </c>
      <c r="T199" s="25" t="s">
        <v>73</v>
      </c>
      <c r="U199" s="31" t="n">
        <v>2000</v>
      </c>
      <c r="V199" s="26" t="s">
        <v>614</v>
      </c>
      <c r="W199" s="26" t="str">
        <f aca="false">IF($K199="","출고일 미정",IF($O199="X","작지 미발행",IF($O199="부분","작지 일부 미발행",IF(AND($Q199&lt;&gt;"",$Q199&gt;$M199),"소재입고 마감("&amp;TEXT($M199,"MM/DD")&amp;") 초과",IF($O199="","발행여부 확인 필요",IF($Q199="","소재 입고일정 확인 필요","정상"))))))</f>
        <v>소재 입고일정 확인 필요</v>
      </c>
      <c r="X199" s="24" t="str">
        <f aca="false">IF($K199="","",IF(OR(LEFT($W199,2)="작지",LEFT($W199,4)="소재입고"),IF(LEFT($G199,1)="S","★ 납기위험(S코드)","◆ 지연주의"),IF($W199="정상","✓ 정상","? 확인필요")))</f>
        <v>? 확인필요</v>
      </c>
      <c r="Y199" s="27"/>
      <c r="Z199" s="32"/>
    </row>
    <row r="200" customFormat="false" ht="15" hidden="false" customHeight="false" outlineLevel="0" collapsed="false">
      <c r="A200" s="24" t="n">
        <v>196</v>
      </c>
      <c r="B200" s="25" t="s">
        <v>212</v>
      </c>
      <c r="C200" s="25" t="s">
        <v>213</v>
      </c>
      <c r="D200" s="26" t="s">
        <v>666</v>
      </c>
      <c r="E200" s="25" t="s">
        <v>667</v>
      </c>
      <c r="F200" s="26" t="s">
        <v>207</v>
      </c>
      <c r="G200" s="24" t="str">
        <f aca="false">IF($D200="","",IF(MID($D200,5,1)="S","S(봄)",IF(MID($D200,5,1)="M","M(여름)",IF(MID($D200,5,1)="X","X(사계절)",MID($D200,5,1)))))</f>
        <v>M(여름)</v>
      </c>
      <c r="H200" s="25" t="s">
        <v>67</v>
      </c>
      <c r="I200" s="24" t="s">
        <v>404</v>
      </c>
      <c r="J200" s="27" t="s">
        <v>614</v>
      </c>
      <c r="K200" s="28" t="n">
        <f aca="false">IF($J200="","",IFERROR(DATE(IF(VALUE(LEFT($J200,FIND("월",$J200)-1))&gt;=9,기준정보!$C$7-1,기준정보!$C$7),VALUE(LEFT($J200,FIND("월",$J200)-1)),1+7*(VALUE(SUBSTITUTE(MID($J200,FIND("월",$J200)+1,5),"주",""))-1)),""))</f>
        <v>46454</v>
      </c>
      <c r="L200" s="28" t="n">
        <f aca="false">IF($K200="","",$K200-기준정보!$C$5)</f>
        <v>46440</v>
      </c>
      <c r="M200" s="28" t="n">
        <f aca="false">IF($L200="","",$L200-기준정보!$C$6)</f>
        <v>46350</v>
      </c>
      <c r="N200" s="29" t="n">
        <f aca="false">IF($M200="","",$M200-기준정보!$C$4)</f>
        <v>108</v>
      </c>
      <c r="O200" s="27" t="s">
        <v>70</v>
      </c>
      <c r="P200" s="27" t="s">
        <v>71</v>
      </c>
      <c r="Q200" s="30"/>
      <c r="R200" s="26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S200" s="26" t="s">
        <v>223</v>
      </c>
      <c r="T200" s="25" t="s">
        <v>73</v>
      </c>
      <c r="U200" s="31" t="n">
        <v>9012</v>
      </c>
      <c r="V200" s="26" t="s">
        <v>614</v>
      </c>
      <c r="W200" s="26" t="str">
        <f aca="false">IF($K200="","출고일 미정",IF($O200="X","작지 미발행",IF($O200="부분","작지 일부 미발행",IF(AND($Q200&lt;&gt;"",$Q200&gt;$M200),"소재입고 마감("&amp;TEXT($M200,"MM/DD")&amp;") 초과",IF($O200="","발행여부 확인 필요",IF($Q200="","소재 입고일정 확인 필요","정상"))))))</f>
        <v>소재 입고일정 확인 필요</v>
      </c>
      <c r="X200" s="24" t="str">
        <f aca="false">IF($K200="","",IF(OR(LEFT($W200,2)="작지",LEFT($W200,4)="소재입고"),IF(LEFT($G200,1)="S","★ 납기위험(S코드)","◆ 지연주의"),IF($W200="정상","✓ 정상","? 확인필요")))</f>
        <v>? 확인필요</v>
      </c>
      <c r="Y200" s="27"/>
      <c r="Z200" s="32"/>
    </row>
    <row r="201" customFormat="false" ht="15" hidden="false" customHeight="false" outlineLevel="0" collapsed="false">
      <c r="A201" s="24" t="n">
        <v>197</v>
      </c>
      <c r="B201" s="25" t="s">
        <v>212</v>
      </c>
      <c r="C201" s="25" t="s">
        <v>213</v>
      </c>
      <c r="D201" s="26" t="s">
        <v>668</v>
      </c>
      <c r="E201" s="25" t="s">
        <v>669</v>
      </c>
      <c r="F201" s="26" t="s">
        <v>670</v>
      </c>
      <c r="G201" s="24" t="str">
        <f aca="false">IF($D201="","",IF(MID($D201,5,1)="S","S(봄)",IF(MID($D201,5,1)="M","M(여름)",IF(MID($D201,5,1)="X","X(사계절)",MID($D201,5,1)))))</f>
        <v>M(여름)</v>
      </c>
      <c r="H201" s="25" t="s">
        <v>67</v>
      </c>
      <c r="I201" s="24" t="s">
        <v>404</v>
      </c>
      <c r="J201" s="27" t="s">
        <v>614</v>
      </c>
      <c r="K201" s="28" t="n">
        <f aca="false">IF($J201="","",IFERROR(DATE(IF(VALUE(LEFT($J201,FIND("월",$J201)-1))&gt;=9,기준정보!$C$7-1,기준정보!$C$7),VALUE(LEFT($J201,FIND("월",$J201)-1)),1+7*(VALUE(SUBSTITUTE(MID($J201,FIND("월",$J201)+1,5),"주",""))-1)),""))</f>
        <v>46454</v>
      </c>
      <c r="L201" s="28" t="n">
        <f aca="false">IF($K201="","",$K201-기준정보!$C$5)</f>
        <v>46440</v>
      </c>
      <c r="M201" s="28" t="n">
        <f aca="false">IF($L201="","",$L201-기준정보!$C$6)</f>
        <v>46350</v>
      </c>
      <c r="N201" s="29" t="n">
        <f aca="false">IF($M201="","",$M201-기준정보!$C$4)</f>
        <v>108</v>
      </c>
      <c r="O201" s="27" t="s">
        <v>70</v>
      </c>
      <c r="P201" s="27" t="s">
        <v>71</v>
      </c>
      <c r="Q201" s="30"/>
      <c r="R201" s="26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S201" s="26" t="s">
        <v>223</v>
      </c>
      <c r="T201" s="25" t="s">
        <v>73</v>
      </c>
      <c r="U201" s="31" t="n">
        <v>1800</v>
      </c>
      <c r="V201" s="26" t="s">
        <v>614</v>
      </c>
      <c r="W201" s="26" t="str">
        <f aca="false">IF($K201="","출고일 미정",IF($O201="X","작지 미발행",IF($O201="부분","작지 일부 미발행",IF(AND($Q201&lt;&gt;"",$Q201&gt;$M201),"소재입고 마감("&amp;TEXT($M201,"MM/DD")&amp;") 초과",IF($O201="","발행여부 확인 필요",IF($Q201="","소재 입고일정 확인 필요","정상"))))))</f>
        <v>소재 입고일정 확인 필요</v>
      </c>
      <c r="X201" s="24" t="str">
        <f aca="false">IF($K201="","",IF(OR(LEFT($W201,2)="작지",LEFT($W201,4)="소재입고"),IF(LEFT($G201,1)="S","★ 납기위험(S코드)","◆ 지연주의"),IF($W201="정상","✓ 정상","? 확인필요")))</f>
        <v>? 확인필요</v>
      </c>
      <c r="Y201" s="27"/>
      <c r="Z201" s="32"/>
    </row>
    <row r="202" customFormat="false" ht="15" hidden="false" customHeight="false" outlineLevel="0" collapsed="false">
      <c r="A202" s="24" t="n">
        <v>198</v>
      </c>
      <c r="B202" s="25" t="s">
        <v>212</v>
      </c>
      <c r="C202" s="25" t="s">
        <v>213</v>
      </c>
      <c r="D202" s="26" t="s">
        <v>671</v>
      </c>
      <c r="E202" s="25" t="s">
        <v>672</v>
      </c>
      <c r="F202" s="26" t="s">
        <v>657</v>
      </c>
      <c r="G202" s="24" t="str">
        <f aca="false">IF($D202="","",IF(MID($D202,5,1)="S","S(봄)",IF(MID($D202,5,1)="M","M(여름)",IF(MID($D202,5,1)="X","X(사계절)",MID($D202,5,1)))))</f>
        <v>M(여름)</v>
      </c>
      <c r="H202" s="25" t="s">
        <v>67</v>
      </c>
      <c r="I202" s="24" t="s">
        <v>404</v>
      </c>
      <c r="J202" s="27" t="s">
        <v>614</v>
      </c>
      <c r="K202" s="28" t="n">
        <f aca="false">IF($J202="","",IFERROR(DATE(IF(VALUE(LEFT($J202,FIND("월",$J202)-1))&gt;=9,기준정보!$C$7-1,기준정보!$C$7),VALUE(LEFT($J202,FIND("월",$J202)-1)),1+7*(VALUE(SUBSTITUTE(MID($J202,FIND("월",$J202)+1,5),"주",""))-1)),""))</f>
        <v>46454</v>
      </c>
      <c r="L202" s="28" t="n">
        <f aca="false">IF($K202="","",$K202-기준정보!$C$5)</f>
        <v>46440</v>
      </c>
      <c r="M202" s="28" t="n">
        <f aca="false">IF($L202="","",$L202-기준정보!$C$6)</f>
        <v>46350</v>
      </c>
      <c r="N202" s="29" t="n">
        <f aca="false">IF($M202="","",$M202-기준정보!$C$4)</f>
        <v>108</v>
      </c>
      <c r="O202" s="27" t="s">
        <v>70</v>
      </c>
      <c r="P202" s="27" t="s">
        <v>71</v>
      </c>
      <c r="Q202" s="30"/>
      <c r="R202" s="26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S202" s="25" t="s">
        <v>227</v>
      </c>
      <c r="T202" s="25" t="s">
        <v>73</v>
      </c>
      <c r="U202" s="31" t="n">
        <v>1400</v>
      </c>
      <c r="V202" s="26"/>
      <c r="W202" s="26" t="str">
        <f aca="false">IF($K202="","출고일 미정",IF($O202="X","작지 미발행",IF($O202="부분","작지 일부 미발행",IF(AND($Q202&lt;&gt;"",$Q202&gt;$M202),"소재입고 마감("&amp;TEXT($M202,"MM/DD")&amp;") 초과",IF($O202="","발행여부 확인 필요",IF($Q202="","소재 입고일정 확인 필요","정상"))))))</f>
        <v>소재 입고일정 확인 필요</v>
      </c>
      <c r="X202" s="24" t="str">
        <f aca="false">IF($K202="","",IF(OR(LEFT($W202,2)="작지",LEFT($W202,4)="소재입고"),IF(LEFT($G202,1)="S","★ 납기위험(S코드)","◆ 지연주의"),IF($W202="정상","✓ 정상","? 확인필요")))</f>
        <v>? 확인필요</v>
      </c>
      <c r="Y202" s="27"/>
      <c r="Z202" s="32"/>
    </row>
    <row r="203" customFormat="false" ht="15" hidden="false" customHeight="false" outlineLevel="0" collapsed="false">
      <c r="A203" s="24" t="n">
        <v>199</v>
      </c>
      <c r="B203" s="25" t="s">
        <v>208</v>
      </c>
      <c r="C203" s="25" t="s">
        <v>213</v>
      </c>
      <c r="D203" s="26" t="s">
        <v>673</v>
      </c>
      <c r="E203" s="25" t="s">
        <v>674</v>
      </c>
      <c r="F203" s="26" t="s">
        <v>675</v>
      </c>
      <c r="G203" s="24" t="str">
        <f aca="false">IF($D203="","",IF(MID($D203,5,1)="S","S(봄)",IF(MID($D203,5,1)="M","M(여름)",IF(MID($D203,5,1)="X","X(사계절)",MID($D203,5,1)))))</f>
        <v>M(여름)</v>
      </c>
      <c r="H203" s="25" t="s">
        <v>67</v>
      </c>
      <c r="I203" s="24"/>
      <c r="J203" s="27" t="s">
        <v>614</v>
      </c>
      <c r="K203" s="28" t="n">
        <f aca="false">IF($J203="","",IFERROR(DATE(IF(VALUE(LEFT($J203,FIND("월",$J203)-1))&gt;=9,기준정보!$C$7-1,기준정보!$C$7),VALUE(LEFT($J203,FIND("월",$J203)-1)),1+7*(VALUE(SUBSTITUTE(MID($J203,FIND("월",$J203)+1,5),"주",""))-1)),""))</f>
        <v>46454</v>
      </c>
      <c r="L203" s="28" t="n">
        <f aca="false">IF($K203="","",$K203-기준정보!$C$5)</f>
        <v>46440</v>
      </c>
      <c r="M203" s="28" t="n">
        <f aca="false">IF($L203="","",$L203-기준정보!$C$6)</f>
        <v>46350</v>
      </c>
      <c r="N203" s="29" t="n">
        <f aca="false">IF($M203="","",$M203-기준정보!$C$4)</f>
        <v>108</v>
      </c>
      <c r="O203" s="27" t="s">
        <v>70</v>
      </c>
      <c r="P203" s="27" t="s">
        <v>71</v>
      </c>
      <c r="Q203" s="30"/>
      <c r="R203" s="26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S203" s="25" t="s">
        <v>94</v>
      </c>
      <c r="T203" s="25" t="s">
        <v>73</v>
      </c>
      <c r="U203" s="31" t="n">
        <v>6000</v>
      </c>
      <c r="V203" s="26"/>
      <c r="W203" s="26" t="str">
        <f aca="false">IF($K203="","출고일 미정",IF($O203="X","작지 미발행",IF($O203="부분","작지 일부 미발행",IF(AND($Q203&lt;&gt;"",$Q203&gt;$M203),"소재입고 마감("&amp;TEXT($M203,"MM/DD")&amp;") 초과",IF($O203="","발행여부 확인 필요",IF($Q203="","소재 입고일정 확인 필요","정상"))))))</f>
        <v>소재 입고일정 확인 필요</v>
      </c>
      <c r="X203" s="24" t="str">
        <f aca="false">IF($K203="","",IF(OR(LEFT($W203,2)="작지",LEFT($W203,4)="소재입고"),IF(LEFT($G203,1)="S","★ 납기위험(S코드)","◆ 지연주의"),IF($W203="정상","✓ 정상","? 확인필요")))</f>
        <v>? 확인필요</v>
      </c>
      <c r="Y203" s="27"/>
      <c r="Z203" s="32"/>
    </row>
    <row r="204" customFormat="false" ht="15" hidden="false" customHeight="false" outlineLevel="0" collapsed="false">
      <c r="A204" s="24" t="n">
        <v>200</v>
      </c>
      <c r="B204" s="25" t="s">
        <v>208</v>
      </c>
      <c r="C204" s="25" t="s">
        <v>213</v>
      </c>
      <c r="D204" s="26" t="s">
        <v>676</v>
      </c>
      <c r="E204" s="25" t="s">
        <v>677</v>
      </c>
      <c r="F204" s="26" t="s">
        <v>678</v>
      </c>
      <c r="G204" s="24" t="str">
        <f aca="false">IF($D204="","",IF(MID($D204,5,1)="S","S(봄)",IF(MID($D204,5,1)="M","M(여름)",IF(MID($D204,5,1)="X","X(사계절)",MID($D204,5,1)))))</f>
        <v>M(여름)</v>
      </c>
      <c r="H204" s="25" t="s">
        <v>67</v>
      </c>
      <c r="I204" s="24"/>
      <c r="J204" s="27" t="s">
        <v>614</v>
      </c>
      <c r="K204" s="28" t="n">
        <f aca="false">IF($J204="","",IFERROR(DATE(IF(VALUE(LEFT($J204,FIND("월",$J204)-1))&gt;=9,기준정보!$C$7-1,기준정보!$C$7),VALUE(LEFT($J204,FIND("월",$J204)-1)),1+7*(VALUE(SUBSTITUTE(MID($J204,FIND("월",$J204)+1,5),"주",""))-1)),""))</f>
        <v>46454</v>
      </c>
      <c r="L204" s="28" t="n">
        <f aca="false">IF($K204="","",$K204-기준정보!$C$5)</f>
        <v>46440</v>
      </c>
      <c r="M204" s="28" t="n">
        <f aca="false">IF($L204="","",$L204-기준정보!$C$6)</f>
        <v>46350</v>
      </c>
      <c r="N204" s="29" t="n">
        <f aca="false">IF($M204="","",$M204-기준정보!$C$4)</f>
        <v>108</v>
      </c>
      <c r="O204" s="27" t="s">
        <v>70</v>
      </c>
      <c r="P204" s="27" t="s">
        <v>71</v>
      </c>
      <c r="Q204" s="30"/>
      <c r="R204" s="26" t="str">
        <f aca="false">IF($H204="","",IF(AND(ISNUMBER(SEARCH("CMT",$H204)),OR(ISNUMBER(SEARCH("완사입",$H204)),ISNUMBER(SEARCH("ODM",$H204)))),"본사/생산처 혼재",IF(ISNUMBER(SEARCH("CMT",$H204)),"본사(소재팀)","생산처")))</f>
        <v>생산처</v>
      </c>
      <c r="S204" s="25" t="s">
        <v>299</v>
      </c>
      <c r="T204" s="25" t="s">
        <v>73</v>
      </c>
      <c r="U204" s="31" t="n">
        <v>1400</v>
      </c>
      <c r="V204" s="26"/>
      <c r="W204" s="26" t="str">
        <f aca="false">IF($K204="","출고일 미정",IF($O204="X","작지 미발행",IF($O204="부분","작지 일부 미발행",IF(AND($Q204&lt;&gt;"",$Q204&gt;$M204),"소재입고 마감("&amp;TEXT($M204,"MM/DD")&amp;") 초과",IF($O204="","발행여부 확인 필요",IF($Q204="","소재 입고일정 확인 필요","정상"))))))</f>
        <v>소재 입고일정 확인 필요</v>
      </c>
      <c r="X204" s="24" t="str">
        <f aca="false">IF($K204="","",IF(OR(LEFT($W204,2)="작지",LEFT($W204,4)="소재입고"),IF(LEFT($G204,1)="S","★ 납기위험(S코드)","◆ 지연주의"),IF($W204="정상","✓ 정상","? 확인필요")))</f>
        <v>? 확인필요</v>
      </c>
      <c r="Y204" s="27"/>
      <c r="Z204" s="32"/>
    </row>
    <row r="205" customFormat="false" ht="15" hidden="false" customHeight="false" outlineLevel="0" collapsed="false">
      <c r="A205" s="24" t="n">
        <v>201</v>
      </c>
      <c r="B205" s="25" t="s">
        <v>208</v>
      </c>
      <c r="C205" s="25" t="s">
        <v>213</v>
      </c>
      <c r="D205" s="26" t="s">
        <v>679</v>
      </c>
      <c r="E205" s="25" t="s">
        <v>680</v>
      </c>
      <c r="F205" s="26" t="s">
        <v>681</v>
      </c>
      <c r="G205" s="24" t="str">
        <f aca="false">IF($D205="","",IF(MID($D205,5,1)="S","S(봄)",IF(MID($D205,5,1)="M","M(여름)",IF(MID($D205,5,1)="X","X(사계절)",MID($D205,5,1)))))</f>
        <v>M(여름)</v>
      </c>
      <c r="H205" s="25" t="s">
        <v>67</v>
      </c>
      <c r="I205" s="24"/>
      <c r="J205" s="27" t="s">
        <v>614</v>
      </c>
      <c r="K205" s="28" t="n">
        <f aca="false">IF($J205="","",IFERROR(DATE(IF(VALUE(LEFT($J205,FIND("월",$J205)-1))&gt;=9,기준정보!$C$7-1,기준정보!$C$7),VALUE(LEFT($J205,FIND("월",$J205)-1)),1+7*(VALUE(SUBSTITUTE(MID($J205,FIND("월",$J205)+1,5),"주",""))-1)),""))</f>
        <v>46454</v>
      </c>
      <c r="L205" s="28" t="n">
        <f aca="false">IF($K205="","",$K205-기준정보!$C$5)</f>
        <v>46440</v>
      </c>
      <c r="M205" s="28" t="n">
        <f aca="false">IF($L205="","",$L205-기준정보!$C$6)</f>
        <v>46350</v>
      </c>
      <c r="N205" s="29" t="n">
        <f aca="false">IF($M205="","",$M205-기준정보!$C$4)</f>
        <v>108</v>
      </c>
      <c r="O205" s="27" t="s">
        <v>70</v>
      </c>
      <c r="P205" s="27" t="s">
        <v>71</v>
      </c>
      <c r="Q205" s="30"/>
      <c r="R205" s="26" t="str">
        <f aca="false">IF($H205="","",IF(AND(ISNUMBER(SEARCH("CMT",$H205)),OR(ISNUMBER(SEARCH("완사입",$H205)),ISNUMBER(SEARCH("ODM",$H205)))),"본사/생산처 혼재",IF(ISNUMBER(SEARCH("CMT",$H205)),"본사(소재팀)","생산처")))</f>
        <v>생산처</v>
      </c>
      <c r="S205" s="25" t="s">
        <v>94</v>
      </c>
      <c r="T205" s="25" t="s">
        <v>73</v>
      </c>
      <c r="U205" s="31" t="n">
        <v>15000</v>
      </c>
      <c r="V205" s="26" t="s">
        <v>479</v>
      </c>
      <c r="W205" s="26" t="str">
        <f aca="false">IF($K205="","출고일 미정",IF($O205="X","작지 미발행",IF($O205="부분","작지 일부 미발행",IF(AND($Q205&lt;&gt;"",$Q205&gt;$M205),"소재입고 마감("&amp;TEXT($M205,"MM/DD")&amp;") 초과",IF($O205="","발행여부 확인 필요",IF($Q205="","소재 입고일정 확인 필요","정상"))))))</f>
        <v>소재 입고일정 확인 필요</v>
      </c>
      <c r="X205" s="24" t="str">
        <f aca="false">IF($K205="","",IF(OR(LEFT($W205,2)="작지",LEFT($W205,4)="소재입고"),IF(LEFT($G205,1)="S","★ 납기위험(S코드)","◆ 지연주의"),IF($W205="정상","✓ 정상","? 확인필요")))</f>
        <v>? 확인필요</v>
      </c>
      <c r="Y205" s="27"/>
      <c r="Z205" s="32"/>
    </row>
    <row r="206" customFormat="false" ht="15" hidden="false" customHeight="false" outlineLevel="0" collapsed="false">
      <c r="A206" s="24" t="n">
        <v>202</v>
      </c>
      <c r="B206" s="25" t="s">
        <v>208</v>
      </c>
      <c r="C206" s="25" t="s">
        <v>213</v>
      </c>
      <c r="D206" s="26" t="s">
        <v>682</v>
      </c>
      <c r="E206" s="25" t="s">
        <v>683</v>
      </c>
      <c r="F206" s="26" t="s">
        <v>684</v>
      </c>
      <c r="G206" s="24" t="str">
        <f aca="false">IF($D206="","",IF(MID($D206,5,1)="S","S(봄)",IF(MID($D206,5,1)="M","M(여름)",IF(MID($D206,5,1)="X","X(사계절)",MID($D206,5,1)))))</f>
        <v>M(여름)</v>
      </c>
      <c r="H206" s="25" t="s">
        <v>67</v>
      </c>
      <c r="I206" s="24"/>
      <c r="J206" s="27" t="s">
        <v>614</v>
      </c>
      <c r="K206" s="28" t="n">
        <f aca="false">IF($J206="","",IFERROR(DATE(IF(VALUE(LEFT($J206,FIND("월",$J206)-1))&gt;=9,기준정보!$C$7-1,기준정보!$C$7),VALUE(LEFT($J206,FIND("월",$J206)-1)),1+7*(VALUE(SUBSTITUTE(MID($J206,FIND("월",$J206)+1,5),"주",""))-1)),""))</f>
        <v>46454</v>
      </c>
      <c r="L206" s="28" t="n">
        <f aca="false">IF($K206="","",$K206-기준정보!$C$5)</f>
        <v>46440</v>
      </c>
      <c r="M206" s="28" t="n">
        <f aca="false">IF($L206="","",$L206-기준정보!$C$6)</f>
        <v>46350</v>
      </c>
      <c r="N206" s="29" t="n">
        <f aca="false">IF($M206="","",$M206-기준정보!$C$4)</f>
        <v>108</v>
      </c>
      <c r="O206" s="27" t="s">
        <v>70</v>
      </c>
      <c r="P206" s="27" t="s">
        <v>71</v>
      </c>
      <c r="Q206" s="30"/>
      <c r="R206" s="26" t="str">
        <f aca="false">IF($H206="","",IF(AND(ISNUMBER(SEARCH("CMT",$H206)),OR(ISNUMBER(SEARCH("완사입",$H206)),ISNUMBER(SEARCH("ODM",$H206)))),"본사/생산처 혼재",IF(ISNUMBER(SEARCH("CMT",$H206)),"본사(소재팀)","생산처")))</f>
        <v>생산처</v>
      </c>
      <c r="S206" s="26" t="s">
        <v>118</v>
      </c>
      <c r="T206" s="25" t="s">
        <v>73</v>
      </c>
      <c r="U206" s="31" t="n">
        <v>23000</v>
      </c>
      <c r="V206" s="26" t="s">
        <v>479</v>
      </c>
      <c r="W206" s="26" t="str">
        <f aca="false">IF($K206="","출고일 미정",IF($O206="X","작지 미발행",IF($O206="부분","작지 일부 미발행",IF(AND($Q206&lt;&gt;"",$Q206&gt;$M206),"소재입고 마감("&amp;TEXT($M206,"MM/DD")&amp;") 초과",IF($O206="","발행여부 확인 필요",IF($Q206="","소재 입고일정 확인 필요","정상"))))))</f>
        <v>소재 입고일정 확인 필요</v>
      </c>
      <c r="X206" s="24" t="str">
        <f aca="false">IF($K206="","",IF(OR(LEFT($W206,2)="작지",LEFT($W206,4)="소재입고"),IF(LEFT($G206,1)="S","★ 납기위험(S코드)","◆ 지연주의"),IF($W206="정상","✓ 정상","? 확인필요")))</f>
        <v>? 확인필요</v>
      </c>
      <c r="Y206" s="27"/>
      <c r="Z206" s="32"/>
    </row>
    <row r="207" customFormat="false" ht="15" hidden="false" customHeight="false" outlineLevel="0" collapsed="false">
      <c r="A207" s="24" t="n">
        <v>203</v>
      </c>
      <c r="B207" s="25" t="s">
        <v>208</v>
      </c>
      <c r="C207" s="25" t="s">
        <v>213</v>
      </c>
      <c r="D207" s="26" t="s">
        <v>685</v>
      </c>
      <c r="E207" s="25" t="s">
        <v>686</v>
      </c>
      <c r="F207" s="26" t="s">
        <v>687</v>
      </c>
      <c r="G207" s="24" t="str">
        <f aca="false">IF($D207="","",IF(MID($D207,5,1)="S","S(봄)",IF(MID($D207,5,1)="M","M(여름)",IF(MID($D207,5,1)="X","X(사계절)",MID($D207,5,1)))))</f>
        <v>M(여름)</v>
      </c>
      <c r="H207" s="26" t="s">
        <v>197</v>
      </c>
      <c r="I207" s="24"/>
      <c r="J207" s="27" t="s">
        <v>614</v>
      </c>
      <c r="K207" s="28" t="n">
        <f aca="false">IF($J207="","",IFERROR(DATE(IF(VALUE(LEFT($J207,FIND("월",$J207)-1))&gt;=9,기준정보!$C$7-1,기준정보!$C$7),VALUE(LEFT($J207,FIND("월",$J207)-1)),1+7*(VALUE(SUBSTITUTE(MID($J207,FIND("월",$J207)+1,5),"주",""))-1)),""))</f>
        <v>46454</v>
      </c>
      <c r="L207" s="28" t="n">
        <f aca="false">IF($K207="","",$K207-기준정보!$C$5)</f>
        <v>46440</v>
      </c>
      <c r="M207" s="28" t="n">
        <f aca="false">IF($L207="","",$L207-기준정보!$C$6)</f>
        <v>46350</v>
      </c>
      <c r="N207" s="29" t="n">
        <f aca="false">IF($M207="","",$M207-기준정보!$C$4)</f>
        <v>108</v>
      </c>
      <c r="O207" s="27" t="s">
        <v>70</v>
      </c>
      <c r="P207" s="27" t="s">
        <v>71</v>
      </c>
      <c r="Q207" s="30"/>
      <c r="R207" s="26" t="str">
        <f aca="false">IF($H207="","",IF(AND(ISNUMBER(SEARCH("CMT",$H207)),OR(ISNUMBER(SEARCH("완사입",$H207)),ISNUMBER(SEARCH("ODM",$H207)))),"본사/생산처 혼재",IF(ISNUMBER(SEARCH("CMT",$H207)),"본사(소재팀)","생산처")))</f>
        <v>본사(소재팀)</v>
      </c>
      <c r="S207" s="25" t="s">
        <v>254</v>
      </c>
      <c r="T207" s="25" t="s">
        <v>73</v>
      </c>
      <c r="U207" s="31" t="n">
        <v>7000</v>
      </c>
      <c r="V207" s="26"/>
      <c r="W207" s="26" t="str">
        <f aca="false">IF($K207="","출고일 미정",IF($O207="X","작지 미발행",IF($O207="부분","작지 일부 미발행",IF(AND($Q207&lt;&gt;"",$Q207&gt;$M207),"소재입고 마감("&amp;TEXT($M207,"MM/DD")&amp;") 초과",IF($O207="","발행여부 확인 필요",IF($Q207="","소재 입고일정 확인 필요","정상"))))))</f>
        <v>소재 입고일정 확인 필요</v>
      </c>
      <c r="X207" s="24" t="str">
        <f aca="false">IF($K207="","",IF(OR(LEFT($W207,2)="작지",LEFT($W207,4)="소재입고"),IF(LEFT($G207,1)="S","★ 납기위험(S코드)","◆ 지연주의"),IF($W207="정상","✓ 정상","? 확인필요")))</f>
        <v>? 확인필요</v>
      </c>
      <c r="Y207" s="27"/>
      <c r="Z207" s="32"/>
    </row>
    <row r="208" customFormat="false" ht="15" hidden="false" customHeight="false" outlineLevel="0" collapsed="false">
      <c r="A208" s="24" t="n">
        <v>204</v>
      </c>
      <c r="B208" s="25" t="s">
        <v>688</v>
      </c>
      <c r="C208" s="25" t="s">
        <v>689</v>
      </c>
      <c r="D208" s="26" t="s">
        <v>690</v>
      </c>
      <c r="E208" s="25" t="s">
        <v>691</v>
      </c>
      <c r="F208" s="26" t="s">
        <v>207</v>
      </c>
      <c r="G208" s="24" t="str">
        <f aca="false">IF($D208="","",IF(MID($D208,5,1)="S","S(봄)",IF(MID($D208,5,1)="M","M(여름)",IF(MID($D208,5,1)="X","X(사계절)",MID($D208,5,1)))))</f>
        <v>M(여름)</v>
      </c>
      <c r="H208" s="25" t="s">
        <v>67</v>
      </c>
      <c r="I208" s="24" t="s">
        <v>404</v>
      </c>
      <c r="J208" s="27" t="s">
        <v>614</v>
      </c>
      <c r="K208" s="28" t="n">
        <f aca="false">IF($J208="","",IFERROR(DATE(IF(VALUE(LEFT($J208,FIND("월",$J208)-1))&gt;=9,기준정보!$C$7-1,기준정보!$C$7),VALUE(LEFT($J208,FIND("월",$J208)-1)),1+7*(VALUE(SUBSTITUTE(MID($J208,FIND("월",$J208)+1,5),"주",""))-1)),""))</f>
        <v>46454</v>
      </c>
      <c r="L208" s="28" t="n">
        <f aca="false">IF($K208="","",$K208-기준정보!$C$5)</f>
        <v>46440</v>
      </c>
      <c r="M208" s="28" t="n">
        <f aca="false">IF($L208="","",$L208-기준정보!$C$6)</f>
        <v>46350</v>
      </c>
      <c r="N208" s="29" t="n">
        <f aca="false">IF($M208="","",$M208-기준정보!$C$4)</f>
        <v>108</v>
      </c>
      <c r="O208" s="27" t="s">
        <v>71</v>
      </c>
      <c r="P208" s="27" t="s">
        <v>71</v>
      </c>
      <c r="Q208" s="30"/>
      <c r="R208" s="26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S208" s="25" t="s">
        <v>692</v>
      </c>
      <c r="T208" s="25" t="s">
        <v>154</v>
      </c>
      <c r="U208" s="31" t="n">
        <v>3000</v>
      </c>
      <c r="V208" s="26"/>
      <c r="W208" s="26" t="str">
        <f aca="false">IF($K208="","출고일 미정",IF($O208="X","작지 미발행",IF($O208="부분","작지 일부 미발행",IF(AND($Q208&lt;&gt;"",$Q208&gt;$M208),"소재입고 마감("&amp;TEXT($M208,"MM/DD")&amp;") 초과",IF($O208="","발행여부 확인 필요",IF($Q208="","소재 입고일정 확인 필요","정상"))))))</f>
        <v>작지 미발행</v>
      </c>
      <c r="X208" s="24" t="str">
        <f aca="false">IF($K208="","",IF(OR(LEFT($W208,2)="작지",LEFT($W208,4)="소재입고"),IF(LEFT($G208,1)="S","★ 납기위험(S코드)","◆ 지연주의"),IF($W208="정상","✓ 정상","? 확인필요")))</f>
        <v>◆ 지연주의</v>
      </c>
      <c r="Y208" s="27"/>
      <c r="Z208" s="32"/>
    </row>
    <row r="209" customFormat="false" ht="15" hidden="false" customHeight="false" outlineLevel="0" collapsed="false">
      <c r="A209" s="24" t="n">
        <v>205</v>
      </c>
      <c r="B209" s="25" t="s">
        <v>688</v>
      </c>
      <c r="C209" s="25" t="s">
        <v>689</v>
      </c>
      <c r="D209" s="26" t="s">
        <v>693</v>
      </c>
      <c r="E209" s="25" t="s">
        <v>694</v>
      </c>
      <c r="F209" s="26" t="s">
        <v>695</v>
      </c>
      <c r="G209" s="24" t="str">
        <f aca="false">IF($D209="","",IF(MID($D209,5,1)="S","S(봄)",IF(MID($D209,5,1)="M","M(여름)",IF(MID($D209,5,1)="X","X(사계절)",MID($D209,5,1)))))</f>
        <v>M(여름)</v>
      </c>
      <c r="H209" s="25" t="s">
        <v>67</v>
      </c>
      <c r="I209" s="24" t="s">
        <v>404</v>
      </c>
      <c r="J209" s="27" t="s">
        <v>614</v>
      </c>
      <c r="K209" s="28" t="n">
        <f aca="false">IF($J209="","",IFERROR(DATE(IF(VALUE(LEFT($J209,FIND("월",$J209)-1))&gt;=9,기준정보!$C$7-1,기준정보!$C$7),VALUE(LEFT($J209,FIND("월",$J209)-1)),1+7*(VALUE(SUBSTITUTE(MID($J209,FIND("월",$J209)+1,5),"주",""))-1)),""))</f>
        <v>46454</v>
      </c>
      <c r="L209" s="28" t="n">
        <f aca="false">IF($K209="","",$K209-기준정보!$C$5)</f>
        <v>46440</v>
      </c>
      <c r="M209" s="28" t="n">
        <f aca="false">IF($L209="","",$L209-기준정보!$C$6)</f>
        <v>46350</v>
      </c>
      <c r="N209" s="29" t="n">
        <f aca="false">IF($M209="","",$M209-기준정보!$C$4)</f>
        <v>108</v>
      </c>
      <c r="O209" s="27" t="s">
        <v>71</v>
      </c>
      <c r="P209" s="27" t="s">
        <v>71</v>
      </c>
      <c r="Q209" s="30"/>
      <c r="R209" s="26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S209" s="25" t="s">
        <v>692</v>
      </c>
      <c r="T209" s="25" t="s">
        <v>154</v>
      </c>
      <c r="U209" s="31" t="n">
        <v>12000</v>
      </c>
      <c r="V209" s="26"/>
      <c r="W209" s="26" t="str">
        <f aca="false">IF($K209="","출고일 미정",IF($O209="X","작지 미발행",IF($O209="부분","작지 일부 미발행",IF(AND($Q209&lt;&gt;"",$Q209&gt;$M209),"소재입고 마감("&amp;TEXT($M209,"MM/DD")&amp;") 초과",IF($O209="","발행여부 확인 필요",IF($Q209="","소재 입고일정 확인 필요","정상"))))))</f>
        <v>작지 미발행</v>
      </c>
      <c r="X209" s="24" t="str">
        <f aca="false">IF($K209="","",IF(OR(LEFT($W209,2)="작지",LEFT($W209,4)="소재입고"),IF(LEFT($G209,1)="S","★ 납기위험(S코드)","◆ 지연주의"),IF($W209="정상","✓ 정상","? 확인필요")))</f>
        <v>◆ 지연주의</v>
      </c>
      <c r="Y209" s="27"/>
      <c r="Z209" s="32"/>
    </row>
    <row r="210" customFormat="false" ht="15" hidden="false" customHeight="false" outlineLevel="0" collapsed="false">
      <c r="A210" s="24" t="n">
        <v>206</v>
      </c>
      <c r="B210" s="25" t="s">
        <v>688</v>
      </c>
      <c r="C210" s="25" t="s">
        <v>689</v>
      </c>
      <c r="D210" s="26" t="s">
        <v>696</v>
      </c>
      <c r="E210" s="25" t="s">
        <v>697</v>
      </c>
      <c r="F210" s="26" t="s">
        <v>207</v>
      </c>
      <c r="G210" s="24" t="str">
        <f aca="false">IF($D210="","",IF(MID($D210,5,1)="S","S(봄)",IF(MID($D210,5,1)="M","M(여름)",IF(MID($D210,5,1)="X","X(사계절)",MID($D210,5,1)))))</f>
        <v>M(여름)</v>
      </c>
      <c r="H210" s="25" t="s">
        <v>67</v>
      </c>
      <c r="I210" s="24" t="s">
        <v>404</v>
      </c>
      <c r="J210" s="27" t="s">
        <v>614</v>
      </c>
      <c r="K210" s="28" t="n">
        <f aca="false">IF($J210="","",IFERROR(DATE(IF(VALUE(LEFT($J210,FIND("월",$J210)-1))&gt;=9,기준정보!$C$7-1,기준정보!$C$7),VALUE(LEFT($J210,FIND("월",$J210)-1)),1+7*(VALUE(SUBSTITUTE(MID($J210,FIND("월",$J210)+1,5),"주",""))-1)),""))</f>
        <v>46454</v>
      </c>
      <c r="L210" s="28" t="n">
        <f aca="false">IF($K210="","",$K210-기준정보!$C$5)</f>
        <v>46440</v>
      </c>
      <c r="M210" s="28" t="n">
        <f aca="false">IF($L210="","",$L210-기준정보!$C$6)</f>
        <v>46350</v>
      </c>
      <c r="N210" s="29" t="n">
        <f aca="false">IF($M210="","",$M210-기준정보!$C$4)</f>
        <v>108</v>
      </c>
      <c r="O210" s="27" t="s">
        <v>71</v>
      </c>
      <c r="P210" s="27" t="s">
        <v>71</v>
      </c>
      <c r="Q210" s="30"/>
      <c r="R210" s="26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S210" s="25" t="s">
        <v>692</v>
      </c>
      <c r="T210" s="25" t="s">
        <v>154</v>
      </c>
      <c r="U210" s="31" t="n">
        <v>2000</v>
      </c>
      <c r="V210" s="26"/>
      <c r="W210" s="26" t="str">
        <f aca="false">IF($K210="","출고일 미정",IF($O210="X","작지 미발행",IF($O210="부분","작지 일부 미발행",IF(AND($Q210&lt;&gt;"",$Q210&gt;$M210),"소재입고 마감("&amp;TEXT($M210,"MM/DD")&amp;") 초과",IF($O210="","발행여부 확인 필요",IF($Q210="","소재 입고일정 확인 필요","정상"))))))</f>
        <v>작지 미발행</v>
      </c>
      <c r="X210" s="24" t="str">
        <f aca="false">IF($K210="","",IF(OR(LEFT($W210,2)="작지",LEFT($W210,4)="소재입고"),IF(LEFT($G210,1)="S","★ 납기위험(S코드)","◆ 지연주의"),IF($W210="정상","✓ 정상","? 확인필요")))</f>
        <v>◆ 지연주의</v>
      </c>
      <c r="Y210" s="27"/>
      <c r="Z210" s="32"/>
    </row>
    <row r="211" customFormat="false" ht="15" hidden="false" customHeight="false" outlineLevel="0" collapsed="false">
      <c r="A211" s="24" t="n">
        <v>207</v>
      </c>
      <c r="B211" s="25" t="s">
        <v>688</v>
      </c>
      <c r="C211" s="25" t="s">
        <v>689</v>
      </c>
      <c r="D211" s="26" t="s">
        <v>698</v>
      </c>
      <c r="E211" s="25" t="s">
        <v>699</v>
      </c>
      <c r="F211" s="26" t="s">
        <v>493</v>
      </c>
      <c r="G211" s="24" t="str">
        <f aca="false">IF($D211="","",IF(MID($D211,5,1)="S","S(봄)",IF(MID($D211,5,1)="M","M(여름)",IF(MID($D211,5,1)="X","X(사계절)",MID($D211,5,1)))))</f>
        <v>M(여름)</v>
      </c>
      <c r="H211" s="25" t="s">
        <v>67</v>
      </c>
      <c r="I211" s="24" t="s">
        <v>404</v>
      </c>
      <c r="J211" s="27" t="s">
        <v>614</v>
      </c>
      <c r="K211" s="28" t="n">
        <f aca="false">IF($J211="","",IFERROR(DATE(IF(VALUE(LEFT($J211,FIND("월",$J211)-1))&gt;=9,기준정보!$C$7-1,기준정보!$C$7),VALUE(LEFT($J211,FIND("월",$J211)-1)),1+7*(VALUE(SUBSTITUTE(MID($J211,FIND("월",$J211)+1,5),"주",""))-1)),""))</f>
        <v>46454</v>
      </c>
      <c r="L211" s="28" t="n">
        <f aca="false">IF($K211="","",$K211-기준정보!$C$5)</f>
        <v>46440</v>
      </c>
      <c r="M211" s="28" t="n">
        <f aca="false">IF($L211="","",$L211-기준정보!$C$6)</f>
        <v>46350</v>
      </c>
      <c r="N211" s="29" t="n">
        <f aca="false">IF($M211="","",$M211-기준정보!$C$4)</f>
        <v>108</v>
      </c>
      <c r="O211" s="27" t="s">
        <v>71</v>
      </c>
      <c r="P211" s="27" t="s">
        <v>71</v>
      </c>
      <c r="Q211" s="30"/>
      <c r="R211" s="26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S211" s="25" t="s">
        <v>692</v>
      </c>
      <c r="T211" s="25" t="s">
        <v>154</v>
      </c>
      <c r="U211" s="31" t="n">
        <v>3000</v>
      </c>
      <c r="V211" s="26"/>
      <c r="W211" s="26" t="str">
        <f aca="false">IF($K211="","출고일 미정",IF($O211="X","작지 미발행",IF($O211="부분","작지 일부 미발행",IF(AND($Q211&lt;&gt;"",$Q211&gt;$M211),"소재입고 마감("&amp;TEXT($M211,"MM/DD")&amp;") 초과",IF($O211="","발행여부 확인 필요",IF($Q211="","소재 입고일정 확인 필요","정상"))))))</f>
        <v>작지 미발행</v>
      </c>
      <c r="X211" s="24" t="str">
        <f aca="false">IF($K211="","",IF(OR(LEFT($W211,2)="작지",LEFT($W211,4)="소재입고"),IF(LEFT($G211,1)="S","★ 납기위험(S코드)","◆ 지연주의"),IF($W211="정상","✓ 정상","? 확인필요")))</f>
        <v>◆ 지연주의</v>
      </c>
      <c r="Y211" s="27"/>
      <c r="Z211" s="32"/>
    </row>
    <row r="212" customFormat="false" ht="15" hidden="false" customHeight="false" outlineLevel="0" collapsed="false">
      <c r="A212" s="24" t="n">
        <v>208</v>
      </c>
      <c r="B212" s="25" t="s">
        <v>688</v>
      </c>
      <c r="C212" s="25" t="s">
        <v>689</v>
      </c>
      <c r="D212" s="26" t="s">
        <v>700</v>
      </c>
      <c r="E212" s="25" t="s">
        <v>701</v>
      </c>
      <c r="F212" s="26" t="s">
        <v>702</v>
      </c>
      <c r="G212" s="24" t="str">
        <f aca="false">IF($D212="","",IF(MID($D212,5,1)="S","S(봄)",IF(MID($D212,5,1)="M","M(여름)",IF(MID($D212,5,1)="X","X(사계절)",MID($D212,5,1)))))</f>
        <v>M(여름)</v>
      </c>
      <c r="H212" s="25" t="s">
        <v>67</v>
      </c>
      <c r="I212" s="24" t="s">
        <v>404</v>
      </c>
      <c r="J212" s="27" t="s">
        <v>614</v>
      </c>
      <c r="K212" s="28" t="n">
        <f aca="false">IF($J212="","",IFERROR(DATE(IF(VALUE(LEFT($J212,FIND("월",$J212)-1))&gt;=9,기준정보!$C$7-1,기준정보!$C$7),VALUE(LEFT($J212,FIND("월",$J212)-1)),1+7*(VALUE(SUBSTITUTE(MID($J212,FIND("월",$J212)+1,5),"주",""))-1)),""))</f>
        <v>46454</v>
      </c>
      <c r="L212" s="28" t="n">
        <f aca="false">IF($K212="","",$K212-기준정보!$C$5)</f>
        <v>46440</v>
      </c>
      <c r="M212" s="28" t="n">
        <f aca="false">IF($L212="","",$L212-기준정보!$C$6)</f>
        <v>46350</v>
      </c>
      <c r="N212" s="29" t="n">
        <f aca="false">IF($M212="","",$M212-기준정보!$C$4)</f>
        <v>108</v>
      </c>
      <c r="O212" s="27" t="s">
        <v>71</v>
      </c>
      <c r="P212" s="27" t="s">
        <v>71</v>
      </c>
      <c r="Q212" s="30"/>
      <c r="R212" s="26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S212" s="25" t="s">
        <v>692</v>
      </c>
      <c r="T212" s="25" t="s">
        <v>154</v>
      </c>
      <c r="U212" s="31" t="n">
        <v>1600</v>
      </c>
      <c r="V212" s="26"/>
      <c r="W212" s="26" t="str">
        <f aca="false">IF($K212="","출고일 미정",IF($O212="X","작지 미발행",IF($O212="부분","작지 일부 미발행",IF(AND($Q212&lt;&gt;"",$Q212&gt;$M212),"소재입고 마감("&amp;TEXT($M212,"MM/DD")&amp;") 초과",IF($O212="","발행여부 확인 필요",IF($Q212="","소재 입고일정 확인 필요","정상"))))))</f>
        <v>작지 미발행</v>
      </c>
      <c r="X212" s="24" t="str">
        <f aca="false">IF($K212="","",IF(OR(LEFT($W212,2)="작지",LEFT($W212,4)="소재입고"),IF(LEFT($G212,1)="S","★ 납기위험(S코드)","◆ 지연주의"),IF($W212="정상","✓ 정상","? 확인필요")))</f>
        <v>◆ 지연주의</v>
      </c>
      <c r="Y212" s="27"/>
      <c r="Z212" s="32"/>
    </row>
    <row r="213" customFormat="false" ht="15" hidden="false" customHeight="false" outlineLevel="0" collapsed="false">
      <c r="A213" s="24" t="n">
        <v>209</v>
      </c>
      <c r="B213" s="25" t="s">
        <v>688</v>
      </c>
      <c r="C213" s="25" t="s">
        <v>689</v>
      </c>
      <c r="D213" s="26" t="s">
        <v>703</v>
      </c>
      <c r="E213" s="25" t="s">
        <v>704</v>
      </c>
      <c r="F213" s="26" t="s">
        <v>705</v>
      </c>
      <c r="G213" s="24" t="str">
        <f aca="false">IF($D213="","",IF(MID($D213,5,1)="S","S(봄)",IF(MID($D213,5,1)="M","M(여름)",IF(MID($D213,5,1)="X","X(사계절)",MID($D213,5,1)))))</f>
        <v>M(여름)</v>
      </c>
      <c r="H213" s="25" t="s">
        <v>67</v>
      </c>
      <c r="I213" s="24" t="s">
        <v>404</v>
      </c>
      <c r="J213" s="27" t="s">
        <v>614</v>
      </c>
      <c r="K213" s="28" t="n">
        <f aca="false">IF($J213="","",IFERROR(DATE(IF(VALUE(LEFT($J213,FIND("월",$J213)-1))&gt;=9,기준정보!$C$7-1,기준정보!$C$7),VALUE(LEFT($J213,FIND("월",$J213)-1)),1+7*(VALUE(SUBSTITUTE(MID($J213,FIND("월",$J213)+1,5),"주",""))-1)),""))</f>
        <v>46454</v>
      </c>
      <c r="L213" s="28" t="n">
        <f aca="false">IF($K213="","",$K213-기준정보!$C$5)</f>
        <v>46440</v>
      </c>
      <c r="M213" s="28" t="n">
        <f aca="false">IF($L213="","",$L213-기준정보!$C$6)</f>
        <v>46350</v>
      </c>
      <c r="N213" s="29" t="n">
        <f aca="false">IF($M213="","",$M213-기준정보!$C$4)</f>
        <v>108</v>
      </c>
      <c r="O213" s="27" t="s">
        <v>71</v>
      </c>
      <c r="P213" s="27" t="s">
        <v>71</v>
      </c>
      <c r="Q213" s="30"/>
      <c r="R213" s="26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S213" s="26"/>
      <c r="T213" s="25" t="s">
        <v>154</v>
      </c>
      <c r="U213" s="31" t="n">
        <v>1100</v>
      </c>
      <c r="V213" s="26"/>
      <c r="W213" s="26" t="str">
        <f aca="false">IF($K213="","출고일 미정",IF($O213="X","작지 미발행",IF($O213="부분","작지 일부 미발행",IF(AND($Q213&lt;&gt;"",$Q213&gt;$M213),"소재입고 마감("&amp;TEXT($M213,"MM/DD")&amp;") 초과",IF($O213="","발행여부 확인 필요",IF($Q213="","소재 입고일정 확인 필요","정상"))))))</f>
        <v>작지 미발행</v>
      </c>
      <c r="X213" s="24" t="str">
        <f aca="false">IF($K213="","",IF(OR(LEFT($W213,2)="작지",LEFT($W213,4)="소재입고"),IF(LEFT($G213,1)="S","★ 납기위험(S코드)","◆ 지연주의"),IF($W213="정상","✓ 정상","? 확인필요")))</f>
        <v>◆ 지연주의</v>
      </c>
      <c r="Y213" s="27"/>
      <c r="Z213" s="32"/>
    </row>
    <row r="214" customFormat="false" ht="15" hidden="false" customHeight="false" outlineLevel="0" collapsed="false">
      <c r="A214" s="24" t="n">
        <v>210</v>
      </c>
      <c r="B214" s="25" t="s">
        <v>255</v>
      </c>
      <c r="C214" s="25" t="s">
        <v>256</v>
      </c>
      <c r="D214" s="26" t="s">
        <v>706</v>
      </c>
      <c r="E214" s="25" t="s">
        <v>707</v>
      </c>
      <c r="F214" s="26" t="s">
        <v>702</v>
      </c>
      <c r="G214" s="24" t="str">
        <f aca="false">IF($D214="","",IF(MID($D214,5,1)="S","S(봄)",IF(MID($D214,5,1)="M","M(여름)",IF(MID($D214,5,1)="X","X(사계절)",MID($D214,5,1)))))</f>
        <v>M(여름)</v>
      </c>
      <c r="H214" s="26" t="s">
        <v>197</v>
      </c>
      <c r="I214" s="24" t="s">
        <v>708</v>
      </c>
      <c r="J214" s="27" t="s">
        <v>614</v>
      </c>
      <c r="K214" s="28" t="n">
        <f aca="false">IF($J214="","",IFERROR(DATE(IF(VALUE(LEFT($J214,FIND("월",$J214)-1))&gt;=9,기준정보!$C$7-1,기준정보!$C$7),VALUE(LEFT($J214,FIND("월",$J214)-1)),1+7*(VALUE(SUBSTITUTE(MID($J214,FIND("월",$J214)+1,5),"주",""))-1)),""))</f>
        <v>46454</v>
      </c>
      <c r="L214" s="28" t="n">
        <f aca="false">IF($K214="","",$K214-기준정보!$C$5)</f>
        <v>46440</v>
      </c>
      <c r="M214" s="28" t="n">
        <f aca="false">IF($L214="","",$L214-기준정보!$C$6)</f>
        <v>46350</v>
      </c>
      <c r="N214" s="29" t="n">
        <f aca="false">IF($M214="","",$M214-기준정보!$C$4)</f>
        <v>108</v>
      </c>
      <c r="O214" s="27" t="s">
        <v>70</v>
      </c>
      <c r="P214" s="27" t="s">
        <v>71</v>
      </c>
      <c r="Q214" s="30"/>
      <c r="R214" s="26" t="str">
        <f aca="false">IF($H214="","",IF(AND(ISNUMBER(SEARCH("CMT",$H214)),OR(ISNUMBER(SEARCH("완사입",$H214)),ISNUMBER(SEARCH("ODM",$H214)))),"본사/생산처 혼재",IF(ISNUMBER(SEARCH("CMT",$H214)),"본사(소재팀)","생산처")))</f>
        <v>본사(소재팀)</v>
      </c>
      <c r="S214" s="25" t="s">
        <v>87</v>
      </c>
      <c r="T214" s="25" t="s">
        <v>73</v>
      </c>
      <c r="U214" s="31" t="n">
        <v>3500</v>
      </c>
      <c r="V214" s="26"/>
      <c r="W214" s="26" t="str">
        <f aca="false">IF($K214="","출고일 미정",IF($O214="X","작지 미발행",IF($O214="부분","작지 일부 미발행",IF(AND($Q214&lt;&gt;"",$Q214&gt;$M214),"소재입고 마감("&amp;TEXT($M214,"MM/DD")&amp;") 초과",IF($O214="","발행여부 확인 필요",IF($Q214="","소재 입고일정 확인 필요","정상"))))))</f>
        <v>소재 입고일정 확인 필요</v>
      </c>
      <c r="X214" s="24" t="str">
        <f aca="false">IF($K214="","",IF(OR(LEFT($W214,2)="작지",LEFT($W214,4)="소재입고"),IF(LEFT($G214,1)="S","★ 납기위험(S코드)","◆ 지연주의"),IF($W214="정상","✓ 정상","? 확인필요")))</f>
        <v>? 확인필요</v>
      </c>
      <c r="Y214" s="27"/>
      <c r="Z214" s="32"/>
    </row>
    <row r="215" customFormat="false" ht="15" hidden="false" customHeight="false" outlineLevel="0" collapsed="false">
      <c r="A215" s="24" t="n">
        <v>211</v>
      </c>
      <c r="B215" s="25" t="s">
        <v>255</v>
      </c>
      <c r="C215" s="25" t="s">
        <v>256</v>
      </c>
      <c r="D215" s="26" t="s">
        <v>709</v>
      </c>
      <c r="E215" s="25" t="s">
        <v>710</v>
      </c>
      <c r="F215" s="26" t="s">
        <v>711</v>
      </c>
      <c r="G215" s="24" t="str">
        <f aca="false">IF($D215="","",IF(MID($D215,5,1)="S","S(봄)",IF(MID($D215,5,1)="M","M(여름)",IF(MID($D215,5,1)="X","X(사계절)",MID($D215,5,1)))))</f>
        <v>M(여름)</v>
      </c>
      <c r="H215" s="25" t="s">
        <v>67</v>
      </c>
      <c r="I215" s="24" t="s">
        <v>494</v>
      </c>
      <c r="J215" s="27" t="s">
        <v>614</v>
      </c>
      <c r="K215" s="28" t="n">
        <f aca="false">IF($J215="","",IFERROR(DATE(IF(VALUE(LEFT($J215,FIND("월",$J215)-1))&gt;=9,기준정보!$C$7-1,기준정보!$C$7),VALUE(LEFT($J215,FIND("월",$J215)-1)),1+7*(VALUE(SUBSTITUTE(MID($J215,FIND("월",$J215)+1,5),"주",""))-1)),""))</f>
        <v>46454</v>
      </c>
      <c r="L215" s="28" t="n">
        <f aca="false">IF($K215="","",$K215-기준정보!$C$5)</f>
        <v>46440</v>
      </c>
      <c r="M215" s="28" t="n">
        <f aca="false">IF($L215="","",$L215-기준정보!$C$6)</f>
        <v>46350</v>
      </c>
      <c r="N215" s="29" t="n">
        <f aca="false">IF($M215="","",$M215-기준정보!$C$4)</f>
        <v>108</v>
      </c>
      <c r="O215" s="27" t="s">
        <v>70</v>
      </c>
      <c r="P215" s="27" t="s">
        <v>71</v>
      </c>
      <c r="Q215" s="30"/>
      <c r="R215" s="26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S215" s="25" t="s">
        <v>379</v>
      </c>
      <c r="T215" s="25" t="s">
        <v>73</v>
      </c>
      <c r="U215" s="31" t="n">
        <v>3500</v>
      </c>
      <c r="V215" s="26"/>
      <c r="W215" s="26" t="str">
        <f aca="false">IF($K215="","출고일 미정",IF($O215="X","작지 미발행",IF($O215="부분","작지 일부 미발행",IF(AND($Q215&lt;&gt;"",$Q215&gt;$M215),"소재입고 마감("&amp;TEXT($M215,"MM/DD")&amp;") 초과",IF($O215="","발행여부 확인 필요",IF($Q215="","소재 입고일정 확인 필요","정상"))))))</f>
        <v>소재 입고일정 확인 필요</v>
      </c>
      <c r="X215" s="24" t="str">
        <f aca="false">IF($K215="","",IF(OR(LEFT($W215,2)="작지",LEFT($W215,4)="소재입고"),IF(LEFT($G215,1)="S","★ 납기위험(S코드)","◆ 지연주의"),IF($W215="정상","✓ 정상","? 확인필요")))</f>
        <v>? 확인필요</v>
      </c>
      <c r="Y215" s="27"/>
      <c r="Z215" s="32"/>
    </row>
    <row r="216" customFormat="false" ht="15" hidden="false" customHeight="false" outlineLevel="0" collapsed="false">
      <c r="A216" s="24" t="n">
        <v>212</v>
      </c>
      <c r="B216" s="25" t="s">
        <v>255</v>
      </c>
      <c r="C216" s="25" t="s">
        <v>256</v>
      </c>
      <c r="D216" s="26" t="s">
        <v>712</v>
      </c>
      <c r="E216" s="25" t="s">
        <v>713</v>
      </c>
      <c r="F216" s="26" t="s">
        <v>259</v>
      </c>
      <c r="G216" s="24" t="str">
        <f aca="false">IF($D216="","",IF(MID($D216,5,1)="S","S(봄)",IF(MID($D216,5,1)="M","M(여름)",IF(MID($D216,5,1)="X","X(사계절)",MID($D216,5,1)))))</f>
        <v>M(여름)</v>
      </c>
      <c r="H216" s="26" t="s">
        <v>197</v>
      </c>
      <c r="I216" s="24" t="s">
        <v>708</v>
      </c>
      <c r="J216" s="27" t="s">
        <v>614</v>
      </c>
      <c r="K216" s="28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8" t="n">
        <f aca="false">IF($K216="","",$K216-기준정보!$C$5)</f>
        <v>46440</v>
      </c>
      <c r="M216" s="28" t="n">
        <f aca="false">IF($L216="","",$L216-기준정보!$C$6)</f>
        <v>46350</v>
      </c>
      <c r="N216" s="29" t="n">
        <f aca="false">IF($M216="","",$M216-기준정보!$C$4)</f>
        <v>108</v>
      </c>
      <c r="O216" s="27" t="s">
        <v>70</v>
      </c>
      <c r="P216" s="27" t="s">
        <v>71</v>
      </c>
      <c r="Q216" s="30"/>
      <c r="R216" s="26" t="str">
        <f aca="false">IF($H216="","",IF(AND(ISNUMBER(SEARCH("CMT",$H216)),OR(ISNUMBER(SEARCH("완사입",$H216)),ISNUMBER(SEARCH("ODM",$H216)))),"본사/생산처 혼재",IF(ISNUMBER(SEARCH("CMT",$H216)),"본사(소재팀)","생산처")))</f>
        <v>본사(소재팀)</v>
      </c>
      <c r="S216" s="26" t="s">
        <v>223</v>
      </c>
      <c r="T216" s="25" t="s">
        <v>73</v>
      </c>
      <c r="U216" s="31" t="n">
        <v>2000</v>
      </c>
      <c r="V216" s="26"/>
      <c r="W216" s="26" t="str">
        <f aca="false">IF($K216="","출고일 미정",IF($O216="X","작지 미발행",IF($O216="부분","작지 일부 미발행",IF(AND($Q216&lt;&gt;"",$Q216&gt;$M216),"소재입고 마감("&amp;TEXT($M216,"MM/DD")&amp;") 초과",IF($O216="","발행여부 확인 필요",IF($Q216="","소재 입고일정 확인 필요","정상"))))))</f>
        <v>소재 입고일정 확인 필요</v>
      </c>
      <c r="X216" s="24" t="str">
        <f aca="false">IF($K216="","",IF(OR(LEFT($W216,2)="작지",LEFT($W216,4)="소재입고"),IF(LEFT($G216,1)="S","★ 납기위험(S코드)","◆ 지연주의"),IF($W216="정상","✓ 정상","? 확인필요")))</f>
        <v>? 확인필요</v>
      </c>
      <c r="Y216" s="27"/>
      <c r="Z216" s="32"/>
    </row>
    <row r="217" customFormat="false" ht="15" hidden="false" customHeight="false" outlineLevel="0" collapsed="false">
      <c r="A217" s="24" t="n">
        <v>213</v>
      </c>
      <c r="B217" s="25" t="s">
        <v>112</v>
      </c>
      <c r="C217" s="25" t="s">
        <v>256</v>
      </c>
      <c r="D217" s="26" t="s">
        <v>714</v>
      </c>
      <c r="E217" s="25" t="s">
        <v>715</v>
      </c>
      <c r="F217" s="26" t="s">
        <v>716</v>
      </c>
      <c r="G217" s="24" t="str">
        <f aca="false">IF($D217="","",IF(MID($D217,5,1)="S","S(봄)",IF(MID($D217,5,1)="M","M(여름)",IF(MID($D217,5,1)="X","X(사계절)",MID($D217,5,1)))))</f>
        <v>M(여름)</v>
      </c>
      <c r="H217" s="25" t="s">
        <v>67</v>
      </c>
      <c r="I217" s="24"/>
      <c r="J217" s="27" t="s">
        <v>614</v>
      </c>
      <c r="K217" s="28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8" t="n">
        <f aca="false">IF($K217="","",$K217-기준정보!$C$5)</f>
        <v>46440</v>
      </c>
      <c r="M217" s="28" t="n">
        <f aca="false">IF($L217="","",$L217-기준정보!$C$6)</f>
        <v>46350</v>
      </c>
      <c r="N217" s="29" t="n">
        <f aca="false">IF($M217="","",$M217-기준정보!$C$4)</f>
        <v>108</v>
      </c>
      <c r="O217" s="27" t="s">
        <v>70</v>
      </c>
      <c r="P217" s="27" t="s">
        <v>71</v>
      </c>
      <c r="Q217" s="30"/>
      <c r="R217" s="26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S217" s="25" t="s">
        <v>501</v>
      </c>
      <c r="T217" s="25" t="s">
        <v>73</v>
      </c>
      <c r="U217" s="31" t="n">
        <v>5500</v>
      </c>
      <c r="V217" s="26" t="s">
        <v>614</v>
      </c>
      <c r="W217" s="26" t="str">
        <f aca="false">IF($K217="","출고일 미정",IF($O217="X","작지 미발행",IF($O217="부분","작지 일부 미발행",IF(AND($Q217&lt;&gt;"",$Q217&gt;$M217),"소재입고 마감("&amp;TEXT($M217,"MM/DD")&amp;") 초과",IF($O217="","발행여부 확인 필요",IF($Q217="","소재 입고일정 확인 필요","정상"))))))</f>
        <v>소재 입고일정 확인 필요</v>
      </c>
      <c r="X217" s="24" t="str">
        <f aca="false">IF($K217="","",IF(OR(LEFT($W217,2)="작지",LEFT($W217,4)="소재입고"),IF(LEFT($G217,1)="S","★ 납기위험(S코드)","◆ 지연주의"),IF($W217="정상","✓ 정상","? 확인필요")))</f>
        <v>? 확인필요</v>
      </c>
      <c r="Y217" s="27"/>
      <c r="Z217" s="32"/>
    </row>
    <row r="218" customFormat="false" ht="15" hidden="false" customHeight="false" outlineLevel="0" collapsed="false">
      <c r="A218" s="24" t="n">
        <v>214</v>
      </c>
      <c r="B218" s="25" t="s">
        <v>112</v>
      </c>
      <c r="C218" s="25" t="s">
        <v>256</v>
      </c>
      <c r="D218" s="26" t="s">
        <v>717</v>
      </c>
      <c r="E218" s="25" t="s">
        <v>718</v>
      </c>
      <c r="F218" s="26" t="s">
        <v>719</v>
      </c>
      <c r="G218" s="24" t="str">
        <f aca="false">IF($D218="","",IF(MID($D218,5,1)="S","S(봄)",IF(MID($D218,5,1)="M","M(여름)",IF(MID($D218,5,1)="X","X(사계절)",MID($D218,5,1)))))</f>
        <v>M(여름)</v>
      </c>
      <c r="H218" s="25" t="s">
        <v>67</v>
      </c>
      <c r="I218" s="24"/>
      <c r="J218" s="27" t="s">
        <v>614</v>
      </c>
      <c r="K218" s="28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8" t="n">
        <f aca="false">IF($K218="","",$K218-기준정보!$C$5)</f>
        <v>46440</v>
      </c>
      <c r="M218" s="28" t="n">
        <f aca="false">IF($L218="","",$L218-기준정보!$C$6)</f>
        <v>46350</v>
      </c>
      <c r="N218" s="29" t="n">
        <f aca="false">IF($M218="","",$M218-기준정보!$C$4)</f>
        <v>108</v>
      </c>
      <c r="O218" s="27" t="s">
        <v>70</v>
      </c>
      <c r="P218" s="27" t="s">
        <v>71</v>
      </c>
      <c r="Q218" s="30"/>
      <c r="R218" s="26" t="str">
        <f aca="false">IF($H218="","",IF(AND(ISNUMBER(SEARCH("CMT",$H218)),OR(ISNUMBER(SEARCH("완사입",$H218)),ISNUMBER(SEARCH("ODM",$H218)))),"본사/생산처 혼재",IF(ISNUMBER(SEARCH("CMT",$H218)),"본사(소재팀)","생산처")))</f>
        <v>생산처</v>
      </c>
      <c r="S218" s="25" t="s">
        <v>501</v>
      </c>
      <c r="T218" s="25" t="s">
        <v>73</v>
      </c>
      <c r="U218" s="31" t="n">
        <v>4000</v>
      </c>
      <c r="V218" s="26"/>
      <c r="W218" s="26" t="str">
        <f aca="false">IF($K218="","출고일 미정",IF($O218="X","작지 미발행",IF($O218="부분","작지 일부 미발행",IF(AND($Q218&lt;&gt;"",$Q218&gt;$M218),"소재입고 마감("&amp;TEXT($M218,"MM/DD")&amp;") 초과",IF($O218="","발행여부 확인 필요",IF($Q218="","소재 입고일정 확인 필요","정상"))))))</f>
        <v>소재 입고일정 확인 필요</v>
      </c>
      <c r="X218" s="24" t="str">
        <f aca="false">IF($K218="","",IF(OR(LEFT($W218,2)="작지",LEFT($W218,4)="소재입고"),IF(LEFT($G218,1)="S","★ 납기위험(S코드)","◆ 지연주의"),IF($W218="정상","✓ 정상","? 확인필요")))</f>
        <v>? 확인필요</v>
      </c>
      <c r="Y218" s="27"/>
      <c r="Z218" s="32"/>
    </row>
    <row r="219" customFormat="false" ht="15" hidden="false" customHeight="false" outlineLevel="0" collapsed="false">
      <c r="A219" s="24" t="n">
        <v>215</v>
      </c>
      <c r="B219" s="25" t="s">
        <v>62</v>
      </c>
      <c r="C219" s="26" t="s">
        <v>720</v>
      </c>
      <c r="D219" s="26" t="s">
        <v>721</v>
      </c>
      <c r="E219" s="25" t="s">
        <v>722</v>
      </c>
      <c r="F219" s="26" t="s">
        <v>723</v>
      </c>
      <c r="G219" s="24" t="str">
        <f aca="false">IF($D219="","",IF(MID($D219,5,1)="S","S(봄)",IF(MID($D219,5,1)="M","M(여름)",IF(MID($D219,5,1)="X","X(사계절)",MID($D219,5,1)))))</f>
        <v>M(여름)</v>
      </c>
      <c r="H219" s="25" t="s">
        <v>67</v>
      </c>
      <c r="I219" s="24"/>
      <c r="J219" s="27" t="s">
        <v>614</v>
      </c>
      <c r="K219" s="28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8" t="n">
        <f aca="false">IF($K219="","",$K219-기준정보!$C$5)</f>
        <v>46440</v>
      </c>
      <c r="M219" s="28" t="n">
        <f aca="false">IF($L219="","",$L219-기준정보!$C$6)</f>
        <v>46350</v>
      </c>
      <c r="N219" s="29" t="n">
        <f aca="false">IF($M219="","",$M219-기준정보!$C$4)</f>
        <v>108</v>
      </c>
      <c r="O219" s="27" t="s">
        <v>70</v>
      </c>
      <c r="P219" s="27"/>
      <c r="Q219" s="30"/>
      <c r="R219" s="26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S219" s="26"/>
      <c r="T219" s="26"/>
      <c r="U219" s="31" t="n">
        <v>2500</v>
      </c>
      <c r="V219" s="26"/>
      <c r="W219" s="26" t="str">
        <f aca="false">IF($K219="","출고일 미정",IF($O219="X","작지 미발행",IF($O219="부분","작지 일부 미발행",IF(AND($Q219&lt;&gt;"",$Q219&gt;$M219),"소재입고 마감("&amp;TEXT($M219,"MM/DD")&amp;") 초과",IF($O219="","발행여부 확인 필요",IF($Q219="","소재 입고일정 확인 필요","정상"))))))</f>
        <v>소재 입고일정 확인 필요</v>
      </c>
      <c r="X219" s="24" t="str">
        <f aca="false">IF($K219="","",IF(OR(LEFT($W219,2)="작지",LEFT($W219,4)="소재입고"),IF(LEFT($G219,1)="S","★ 납기위험(S코드)","◆ 지연주의"),IF($W219="정상","✓ 정상","? 확인필요")))</f>
        <v>? 확인필요</v>
      </c>
      <c r="Y219" s="27"/>
      <c r="Z219" s="32"/>
    </row>
    <row r="220" customFormat="false" ht="15" hidden="false" customHeight="false" outlineLevel="0" collapsed="false">
      <c r="A220" s="24" t="n">
        <v>216</v>
      </c>
      <c r="B220" s="25" t="s">
        <v>112</v>
      </c>
      <c r="C220" s="25" t="s">
        <v>256</v>
      </c>
      <c r="D220" s="26" t="s">
        <v>724</v>
      </c>
      <c r="E220" s="25" t="s">
        <v>725</v>
      </c>
      <c r="F220" s="26" t="s">
        <v>726</v>
      </c>
      <c r="G220" s="24" t="str">
        <f aca="false">IF($D220="","",IF(MID($D220,5,1)="S","S(봄)",IF(MID($D220,5,1)="M","M(여름)",IF(MID($D220,5,1)="X","X(사계절)",MID($D220,5,1)))))</f>
        <v>M(여름)</v>
      </c>
      <c r="H220" s="25" t="s">
        <v>67</v>
      </c>
      <c r="I220" s="24"/>
      <c r="J220" s="27" t="s">
        <v>614</v>
      </c>
      <c r="K220" s="28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8" t="n">
        <f aca="false">IF($K220="","",$K220-기준정보!$C$5)</f>
        <v>46440</v>
      </c>
      <c r="M220" s="28" t="n">
        <f aca="false">IF($L220="","",$L220-기준정보!$C$6)</f>
        <v>46350</v>
      </c>
      <c r="N220" s="29" t="n">
        <f aca="false">IF($M220="","",$M220-기준정보!$C$4)</f>
        <v>108</v>
      </c>
      <c r="O220" s="27" t="s">
        <v>70</v>
      </c>
      <c r="P220" s="27" t="s">
        <v>71</v>
      </c>
      <c r="Q220" s="30"/>
      <c r="R220" s="26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S220" s="25" t="s">
        <v>501</v>
      </c>
      <c r="T220" s="25" t="s">
        <v>73</v>
      </c>
      <c r="U220" s="31" t="n">
        <v>3500</v>
      </c>
      <c r="V220" s="26" t="s">
        <v>614</v>
      </c>
      <c r="W220" s="26" t="str">
        <f aca="false">IF($K220="","출고일 미정",IF($O220="X","작지 미발행",IF($O220="부분","작지 일부 미발행",IF(AND($Q220&lt;&gt;"",$Q220&gt;$M220),"소재입고 마감("&amp;TEXT($M220,"MM/DD")&amp;") 초과",IF($O220="","발행여부 확인 필요",IF($Q220="","소재 입고일정 확인 필요","정상"))))))</f>
        <v>소재 입고일정 확인 필요</v>
      </c>
      <c r="X220" s="24" t="str">
        <f aca="false">IF($K220="","",IF(OR(LEFT($W220,2)="작지",LEFT($W220,4)="소재입고"),IF(LEFT($G220,1)="S","★ 납기위험(S코드)","◆ 지연주의"),IF($W220="정상","✓ 정상","? 확인필요")))</f>
        <v>? 확인필요</v>
      </c>
      <c r="Y220" s="27"/>
      <c r="Z220" s="32"/>
    </row>
    <row r="221" customFormat="false" ht="15" hidden="false" customHeight="false" outlineLevel="0" collapsed="false">
      <c r="A221" s="24" t="n">
        <v>217</v>
      </c>
      <c r="B221" s="25" t="s">
        <v>112</v>
      </c>
      <c r="C221" s="25" t="s">
        <v>256</v>
      </c>
      <c r="D221" s="26" t="s">
        <v>727</v>
      </c>
      <c r="E221" s="25" t="s">
        <v>728</v>
      </c>
      <c r="F221" s="26" t="s">
        <v>729</v>
      </c>
      <c r="G221" s="24" t="str">
        <f aca="false">IF($D221="","",IF(MID($D221,5,1)="S","S(봄)",IF(MID($D221,5,1)="M","M(여름)",IF(MID($D221,5,1)="X","X(사계절)",MID($D221,5,1)))))</f>
        <v>M(여름)</v>
      </c>
      <c r="H221" s="25" t="s">
        <v>67</v>
      </c>
      <c r="I221" s="24"/>
      <c r="J221" s="27" t="s">
        <v>614</v>
      </c>
      <c r="K221" s="28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8" t="n">
        <f aca="false">IF($K221="","",$K221-기준정보!$C$5)</f>
        <v>46440</v>
      </c>
      <c r="M221" s="28" t="n">
        <f aca="false">IF($L221="","",$L221-기준정보!$C$6)</f>
        <v>46350</v>
      </c>
      <c r="N221" s="29" t="n">
        <f aca="false">IF($M221="","",$M221-기준정보!$C$4)</f>
        <v>108</v>
      </c>
      <c r="O221" s="27" t="s">
        <v>70</v>
      </c>
      <c r="P221" s="27" t="s">
        <v>71</v>
      </c>
      <c r="Q221" s="30"/>
      <c r="R221" s="26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S221" s="25" t="s">
        <v>501</v>
      </c>
      <c r="T221" s="25" t="s">
        <v>73</v>
      </c>
      <c r="U221" s="31" t="n">
        <v>3000</v>
      </c>
      <c r="V221" s="26"/>
      <c r="W221" s="26" t="str">
        <f aca="false">IF($K221="","출고일 미정",IF($O221="X","작지 미발행",IF($O221="부분","작지 일부 미발행",IF(AND($Q221&lt;&gt;"",$Q221&gt;$M221),"소재입고 마감("&amp;TEXT($M221,"MM/DD")&amp;") 초과",IF($O221="","발행여부 확인 필요",IF($Q221="","소재 입고일정 확인 필요","정상"))))))</f>
        <v>소재 입고일정 확인 필요</v>
      </c>
      <c r="X221" s="24" t="str">
        <f aca="false">IF($K221="","",IF(OR(LEFT($W221,2)="작지",LEFT($W221,4)="소재입고"),IF(LEFT($G221,1)="S","★ 납기위험(S코드)","◆ 지연주의"),IF($W221="정상","✓ 정상","? 확인필요")))</f>
        <v>? 확인필요</v>
      </c>
      <c r="Y221" s="27"/>
      <c r="Z221" s="32"/>
    </row>
    <row r="222" customFormat="false" ht="15" hidden="false" customHeight="false" outlineLevel="0" collapsed="false">
      <c r="A222" s="24" t="n">
        <v>218</v>
      </c>
      <c r="B222" s="25" t="s">
        <v>112</v>
      </c>
      <c r="C222" s="25" t="s">
        <v>113</v>
      </c>
      <c r="D222" s="26" t="s">
        <v>730</v>
      </c>
      <c r="E222" s="25" t="s">
        <v>731</v>
      </c>
      <c r="F222" s="26" t="s">
        <v>732</v>
      </c>
      <c r="G222" s="24" t="str">
        <f aca="false">IF($D222="","",IF(MID($D222,5,1)="S","S(봄)",IF(MID($D222,5,1)="M","M(여름)",IF(MID($D222,5,1)="X","X(사계절)",MID($D222,5,1)))))</f>
        <v>M(여름)</v>
      </c>
      <c r="H222" s="26" t="s">
        <v>117</v>
      </c>
      <c r="I222" s="24"/>
      <c r="J222" s="27" t="s">
        <v>614</v>
      </c>
      <c r="K222" s="28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8" t="n">
        <f aca="false">IF($K222="","",$K222-기준정보!$C$5)</f>
        <v>46440</v>
      </c>
      <c r="M222" s="28" t="n">
        <f aca="false">IF($L222="","",$L222-기준정보!$C$6)</f>
        <v>46350</v>
      </c>
      <c r="N222" s="29" t="n">
        <f aca="false">IF($M222="","",$M222-기준정보!$C$4)</f>
        <v>108</v>
      </c>
      <c r="O222" s="27" t="s">
        <v>70</v>
      </c>
      <c r="P222" s="27" t="s">
        <v>71</v>
      </c>
      <c r="Q222" s="30"/>
      <c r="R222" s="26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S222" s="26" t="s">
        <v>118</v>
      </c>
      <c r="T222" s="25" t="s">
        <v>73</v>
      </c>
      <c r="U222" s="31" t="n">
        <v>24000</v>
      </c>
      <c r="V222" s="26" t="s">
        <v>614</v>
      </c>
      <c r="W222" s="26" t="str">
        <f aca="false">IF($K222="","출고일 미정",IF($O222="X","작지 미발행",IF($O222="부분","작지 일부 미발행",IF(AND($Q222&lt;&gt;"",$Q222&gt;$M222),"소재입고 마감("&amp;TEXT($M222,"MM/DD")&amp;") 초과",IF($O222="","발행여부 확인 필요",IF($Q222="","소재 입고일정 확인 필요","정상"))))))</f>
        <v>소재 입고일정 확인 필요</v>
      </c>
      <c r="X222" s="24" t="str">
        <f aca="false">IF($K222="","",IF(OR(LEFT($W222,2)="작지",LEFT($W222,4)="소재입고"),IF(LEFT($G222,1)="S","★ 납기위험(S코드)","◆ 지연주의"),IF($W222="정상","✓ 정상","? 확인필요")))</f>
        <v>? 확인필요</v>
      </c>
      <c r="Y222" s="27"/>
      <c r="Z222" s="32"/>
    </row>
    <row r="223" customFormat="false" ht="15" hidden="false" customHeight="false" outlineLevel="0" collapsed="false">
      <c r="A223" s="24" t="n">
        <v>219</v>
      </c>
      <c r="B223" s="25" t="s">
        <v>112</v>
      </c>
      <c r="C223" s="25" t="s">
        <v>113</v>
      </c>
      <c r="D223" s="26" t="s">
        <v>733</v>
      </c>
      <c r="E223" s="25" t="s">
        <v>734</v>
      </c>
      <c r="F223" s="26" t="s">
        <v>544</v>
      </c>
      <c r="G223" s="24" t="str">
        <f aca="false">IF($D223="","",IF(MID($D223,5,1)="S","S(봄)",IF(MID($D223,5,1)="M","M(여름)",IF(MID($D223,5,1)="X","X(사계절)",MID($D223,5,1)))))</f>
        <v>M(여름)</v>
      </c>
      <c r="H223" s="25" t="s">
        <v>67</v>
      </c>
      <c r="I223" s="24"/>
      <c r="J223" s="27" t="s">
        <v>614</v>
      </c>
      <c r="K223" s="28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8" t="n">
        <f aca="false">IF($K223="","",$K223-기준정보!$C$5)</f>
        <v>46440</v>
      </c>
      <c r="M223" s="28" t="n">
        <f aca="false">IF($L223="","",$L223-기준정보!$C$6)</f>
        <v>46350</v>
      </c>
      <c r="N223" s="29" t="n">
        <f aca="false">IF($M223="","",$M223-기준정보!$C$4)</f>
        <v>108</v>
      </c>
      <c r="O223" s="27" t="s">
        <v>70</v>
      </c>
      <c r="P223" s="27" t="s">
        <v>71</v>
      </c>
      <c r="Q223" s="30"/>
      <c r="R223" s="26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S223" s="25" t="s">
        <v>299</v>
      </c>
      <c r="T223" s="25" t="s">
        <v>73</v>
      </c>
      <c r="U223" s="31" t="n">
        <v>12000</v>
      </c>
      <c r="V223" s="26" t="s">
        <v>614</v>
      </c>
      <c r="W223" s="26" t="str">
        <f aca="false">IF($K223="","출고일 미정",IF($O223="X","작지 미발행",IF($O223="부분","작지 일부 미발행",IF(AND($Q223&lt;&gt;"",$Q223&gt;$M223),"소재입고 마감("&amp;TEXT($M223,"MM/DD")&amp;") 초과",IF($O223="","발행여부 확인 필요",IF($Q223="","소재 입고일정 확인 필요","정상"))))))</f>
        <v>소재 입고일정 확인 필요</v>
      </c>
      <c r="X223" s="24" t="str">
        <f aca="false">IF($K223="","",IF(OR(LEFT($W223,2)="작지",LEFT($W223,4)="소재입고"),IF(LEFT($G223,1)="S","★ 납기위험(S코드)","◆ 지연주의"),IF($W223="정상","✓ 정상","? 확인필요")))</f>
        <v>? 확인필요</v>
      </c>
      <c r="Y223" s="27"/>
      <c r="Z223" s="32"/>
    </row>
    <row r="224" customFormat="false" ht="15" hidden="false" customHeight="false" outlineLevel="0" collapsed="false">
      <c r="A224" s="24" t="n">
        <v>220</v>
      </c>
      <c r="B224" s="25" t="s">
        <v>112</v>
      </c>
      <c r="C224" s="25" t="s">
        <v>113</v>
      </c>
      <c r="D224" s="26" t="s">
        <v>735</v>
      </c>
      <c r="E224" s="25" t="s">
        <v>736</v>
      </c>
      <c r="F224" s="26" t="s">
        <v>240</v>
      </c>
      <c r="G224" s="24" t="str">
        <f aca="false">IF($D224="","",IF(MID($D224,5,1)="S","S(봄)",IF(MID($D224,5,1)="M","M(여름)",IF(MID($D224,5,1)="X","X(사계절)",MID($D224,5,1)))))</f>
        <v>M(여름)</v>
      </c>
      <c r="H224" s="25" t="s">
        <v>67</v>
      </c>
      <c r="I224" s="24"/>
      <c r="J224" s="27" t="s">
        <v>614</v>
      </c>
      <c r="K224" s="28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8" t="n">
        <f aca="false">IF($K224="","",$K224-기준정보!$C$5)</f>
        <v>46440</v>
      </c>
      <c r="M224" s="28" t="n">
        <f aca="false">IF($L224="","",$L224-기준정보!$C$6)</f>
        <v>46350</v>
      </c>
      <c r="N224" s="29" t="n">
        <f aca="false">IF($M224="","",$M224-기준정보!$C$4)</f>
        <v>108</v>
      </c>
      <c r="O224" s="27" t="s">
        <v>70</v>
      </c>
      <c r="P224" s="27" t="s">
        <v>71</v>
      </c>
      <c r="Q224" s="30"/>
      <c r="R224" s="26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S224" s="25" t="s">
        <v>299</v>
      </c>
      <c r="T224" s="25" t="s">
        <v>73</v>
      </c>
      <c r="U224" s="31" t="n">
        <v>3000</v>
      </c>
      <c r="V224" s="26" t="s">
        <v>614</v>
      </c>
      <c r="W224" s="26" t="str">
        <f aca="false">IF($K224="","출고일 미정",IF($O224="X","작지 미발행",IF($O224="부분","작지 일부 미발행",IF(AND($Q224&lt;&gt;"",$Q224&gt;$M224),"소재입고 마감("&amp;TEXT($M224,"MM/DD")&amp;") 초과",IF($O224="","발행여부 확인 필요",IF($Q224="","소재 입고일정 확인 필요","정상"))))))</f>
        <v>소재 입고일정 확인 필요</v>
      </c>
      <c r="X224" s="24" t="str">
        <f aca="false">IF($K224="","",IF(OR(LEFT($W224,2)="작지",LEFT($W224,4)="소재입고"),IF(LEFT($G224,1)="S","★ 납기위험(S코드)","◆ 지연주의"),IF($W224="정상","✓ 정상","? 확인필요")))</f>
        <v>? 확인필요</v>
      </c>
      <c r="Y224" s="27"/>
      <c r="Z224" s="32"/>
    </row>
    <row r="225" customFormat="false" ht="15" hidden="false" customHeight="false" outlineLevel="0" collapsed="false">
      <c r="A225" s="24" t="n">
        <v>221</v>
      </c>
      <c r="B225" s="25" t="s">
        <v>112</v>
      </c>
      <c r="C225" s="25" t="s">
        <v>113</v>
      </c>
      <c r="D225" s="26" t="s">
        <v>737</v>
      </c>
      <c r="E225" s="25" t="s">
        <v>738</v>
      </c>
      <c r="F225" s="26" t="s">
        <v>517</v>
      </c>
      <c r="G225" s="24" t="str">
        <f aca="false">IF($D225="","",IF(MID($D225,5,1)="S","S(봄)",IF(MID($D225,5,1)="M","M(여름)",IF(MID($D225,5,1)="X","X(사계절)",MID($D225,5,1)))))</f>
        <v>M(여름)</v>
      </c>
      <c r="H225" s="25" t="s">
        <v>67</v>
      </c>
      <c r="I225" s="24"/>
      <c r="J225" s="27" t="s">
        <v>614</v>
      </c>
      <c r="K225" s="28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8" t="n">
        <f aca="false">IF($K225="","",$K225-기준정보!$C$5)</f>
        <v>46440</v>
      </c>
      <c r="M225" s="28" t="n">
        <f aca="false">IF($L225="","",$L225-기준정보!$C$6)</f>
        <v>46350</v>
      </c>
      <c r="N225" s="29" t="n">
        <f aca="false">IF($M225="","",$M225-기준정보!$C$4)</f>
        <v>108</v>
      </c>
      <c r="O225" s="27" t="s">
        <v>70</v>
      </c>
      <c r="P225" s="27" t="s">
        <v>71</v>
      </c>
      <c r="Q225" s="30"/>
      <c r="R225" s="26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S225" s="25" t="s">
        <v>299</v>
      </c>
      <c r="T225" s="25" t="s">
        <v>73</v>
      </c>
      <c r="U225" s="31" t="n">
        <v>6000</v>
      </c>
      <c r="V225" s="26" t="s">
        <v>614</v>
      </c>
      <c r="W225" s="26" t="str">
        <f aca="false">IF($K225="","출고일 미정",IF($O225="X","작지 미발행",IF($O225="부분","작지 일부 미발행",IF(AND($Q225&lt;&gt;"",$Q225&gt;$M225),"소재입고 마감("&amp;TEXT($M225,"MM/DD")&amp;") 초과",IF($O225="","발행여부 확인 필요",IF($Q225="","소재 입고일정 확인 필요","정상"))))))</f>
        <v>소재 입고일정 확인 필요</v>
      </c>
      <c r="X225" s="24" t="str">
        <f aca="false">IF($K225="","",IF(OR(LEFT($W225,2)="작지",LEFT($W225,4)="소재입고"),IF(LEFT($G225,1)="S","★ 납기위험(S코드)","◆ 지연주의"),IF($W225="정상","✓ 정상","? 확인필요")))</f>
        <v>? 확인필요</v>
      </c>
      <c r="Y225" s="27"/>
      <c r="Z225" s="32"/>
    </row>
    <row r="226" customFormat="false" ht="15" hidden="false" customHeight="false" outlineLevel="0" collapsed="false">
      <c r="A226" s="24" t="n">
        <v>222</v>
      </c>
      <c r="B226" s="25" t="s">
        <v>62</v>
      </c>
      <c r="C226" s="26" t="s">
        <v>720</v>
      </c>
      <c r="D226" s="26" t="s">
        <v>739</v>
      </c>
      <c r="E226" s="25" t="s">
        <v>740</v>
      </c>
      <c r="F226" s="26" t="s">
        <v>723</v>
      </c>
      <c r="G226" s="24" t="str">
        <f aca="false">IF($D226="","",IF(MID($D226,5,1)="S","S(봄)",IF(MID($D226,5,1)="M","M(여름)",IF(MID($D226,5,1)="X","X(사계절)",MID($D226,5,1)))))</f>
        <v>M(여름)</v>
      </c>
      <c r="H226" s="25" t="s">
        <v>67</v>
      </c>
      <c r="I226" s="24"/>
      <c r="J226" s="27" t="s">
        <v>614</v>
      </c>
      <c r="K226" s="28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8" t="n">
        <f aca="false">IF($K226="","",$K226-기준정보!$C$5)</f>
        <v>46440</v>
      </c>
      <c r="M226" s="28" t="n">
        <f aca="false">IF($L226="","",$L226-기준정보!$C$6)</f>
        <v>46350</v>
      </c>
      <c r="N226" s="29" t="n">
        <f aca="false">IF($M226="","",$M226-기준정보!$C$4)</f>
        <v>108</v>
      </c>
      <c r="O226" s="27" t="s">
        <v>70</v>
      </c>
      <c r="P226" s="27"/>
      <c r="Q226" s="30"/>
      <c r="R226" s="26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S226" s="26"/>
      <c r="T226" s="26"/>
      <c r="U226" s="31" t="n">
        <v>1800</v>
      </c>
      <c r="V226" s="26"/>
      <c r="W226" s="26" t="str">
        <f aca="false">IF($K226="","출고일 미정",IF($O226="X","작지 미발행",IF($O226="부분","작지 일부 미발행",IF(AND($Q226&lt;&gt;"",$Q226&gt;$M226),"소재입고 마감("&amp;TEXT($M226,"MM/DD")&amp;") 초과",IF($O226="","발행여부 확인 필요",IF($Q226="","소재 입고일정 확인 필요","정상"))))))</f>
        <v>소재 입고일정 확인 필요</v>
      </c>
      <c r="X226" s="24" t="str">
        <f aca="false">IF($K226="","",IF(OR(LEFT($W226,2)="작지",LEFT($W226,4)="소재입고"),IF(LEFT($G226,1)="S","★ 납기위험(S코드)","◆ 지연주의"),IF($W226="정상","✓ 정상","? 확인필요")))</f>
        <v>? 확인필요</v>
      </c>
      <c r="Y226" s="27"/>
      <c r="Z226" s="32"/>
    </row>
    <row r="227" customFormat="false" ht="15" hidden="false" customHeight="false" outlineLevel="0" collapsed="false">
      <c r="A227" s="24" t="n">
        <v>223</v>
      </c>
      <c r="B227" s="25" t="s">
        <v>62</v>
      </c>
      <c r="C227" s="26" t="s">
        <v>720</v>
      </c>
      <c r="D227" s="26" t="s">
        <v>741</v>
      </c>
      <c r="E227" s="25" t="s">
        <v>742</v>
      </c>
      <c r="F227" s="26" t="s">
        <v>723</v>
      </c>
      <c r="G227" s="24" t="str">
        <f aca="false">IF($D227="","",IF(MID($D227,5,1)="S","S(봄)",IF(MID($D227,5,1)="M","M(여름)",IF(MID($D227,5,1)="X","X(사계절)",MID($D227,5,1)))))</f>
        <v>M(여름)</v>
      </c>
      <c r="H227" s="25" t="s">
        <v>67</v>
      </c>
      <c r="I227" s="24"/>
      <c r="J227" s="27" t="s">
        <v>614</v>
      </c>
      <c r="K227" s="28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8" t="n">
        <f aca="false">IF($K227="","",$K227-기준정보!$C$5)</f>
        <v>46440</v>
      </c>
      <c r="M227" s="28" t="n">
        <f aca="false">IF($L227="","",$L227-기준정보!$C$6)</f>
        <v>46350</v>
      </c>
      <c r="N227" s="29" t="n">
        <f aca="false">IF($M227="","",$M227-기준정보!$C$4)</f>
        <v>108</v>
      </c>
      <c r="O227" s="27" t="s">
        <v>70</v>
      </c>
      <c r="P227" s="27"/>
      <c r="Q227" s="30"/>
      <c r="R227" s="26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S227" s="26"/>
      <c r="T227" s="26"/>
      <c r="U227" s="31" t="n">
        <v>3200</v>
      </c>
      <c r="V227" s="26"/>
      <c r="W227" s="26" t="str">
        <f aca="false">IF($K227="","출고일 미정",IF($O227="X","작지 미발행",IF($O227="부분","작지 일부 미발행",IF(AND($Q227&lt;&gt;"",$Q227&gt;$M227),"소재입고 마감("&amp;TEXT($M227,"MM/DD")&amp;") 초과",IF($O227="","발행여부 확인 필요",IF($Q227="","소재 입고일정 확인 필요","정상"))))))</f>
        <v>소재 입고일정 확인 필요</v>
      </c>
      <c r="X227" s="24" t="str">
        <f aca="false">IF($K227="","",IF(OR(LEFT($W227,2)="작지",LEFT($W227,4)="소재입고"),IF(LEFT($G227,1)="S","★ 납기위험(S코드)","◆ 지연주의"),IF($W227="정상","✓ 정상","? 확인필요")))</f>
        <v>? 확인필요</v>
      </c>
      <c r="Y227" s="27"/>
      <c r="Z227" s="32"/>
    </row>
    <row r="228" customFormat="false" ht="15" hidden="false" customHeight="false" outlineLevel="0" collapsed="false">
      <c r="A228" s="24" t="n">
        <v>224</v>
      </c>
      <c r="B228" s="25" t="s">
        <v>112</v>
      </c>
      <c r="C228" s="25" t="s">
        <v>113</v>
      </c>
      <c r="D228" s="26" t="s">
        <v>743</v>
      </c>
      <c r="E228" s="25" t="s">
        <v>744</v>
      </c>
      <c r="F228" s="26" t="s">
        <v>745</v>
      </c>
      <c r="G228" s="24" t="str">
        <f aca="false">IF($D228="","",IF(MID($D228,5,1)="S","S(봄)",IF(MID($D228,5,1)="M","M(여름)",IF(MID($D228,5,1)="X","X(사계절)",MID($D228,5,1)))))</f>
        <v>M(여름)</v>
      </c>
      <c r="H228" s="25" t="s">
        <v>67</v>
      </c>
      <c r="I228" s="24"/>
      <c r="J228" s="27" t="s">
        <v>614</v>
      </c>
      <c r="K228" s="28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8" t="n">
        <f aca="false">IF($K228="","",$K228-기준정보!$C$5)</f>
        <v>46440</v>
      </c>
      <c r="M228" s="28" t="n">
        <f aca="false">IF($L228="","",$L228-기준정보!$C$6)</f>
        <v>46350</v>
      </c>
      <c r="N228" s="29" t="n">
        <f aca="false">IF($M228="","",$M228-기준정보!$C$4)</f>
        <v>108</v>
      </c>
      <c r="O228" s="27" t="s">
        <v>70</v>
      </c>
      <c r="P228" s="27" t="s">
        <v>71</v>
      </c>
      <c r="Q228" s="30"/>
      <c r="R228" s="26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S228" s="25" t="s">
        <v>299</v>
      </c>
      <c r="T228" s="25" t="s">
        <v>73</v>
      </c>
      <c r="U228" s="31" t="n">
        <v>1500</v>
      </c>
      <c r="V228" s="26" t="s">
        <v>614</v>
      </c>
      <c r="W228" s="26" t="str">
        <f aca="false">IF($K228="","출고일 미정",IF($O228="X","작지 미발행",IF($O228="부분","작지 일부 미발행",IF(AND($Q228&lt;&gt;"",$Q228&gt;$M228),"소재입고 마감("&amp;TEXT($M228,"MM/DD")&amp;") 초과",IF($O228="","발행여부 확인 필요",IF($Q228="","소재 입고일정 확인 필요","정상"))))))</f>
        <v>소재 입고일정 확인 필요</v>
      </c>
      <c r="X228" s="24" t="str">
        <f aca="false">IF($K228="","",IF(OR(LEFT($W228,2)="작지",LEFT($W228,4)="소재입고"),IF(LEFT($G228,1)="S","★ 납기위험(S코드)","◆ 지연주의"),IF($W228="정상","✓ 정상","? 확인필요")))</f>
        <v>? 확인필요</v>
      </c>
      <c r="Y228" s="27"/>
      <c r="Z228" s="32"/>
    </row>
    <row r="229" customFormat="false" ht="15" hidden="false" customHeight="false" outlineLevel="0" collapsed="false">
      <c r="A229" s="24" t="n">
        <v>225</v>
      </c>
      <c r="B229" s="25" t="s">
        <v>255</v>
      </c>
      <c r="C229" s="25" t="s">
        <v>242</v>
      </c>
      <c r="D229" s="26" t="s">
        <v>746</v>
      </c>
      <c r="E229" s="25" t="s">
        <v>747</v>
      </c>
      <c r="F229" s="26" t="s">
        <v>748</v>
      </c>
      <c r="G229" s="24" t="str">
        <f aca="false">IF($D229="","",IF(MID($D229,5,1)="S","S(봄)",IF(MID($D229,5,1)="M","M(여름)",IF(MID($D229,5,1)="X","X(사계절)",MID($D229,5,1)))))</f>
        <v>M(여름)</v>
      </c>
      <c r="H229" s="25" t="s">
        <v>67</v>
      </c>
      <c r="I229" s="24" t="s">
        <v>497</v>
      </c>
      <c r="J229" s="27" t="s">
        <v>614</v>
      </c>
      <c r="K229" s="28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8" t="n">
        <f aca="false">IF($K229="","",$K229-기준정보!$C$5)</f>
        <v>46440</v>
      </c>
      <c r="M229" s="28" t="n">
        <f aca="false">IF($L229="","",$L229-기준정보!$C$6)</f>
        <v>46350</v>
      </c>
      <c r="N229" s="29" t="n">
        <f aca="false">IF($M229="","",$M229-기준정보!$C$4)</f>
        <v>108</v>
      </c>
      <c r="O229" s="27" t="s">
        <v>70</v>
      </c>
      <c r="P229" s="27" t="s">
        <v>71</v>
      </c>
      <c r="Q229" s="30"/>
      <c r="R229" s="26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S229" s="25" t="s">
        <v>246</v>
      </c>
      <c r="T229" s="25" t="s">
        <v>73</v>
      </c>
      <c r="U229" s="31" t="n">
        <v>2000</v>
      </c>
      <c r="V229" s="26"/>
      <c r="W229" s="26" t="str">
        <f aca="false">IF($K229="","출고일 미정",IF($O229="X","작지 미발행",IF($O229="부분","작지 일부 미발행",IF(AND($Q229&lt;&gt;"",$Q229&gt;$M229),"소재입고 마감("&amp;TEXT($M229,"MM/DD")&amp;") 초과",IF($O229="","발행여부 확인 필요",IF($Q229="","소재 입고일정 확인 필요","정상"))))))</f>
        <v>소재 입고일정 확인 필요</v>
      </c>
      <c r="X229" s="24" t="str">
        <f aca="false">IF($K229="","",IF(OR(LEFT($W229,2)="작지",LEFT($W229,4)="소재입고"),IF(LEFT($G229,1)="S","★ 납기위험(S코드)","◆ 지연주의"),IF($W229="정상","✓ 정상","? 확인필요")))</f>
        <v>? 확인필요</v>
      </c>
      <c r="Y229" s="27"/>
      <c r="Z229" s="32"/>
    </row>
    <row r="230" customFormat="false" ht="15" hidden="false" customHeight="false" outlineLevel="0" collapsed="false">
      <c r="A230" s="24" t="n">
        <v>226</v>
      </c>
      <c r="B230" s="25" t="s">
        <v>255</v>
      </c>
      <c r="C230" s="25" t="s">
        <v>242</v>
      </c>
      <c r="D230" s="26" t="s">
        <v>749</v>
      </c>
      <c r="E230" s="25" t="s">
        <v>750</v>
      </c>
      <c r="F230" s="26" t="s">
        <v>751</v>
      </c>
      <c r="G230" s="24" t="str">
        <f aca="false">IF($D230="","",IF(MID($D230,5,1)="S","S(봄)",IF(MID($D230,5,1)="M","M(여름)",IF(MID($D230,5,1)="X","X(사계절)",MID($D230,5,1)))))</f>
        <v>M(여름)</v>
      </c>
      <c r="H230" s="25" t="s">
        <v>67</v>
      </c>
      <c r="I230" s="24" t="s">
        <v>494</v>
      </c>
      <c r="J230" s="27" t="s">
        <v>614</v>
      </c>
      <c r="K230" s="28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8" t="n">
        <f aca="false">IF($K230="","",$K230-기준정보!$C$5)</f>
        <v>46440</v>
      </c>
      <c r="M230" s="28" t="n">
        <f aca="false">IF($L230="","",$L230-기준정보!$C$6)</f>
        <v>46350</v>
      </c>
      <c r="N230" s="29" t="n">
        <f aca="false">IF($M230="","",$M230-기준정보!$C$4)</f>
        <v>108</v>
      </c>
      <c r="O230" s="27" t="s">
        <v>70</v>
      </c>
      <c r="P230" s="27" t="s">
        <v>71</v>
      </c>
      <c r="Q230" s="30"/>
      <c r="R230" s="26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S230" s="25" t="s">
        <v>77</v>
      </c>
      <c r="T230" s="25" t="s">
        <v>73</v>
      </c>
      <c r="U230" s="31" t="n">
        <v>3000</v>
      </c>
      <c r="V230" s="26"/>
      <c r="W230" s="26" t="str">
        <f aca="false">IF($K230="","출고일 미정",IF($O230="X","작지 미발행",IF($O230="부분","작지 일부 미발행",IF(AND($Q230&lt;&gt;"",$Q230&gt;$M230),"소재입고 마감("&amp;TEXT($M230,"MM/DD")&amp;") 초과",IF($O230="","발행여부 확인 필요",IF($Q230="","소재 입고일정 확인 필요","정상"))))))</f>
        <v>소재 입고일정 확인 필요</v>
      </c>
      <c r="X230" s="24" t="str">
        <f aca="false">IF($K230="","",IF(OR(LEFT($W230,2)="작지",LEFT($W230,4)="소재입고"),IF(LEFT($G230,1)="S","★ 납기위험(S코드)","◆ 지연주의"),IF($W230="정상","✓ 정상","? 확인필요")))</f>
        <v>? 확인필요</v>
      </c>
      <c r="Y230" s="27"/>
      <c r="Z230" s="32"/>
    </row>
    <row r="231" customFormat="false" ht="15" hidden="false" customHeight="false" outlineLevel="0" collapsed="false">
      <c r="A231" s="24" t="n">
        <v>227</v>
      </c>
      <c r="B231" s="25" t="s">
        <v>255</v>
      </c>
      <c r="C231" s="25" t="s">
        <v>242</v>
      </c>
      <c r="D231" s="26" t="s">
        <v>752</v>
      </c>
      <c r="E231" s="25" t="s">
        <v>753</v>
      </c>
      <c r="F231" s="26" t="s">
        <v>754</v>
      </c>
      <c r="G231" s="24" t="str">
        <f aca="false">IF($D231="","",IF(MID($D231,5,1)="S","S(봄)",IF(MID($D231,5,1)="M","M(여름)",IF(MID($D231,5,1)="X","X(사계절)",MID($D231,5,1)))))</f>
        <v>M(여름)</v>
      </c>
      <c r="H231" s="25" t="s">
        <v>67</v>
      </c>
      <c r="I231" s="24" t="s">
        <v>497</v>
      </c>
      <c r="J231" s="27" t="s">
        <v>614</v>
      </c>
      <c r="K231" s="28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8" t="n">
        <f aca="false">IF($K231="","",$K231-기준정보!$C$5)</f>
        <v>46440</v>
      </c>
      <c r="M231" s="28" t="n">
        <f aca="false">IF($L231="","",$L231-기준정보!$C$6)</f>
        <v>46350</v>
      </c>
      <c r="N231" s="29" t="n">
        <f aca="false">IF($M231="","",$M231-기준정보!$C$4)</f>
        <v>108</v>
      </c>
      <c r="O231" s="27" t="s">
        <v>70</v>
      </c>
      <c r="P231" s="27" t="s">
        <v>71</v>
      </c>
      <c r="Q231" s="30"/>
      <c r="R231" s="26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S231" s="25" t="s">
        <v>254</v>
      </c>
      <c r="T231" s="25" t="s">
        <v>73</v>
      </c>
      <c r="U231" s="31" t="n">
        <v>3500</v>
      </c>
      <c r="V231" s="26"/>
      <c r="W231" s="26" t="str">
        <f aca="false">IF($K231="","출고일 미정",IF($O231="X","작지 미발행",IF($O231="부분","작지 일부 미발행",IF(AND($Q231&lt;&gt;"",$Q231&gt;$M231),"소재입고 마감("&amp;TEXT($M231,"MM/DD")&amp;") 초과",IF($O231="","발행여부 확인 필요",IF($Q231="","소재 입고일정 확인 필요","정상"))))))</f>
        <v>소재 입고일정 확인 필요</v>
      </c>
      <c r="X231" s="24" t="str">
        <f aca="false">IF($K231="","",IF(OR(LEFT($W231,2)="작지",LEFT($W231,4)="소재입고"),IF(LEFT($G231,1)="S","★ 납기위험(S코드)","◆ 지연주의"),IF($W231="정상","✓ 정상","? 확인필요")))</f>
        <v>? 확인필요</v>
      </c>
      <c r="Y231" s="27"/>
      <c r="Z231" s="32"/>
    </row>
    <row r="232" customFormat="false" ht="15" hidden="false" customHeight="false" outlineLevel="0" collapsed="false">
      <c r="A232" s="24" t="n">
        <v>228</v>
      </c>
      <c r="B232" s="25" t="s">
        <v>241</v>
      </c>
      <c r="C232" s="25" t="s">
        <v>250</v>
      </c>
      <c r="D232" s="26" t="s">
        <v>755</v>
      </c>
      <c r="E232" s="25" t="s">
        <v>756</v>
      </c>
      <c r="F232" s="26" t="s">
        <v>757</v>
      </c>
      <c r="G232" s="24" t="str">
        <f aca="false">IF($D232="","",IF(MID($D232,5,1)="S","S(봄)",IF(MID($D232,5,1)="M","M(여름)",IF(MID($D232,5,1)="X","X(사계절)",MID($D232,5,1)))))</f>
        <v>M(여름)</v>
      </c>
      <c r="H232" s="26" t="s">
        <v>197</v>
      </c>
      <c r="I232" s="24"/>
      <c r="J232" s="27" t="s">
        <v>614</v>
      </c>
      <c r="K232" s="28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8" t="n">
        <f aca="false">IF($K232="","",$K232-기준정보!$C$5)</f>
        <v>46440</v>
      </c>
      <c r="M232" s="28" t="n">
        <f aca="false">IF($L232="","",$L232-기준정보!$C$6)</f>
        <v>46350</v>
      </c>
      <c r="N232" s="29" t="n">
        <f aca="false">IF($M232="","",$M232-기준정보!$C$4)</f>
        <v>108</v>
      </c>
      <c r="O232" s="27" t="s">
        <v>70</v>
      </c>
      <c r="P232" s="27" t="s">
        <v>71</v>
      </c>
      <c r="Q232" s="30"/>
      <c r="R232" s="26" t="str">
        <f aca="false">IF($H232="","",IF(AND(ISNUMBER(SEARCH("CMT",$H232)),OR(ISNUMBER(SEARCH("완사입",$H232)),ISNUMBER(SEARCH("ODM",$H232)))),"본사/생산처 혼재",IF(ISNUMBER(SEARCH("CMT",$H232)),"본사(소재팀)","생산처")))</f>
        <v>본사(소재팀)</v>
      </c>
      <c r="S232" s="25" t="s">
        <v>87</v>
      </c>
      <c r="T232" s="25" t="s">
        <v>73</v>
      </c>
      <c r="U232" s="31" t="n">
        <v>2700</v>
      </c>
      <c r="V232" s="26" t="s">
        <v>614</v>
      </c>
      <c r="W232" s="26" t="str">
        <f aca="false">IF($K232="","출고일 미정",IF($O232="X","작지 미발행",IF($O232="부분","작지 일부 미발행",IF(AND($Q232&lt;&gt;"",$Q232&gt;$M232),"소재입고 마감("&amp;TEXT($M232,"MM/DD")&amp;") 초과",IF($O232="","발행여부 확인 필요",IF($Q232="","소재 입고일정 확인 필요","정상"))))))</f>
        <v>소재 입고일정 확인 필요</v>
      </c>
      <c r="X232" s="24" t="str">
        <f aca="false">IF($K232="","",IF(OR(LEFT($W232,2)="작지",LEFT($W232,4)="소재입고"),IF(LEFT($G232,1)="S","★ 납기위험(S코드)","◆ 지연주의"),IF($W232="정상","✓ 정상","? 확인필요")))</f>
        <v>? 확인필요</v>
      </c>
      <c r="Y232" s="27"/>
      <c r="Z232" s="32"/>
    </row>
    <row r="233" customFormat="false" ht="15" hidden="false" customHeight="false" outlineLevel="0" collapsed="false">
      <c r="A233" s="24" t="n">
        <v>229</v>
      </c>
      <c r="B233" s="25" t="s">
        <v>241</v>
      </c>
      <c r="C233" s="25" t="s">
        <v>250</v>
      </c>
      <c r="D233" s="26" t="s">
        <v>758</v>
      </c>
      <c r="E233" s="25" t="s">
        <v>759</v>
      </c>
      <c r="F233" s="26" t="s">
        <v>757</v>
      </c>
      <c r="G233" s="24" t="str">
        <f aca="false">IF($D233="","",IF(MID($D233,5,1)="S","S(봄)",IF(MID($D233,5,1)="M","M(여름)",IF(MID($D233,5,1)="X","X(사계절)",MID($D233,5,1)))))</f>
        <v>M(여름)</v>
      </c>
      <c r="H233" s="26" t="s">
        <v>197</v>
      </c>
      <c r="I233" s="24"/>
      <c r="J233" s="27" t="s">
        <v>614</v>
      </c>
      <c r="K233" s="28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8" t="n">
        <f aca="false">IF($K233="","",$K233-기준정보!$C$5)</f>
        <v>46440</v>
      </c>
      <c r="M233" s="28" t="n">
        <f aca="false">IF($L233="","",$L233-기준정보!$C$6)</f>
        <v>46350</v>
      </c>
      <c r="N233" s="29" t="n">
        <f aca="false">IF($M233="","",$M233-기준정보!$C$4)</f>
        <v>108</v>
      </c>
      <c r="O233" s="27" t="s">
        <v>70</v>
      </c>
      <c r="P233" s="27" t="s">
        <v>71</v>
      </c>
      <c r="Q233" s="30"/>
      <c r="R233" s="26" t="str">
        <f aca="false">IF($H233="","",IF(AND(ISNUMBER(SEARCH("CMT",$H233)),OR(ISNUMBER(SEARCH("완사입",$H233)),ISNUMBER(SEARCH("ODM",$H233)))),"본사/생산처 혼재",IF(ISNUMBER(SEARCH("CMT",$H233)),"본사(소재팀)","생산처")))</f>
        <v>본사(소재팀)</v>
      </c>
      <c r="S233" s="25" t="s">
        <v>87</v>
      </c>
      <c r="T233" s="25" t="s">
        <v>73</v>
      </c>
      <c r="U233" s="31" t="n">
        <v>2300</v>
      </c>
      <c r="V233" s="26" t="s">
        <v>614</v>
      </c>
      <c r="W233" s="26" t="str">
        <f aca="false">IF($K233="","출고일 미정",IF($O233="X","작지 미발행",IF($O233="부분","작지 일부 미발행",IF(AND($Q233&lt;&gt;"",$Q233&gt;$M233),"소재입고 마감("&amp;TEXT($M233,"MM/DD")&amp;") 초과",IF($O233="","발행여부 확인 필요",IF($Q233="","소재 입고일정 확인 필요","정상"))))))</f>
        <v>소재 입고일정 확인 필요</v>
      </c>
      <c r="X233" s="24" t="str">
        <f aca="false">IF($K233="","",IF(OR(LEFT($W233,2)="작지",LEFT($W233,4)="소재입고"),IF(LEFT($G233,1)="S","★ 납기위험(S코드)","◆ 지연주의"),IF($W233="정상","✓ 정상","? 확인필요")))</f>
        <v>? 확인필요</v>
      </c>
      <c r="Y233" s="27"/>
      <c r="Z233" s="32"/>
    </row>
    <row r="234" customFormat="false" ht="15" hidden="false" customHeight="false" outlineLevel="0" collapsed="false">
      <c r="A234" s="24" t="n">
        <v>230</v>
      </c>
      <c r="B234" s="25" t="s">
        <v>112</v>
      </c>
      <c r="C234" s="25" t="s">
        <v>250</v>
      </c>
      <c r="D234" s="26" t="s">
        <v>760</v>
      </c>
      <c r="E234" s="25" t="s">
        <v>761</v>
      </c>
      <c r="F234" s="26" t="s">
        <v>757</v>
      </c>
      <c r="G234" s="24" t="str">
        <f aca="false">IF($D234="","",IF(MID($D234,5,1)="S","S(봄)",IF(MID($D234,5,1)="M","M(여름)",IF(MID($D234,5,1)="X","X(사계절)",MID($D234,5,1)))))</f>
        <v>M(여름)</v>
      </c>
      <c r="H234" s="25" t="s">
        <v>67</v>
      </c>
      <c r="I234" s="24"/>
      <c r="J234" s="27" t="s">
        <v>614</v>
      </c>
      <c r="K234" s="28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8" t="n">
        <f aca="false">IF($K234="","",$K234-기준정보!$C$5)</f>
        <v>46440</v>
      </c>
      <c r="M234" s="28" t="n">
        <f aca="false">IF($L234="","",$L234-기준정보!$C$6)</f>
        <v>46350</v>
      </c>
      <c r="N234" s="29" t="n">
        <f aca="false">IF($M234="","",$M234-기준정보!$C$4)</f>
        <v>108</v>
      </c>
      <c r="O234" s="27" t="s">
        <v>70</v>
      </c>
      <c r="P234" s="27" t="s">
        <v>71</v>
      </c>
      <c r="Q234" s="30"/>
      <c r="R234" s="26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S234" s="25" t="s">
        <v>227</v>
      </c>
      <c r="T234" s="25" t="s">
        <v>73</v>
      </c>
      <c r="U234" s="31" t="n">
        <v>3500</v>
      </c>
      <c r="V234" s="26" t="s">
        <v>614</v>
      </c>
      <c r="W234" s="26" t="str">
        <f aca="false">IF($K234="","출고일 미정",IF($O234="X","작지 미발행",IF($O234="부분","작지 일부 미발행",IF(AND($Q234&lt;&gt;"",$Q234&gt;$M234),"소재입고 마감("&amp;TEXT($M234,"MM/DD")&amp;") 초과",IF($O234="","발행여부 확인 필요",IF($Q234="","소재 입고일정 확인 필요","정상"))))))</f>
        <v>소재 입고일정 확인 필요</v>
      </c>
      <c r="X234" s="24" t="str">
        <f aca="false">IF($K234="","",IF(OR(LEFT($W234,2)="작지",LEFT($W234,4)="소재입고"),IF(LEFT($G234,1)="S","★ 납기위험(S코드)","◆ 지연주의"),IF($W234="정상","✓ 정상","? 확인필요")))</f>
        <v>? 확인필요</v>
      </c>
      <c r="Y234" s="27"/>
      <c r="Z234" s="32"/>
    </row>
    <row r="235" customFormat="false" ht="15" hidden="false" customHeight="false" outlineLevel="0" collapsed="false">
      <c r="A235" s="24" t="n">
        <v>231</v>
      </c>
      <c r="B235" s="25" t="s">
        <v>112</v>
      </c>
      <c r="C235" s="25" t="s">
        <v>250</v>
      </c>
      <c r="D235" s="26" t="s">
        <v>762</v>
      </c>
      <c r="E235" s="25" t="s">
        <v>763</v>
      </c>
      <c r="F235" s="26" t="s">
        <v>764</v>
      </c>
      <c r="G235" s="24" t="str">
        <f aca="false">IF($D235="","",IF(MID($D235,5,1)="S","S(봄)",IF(MID($D235,5,1)="M","M(여름)",IF(MID($D235,5,1)="X","X(사계절)",MID($D235,5,1)))))</f>
        <v>M(여름)</v>
      </c>
      <c r="H235" s="25" t="s">
        <v>67</v>
      </c>
      <c r="I235" s="24"/>
      <c r="J235" s="27" t="s">
        <v>614</v>
      </c>
      <c r="K235" s="28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8" t="n">
        <f aca="false">IF($K235="","",$K235-기준정보!$C$5)</f>
        <v>46440</v>
      </c>
      <c r="M235" s="28" t="n">
        <f aca="false">IF($L235="","",$L235-기준정보!$C$6)</f>
        <v>46350</v>
      </c>
      <c r="N235" s="29" t="n">
        <f aca="false">IF($M235="","",$M235-기준정보!$C$4)</f>
        <v>108</v>
      </c>
      <c r="O235" s="27" t="s">
        <v>70</v>
      </c>
      <c r="P235" s="27" t="s">
        <v>71</v>
      </c>
      <c r="Q235" s="30"/>
      <c r="R235" s="26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S235" s="25" t="s">
        <v>227</v>
      </c>
      <c r="T235" s="25" t="s">
        <v>73</v>
      </c>
      <c r="U235" s="31" t="n">
        <v>3000</v>
      </c>
      <c r="V235" s="26" t="s">
        <v>614</v>
      </c>
      <c r="W235" s="26" t="str">
        <f aca="false">IF($K235="","출고일 미정",IF($O235="X","작지 미발행",IF($O235="부분","작지 일부 미발행",IF(AND($Q235&lt;&gt;"",$Q235&gt;$M235),"소재입고 마감("&amp;TEXT($M235,"MM/DD")&amp;") 초과",IF($O235="","발행여부 확인 필요",IF($Q235="","소재 입고일정 확인 필요","정상"))))))</f>
        <v>소재 입고일정 확인 필요</v>
      </c>
      <c r="X235" s="24" t="str">
        <f aca="false">IF($K235="","",IF(OR(LEFT($W235,2)="작지",LEFT($W235,4)="소재입고"),IF(LEFT($G235,1)="S","★ 납기위험(S코드)","◆ 지연주의"),IF($W235="정상","✓ 정상","? 확인필요")))</f>
        <v>? 확인필요</v>
      </c>
      <c r="Y235" s="27"/>
      <c r="Z235" s="32"/>
    </row>
    <row r="236" customFormat="false" ht="15" hidden="false" customHeight="false" outlineLevel="0" collapsed="false">
      <c r="A236" s="24" t="n">
        <v>232</v>
      </c>
      <c r="B236" s="25" t="s">
        <v>112</v>
      </c>
      <c r="C236" s="25" t="s">
        <v>250</v>
      </c>
      <c r="D236" s="26" t="s">
        <v>765</v>
      </c>
      <c r="E236" s="25" t="s">
        <v>766</v>
      </c>
      <c r="F236" s="26" t="s">
        <v>767</v>
      </c>
      <c r="G236" s="24" t="str">
        <f aca="false">IF($D236="","",IF(MID($D236,5,1)="S","S(봄)",IF(MID($D236,5,1)="M","M(여름)",IF(MID($D236,5,1)="X","X(사계절)",MID($D236,5,1)))))</f>
        <v>M(여름)</v>
      </c>
      <c r="H236" s="25" t="s">
        <v>67</v>
      </c>
      <c r="I236" s="24"/>
      <c r="J236" s="27" t="s">
        <v>614</v>
      </c>
      <c r="K236" s="28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8" t="n">
        <f aca="false">IF($K236="","",$K236-기준정보!$C$5)</f>
        <v>46440</v>
      </c>
      <c r="M236" s="28" t="n">
        <f aca="false">IF($L236="","",$L236-기준정보!$C$6)</f>
        <v>46350</v>
      </c>
      <c r="N236" s="29" t="n">
        <f aca="false">IF($M236="","",$M236-기준정보!$C$4)</f>
        <v>108</v>
      </c>
      <c r="O236" s="27" t="s">
        <v>70</v>
      </c>
      <c r="P236" s="27" t="s">
        <v>71</v>
      </c>
      <c r="Q236" s="30"/>
      <c r="R236" s="26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S236" s="25" t="s">
        <v>501</v>
      </c>
      <c r="T236" s="25" t="s">
        <v>73</v>
      </c>
      <c r="U236" s="31" t="n">
        <v>3000</v>
      </c>
      <c r="V236" s="26"/>
      <c r="W236" s="26" t="str">
        <f aca="false">IF($K236="","출고일 미정",IF($O236="X","작지 미발행",IF($O236="부분","작지 일부 미발행",IF(AND($Q236&lt;&gt;"",$Q236&gt;$M236),"소재입고 마감("&amp;TEXT($M236,"MM/DD")&amp;") 초과",IF($O236="","발행여부 확인 필요",IF($Q236="","소재 입고일정 확인 필요","정상"))))))</f>
        <v>소재 입고일정 확인 필요</v>
      </c>
      <c r="X236" s="24" t="str">
        <f aca="false">IF($K236="","",IF(OR(LEFT($W236,2)="작지",LEFT($W236,4)="소재입고"),IF(LEFT($G236,1)="S","★ 납기위험(S코드)","◆ 지연주의"),IF($W236="정상","✓ 정상","? 확인필요")))</f>
        <v>? 확인필요</v>
      </c>
      <c r="Y236" s="27"/>
      <c r="Z236" s="32"/>
    </row>
    <row r="237" customFormat="false" ht="15" hidden="false" customHeight="false" outlineLevel="0" collapsed="false">
      <c r="A237" s="24" t="n">
        <v>233</v>
      </c>
      <c r="B237" s="25" t="s">
        <v>112</v>
      </c>
      <c r="C237" s="25" t="s">
        <v>113</v>
      </c>
      <c r="D237" s="26" t="s">
        <v>768</v>
      </c>
      <c r="E237" s="25" t="s">
        <v>769</v>
      </c>
      <c r="F237" s="26" t="s">
        <v>770</v>
      </c>
      <c r="G237" s="24" t="str">
        <f aca="false">IF($D237="","",IF(MID($D237,5,1)="S","S(봄)",IF(MID($D237,5,1)="M","M(여름)",IF(MID($D237,5,1)="X","X(사계절)",MID($D237,5,1)))))</f>
        <v>M(여름)</v>
      </c>
      <c r="H237" s="25" t="s">
        <v>67</v>
      </c>
      <c r="I237" s="24"/>
      <c r="J237" s="27" t="s">
        <v>614</v>
      </c>
      <c r="K237" s="28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8" t="n">
        <f aca="false">IF($K237="","",$K237-기준정보!$C$5)</f>
        <v>46440</v>
      </c>
      <c r="M237" s="28" t="n">
        <f aca="false">IF($L237="","",$L237-기준정보!$C$6)</f>
        <v>46350</v>
      </c>
      <c r="N237" s="29" t="n">
        <f aca="false">IF($M237="","",$M237-기준정보!$C$4)</f>
        <v>108</v>
      </c>
      <c r="O237" s="27" t="s">
        <v>70</v>
      </c>
      <c r="P237" s="27" t="s">
        <v>71</v>
      </c>
      <c r="Q237" s="30"/>
      <c r="R237" s="26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S237" s="25" t="s">
        <v>299</v>
      </c>
      <c r="T237" s="25" t="s">
        <v>73</v>
      </c>
      <c r="U237" s="31" t="n">
        <v>5500</v>
      </c>
      <c r="V237" s="26" t="s">
        <v>614</v>
      </c>
      <c r="W237" s="26" t="str">
        <f aca="false">IF($K237="","출고일 미정",IF($O237="X","작지 미발행",IF($O237="부분","작지 일부 미발행",IF(AND($Q237&lt;&gt;"",$Q237&gt;$M237),"소재입고 마감("&amp;TEXT($M237,"MM/DD")&amp;") 초과",IF($O237="","발행여부 확인 필요",IF($Q237="","소재 입고일정 확인 필요","정상"))))))</f>
        <v>소재 입고일정 확인 필요</v>
      </c>
      <c r="X237" s="24" t="str">
        <f aca="false">IF($K237="","",IF(OR(LEFT($W237,2)="작지",LEFT($W237,4)="소재입고"),IF(LEFT($G237,1)="S","★ 납기위험(S코드)","◆ 지연주의"),IF($W237="정상","✓ 정상","? 확인필요")))</f>
        <v>? 확인필요</v>
      </c>
      <c r="Y237" s="27"/>
      <c r="Z237" s="32"/>
    </row>
    <row r="238" customFormat="false" ht="15" hidden="false" customHeight="false" outlineLevel="0" collapsed="false">
      <c r="A238" s="24" t="n">
        <v>234</v>
      </c>
      <c r="B238" s="25" t="s">
        <v>112</v>
      </c>
      <c r="C238" s="25" t="s">
        <v>113</v>
      </c>
      <c r="D238" s="26" t="s">
        <v>771</v>
      </c>
      <c r="E238" s="25" t="s">
        <v>772</v>
      </c>
      <c r="F238" s="26" t="s">
        <v>773</v>
      </c>
      <c r="G238" s="24" t="str">
        <f aca="false">IF($D238="","",IF(MID($D238,5,1)="S","S(봄)",IF(MID($D238,5,1)="M","M(여름)",IF(MID($D238,5,1)="X","X(사계절)",MID($D238,5,1)))))</f>
        <v>M(여름)</v>
      </c>
      <c r="H238" s="25" t="s">
        <v>67</v>
      </c>
      <c r="I238" s="24"/>
      <c r="J238" s="27" t="s">
        <v>614</v>
      </c>
      <c r="K238" s="28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8" t="n">
        <f aca="false">IF($K238="","",$K238-기준정보!$C$5)</f>
        <v>46440</v>
      </c>
      <c r="M238" s="28" t="n">
        <f aca="false">IF($L238="","",$L238-기준정보!$C$6)</f>
        <v>46350</v>
      </c>
      <c r="N238" s="29" t="n">
        <f aca="false">IF($M238="","",$M238-기준정보!$C$4)</f>
        <v>108</v>
      </c>
      <c r="O238" s="27" t="s">
        <v>70</v>
      </c>
      <c r="P238" s="27" t="s">
        <v>71</v>
      </c>
      <c r="Q238" s="30"/>
      <c r="R238" s="26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S238" s="25" t="s">
        <v>94</v>
      </c>
      <c r="T238" s="25" t="s">
        <v>73</v>
      </c>
      <c r="U238" s="31" t="n">
        <v>5000</v>
      </c>
      <c r="V238" s="26" t="s">
        <v>614</v>
      </c>
      <c r="W238" s="26" t="str">
        <f aca="false">IF($K238="","출고일 미정",IF($O238="X","작지 미발행",IF($O238="부분","작지 일부 미발행",IF(AND($Q238&lt;&gt;"",$Q238&gt;$M238),"소재입고 마감("&amp;TEXT($M238,"MM/DD")&amp;") 초과",IF($O238="","발행여부 확인 필요",IF($Q238="","소재 입고일정 확인 필요","정상"))))))</f>
        <v>소재 입고일정 확인 필요</v>
      </c>
      <c r="X238" s="24" t="str">
        <f aca="false">IF($K238="","",IF(OR(LEFT($W238,2)="작지",LEFT($W238,4)="소재입고"),IF(LEFT($G238,1)="S","★ 납기위험(S코드)","◆ 지연주의"),IF($W238="정상","✓ 정상","? 확인필요")))</f>
        <v>? 확인필요</v>
      </c>
      <c r="Y238" s="27"/>
      <c r="Z238" s="32"/>
    </row>
    <row r="239" customFormat="false" ht="15" hidden="false" customHeight="false" outlineLevel="0" collapsed="false">
      <c r="A239" s="24" t="n">
        <v>235</v>
      </c>
      <c r="B239" s="25" t="s">
        <v>112</v>
      </c>
      <c r="C239" s="25" t="s">
        <v>113</v>
      </c>
      <c r="D239" s="26" t="s">
        <v>774</v>
      </c>
      <c r="E239" s="25" t="s">
        <v>775</v>
      </c>
      <c r="F239" s="26" t="s">
        <v>544</v>
      </c>
      <c r="G239" s="24" t="str">
        <f aca="false">IF($D239="","",IF(MID($D239,5,1)="S","S(봄)",IF(MID($D239,5,1)="M","M(여름)",IF(MID($D239,5,1)="X","X(사계절)",MID($D239,5,1)))))</f>
        <v>M(여름)</v>
      </c>
      <c r="H239" s="25" t="s">
        <v>67</v>
      </c>
      <c r="I239" s="24"/>
      <c r="J239" s="27" t="s">
        <v>614</v>
      </c>
      <c r="K239" s="28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8" t="n">
        <f aca="false">IF($K239="","",$K239-기준정보!$C$5)</f>
        <v>46440</v>
      </c>
      <c r="M239" s="28" t="n">
        <f aca="false">IF($L239="","",$L239-기준정보!$C$6)</f>
        <v>46350</v>
      </c>
      <c r="N239" s="29" t="n">
        <f aca="false">IF($M239="","",$M239-기준정보!$C$4)</f>
        <v>108</v>
      </c>
      <c r="O239" s="27" t="s">
        <v>70</v>
      </c>
      <c r="P239" s="27" t="s">
        <v>71</v>
      </c>
      <c r="Q239" s="30"/>
      <c r="R239" s="26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S239" s="25" t="s">
        <v>94</v>
      </c>
      <c r="T239" s="25" t="s">
        <v>73</v>
      </c>
      <c r="U239" s="31" t="n">
        <v>4000</v>
      </c>
      <c r="V239" s="26" t="s">
        <v>614</v>
      </c>
      <c r="W239" s="26" t="str">
        <f aca="false">IF($K239="","출고일 미정",IF($O239="X","작지 미발행",IF($O239="부분","작지 일부 미발행",IF(AND($Q239&lt;&gt;"",$Q239&gt;$M239),"소재입고 마감("&amp;TEXT($M239,"MM/DD")&amp;") 초과",IF($O239="","발행여부 확인 필요",IF($Q239="","소재 입고일정 확인 필요","정상"))))))</f>
        <v>소재 입고일정 확인 필요</v>
      </c>
      <c r="X239" s="24" t="str">
        <f aca="false">IF($K239="","",IF(OR(LEFT($W239,2)="작지",LEFT($W239,4)="소재입고"),IF(LEFT($G239,1)="S","★ 납기위험(S코드)","◆ 지연주의"),IF($W239="정상","✓ 정상","? 확인필요")))</f>
        <v>? 확인필요</v>
      </c>
      <c r="Y239" s="27"/>
      <c r="Z239" s="32"/>
    </row>
    <row r="240" customFormat="false" ht="15" hidden="false" customHeight="false" outlineLevel="0" collapsed="false">
      <c r="A240" s="24" t="n">
        <v>236</v>
      </c>
      <c r="B240" s="25" t="s">
        <v>62</v>
      </c>
      <c r="C240" s="26" t="s">
        <v>720</v>
      </c>
      <c r="D240" s="26" t="s">
        <v>776</v>
      </c>
      <c r="E240" s="25" t="s">
        <v>777</v>
      </c>
      <c r="F240" s="26" t="s">
        <v>723</v>
      </c>
      <c r="G240" s="24" t="str">
        <f aca="false">IF($D240="","",IF(MID($D240,5,1)="S","S(봄)",IF(MID($D240,5,1)="M","M(여름)",IF(MID($D240,5,1)="X","X(사계절)",MID($D240,5,1)))))</f>
        <v>M(여름)</v>
      </c>
      <c r="H240" s="25" t="s">
        <v>67</v>
      </c>
      <c r="I240" s="24"/>
      <c r="J240" s="27" t="s">
        <v>614</v>
      </c>
      <c r="K240" s="28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8" t="n">
        <f aca="false">IF($K240="","",$K240-기준정보!$C$5)</f>
        <v>46440</v>
      </c>
      <c r="M240" s="28" t="n">
        <f aca="false">IF($L240="","",$L240-기준정보!$C$6)</f>
        <v>46350</v>
      </c>
      <c r="N240" s="29" t="n">
        <f aca="false">IF($M240="","",$M240-기준정보!$C$4)</f>
        <v>108</v>
      </c>
      <c r="O240" s="27" t="s">
        <v>70</v>
      </c>
      <c r="P240" s="27"/>
      <c r="Q240" s="30"/>
      <c r="R240" s="26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S240" s="26"/>
      <c r="T240" s="26"/>
      <c r="U240" s="31" t="n">
        <v>1500</v>
      </c>
      <c r="V240" s="26"/>
      <c r="W240" s="26" t="str">
        <f aca="false">IF($K240="","출고일 미정",IF($O240="X","작지 미발행",IF($O240="부분","작지 일부 미발행",IF(AND($Q240&lt;&gt;"",$Q240&gt;$M240),"소재입고 마감("&amp;TEXT($M240,"MM/DD")&amp;") 초과",IF($O240="","발행여부 확인 필요",IF($Q240="","소재 입고일정 확인 필요","정상"))))))</f>
        <v>소재 입고일정 확인 필요</v>
      </c>
      <c r="X240" s="24" t="str">
        <f aca="false">IF($K240="","",IF(OR(LEFT($W240,2)="작지",LEFT($W240,4)="소재입고"),IF(LEFT($G240,1)="S","★ 납기위험(S코드)","◆ 지연주의"),IF($W240="정상","✓ 정상","? 확인필요")))</f>
        <v>? 확인필요</v>
      </c>
      <c r="Y240" s="27"/>
      <c r="Z240" s="32"/>
    </row>
    <row r="241" customFormat="false" ht="15" hidden="false" customHeight="false" outlineLevel="0" collapsed="false">
      <c r="A241" s="24" t="n">
        <v>237</v>
      </c>
      <c r="B241" s="25" t="s">
        <v>62</v>
      </c>
      <c r="C241" s="26" t="s">
        <v>720</v>
      </c>
      <c r="D241" s="26" t="s">
        <v>778</v>
      </c>
      <c r="E241" s="25" t="s">
        <v>779</v>
      </c>
      <c r="F241" s="26" t="s">
        <v>723</v>
      </c>
      <c r="G241" s="24" t="str">
        <f aca="false">IF($D241="","",IF(MID($D241,5,1)="S","S(봄)",IF(MID($D241,5,1)="M","M(여름)",IF(MID($D241,5,1)="X","X(사계절)",MID($D241,5,1)))))</f>
        <v>M(여름)</v>
      </c>
      <c r="H241" s="25" t="s">
        <v>67</v>
      </c>
      <c r="I241" s="24"/>
      <c r="J241" s="27" t="s">
        <v>614</v>
      </c>
      <c r="K241" s="28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8" t="n">
        <f aca="false">IF($K241="","",$K241-기준정보!$C$5)</f>
        <v>46440</v>
      </c>
      <c r="M241" s="28" t="n">
        <f aca="false">IF($L241="","",$L241-기준정보!$C$6)</f>
        <v>46350</v>
      </c>
      <c r="N241" s="29" t="n">
        <f aca="false">IF($M241="","",$M241-기준정보!$C$4)</f>
        <v>108</v>
      </c>
      <c r="O241" s="27" t="s">
        <v>70</v>
      </c>
      <c r="P241" s="27"/>
      <c r="Q241" s="30"/>
      <c r="R241" s="26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S241" s="26"/>
      <c r="T241" s="26"/>
      <c r="U241" s="31" t="n">
        <v>2000</v>
      </c>
      <c r="V241" s="26"/>
      <c r="W241" s="26" t="str">
        <f aca="false">IF($K241="","출고일 미정",IF($O241="X","작지 미발행",IF($O241="부분","작지 일부 미발행",IF(AND($Q241&lt;&gt;"",$Q241&gt;$M241),"소재입고 마감("&amp;TEXT($M241,"MM/DD")&amp;") 초과",IF($O241="","발행여부 확인 필요",IF($Q241="","소재 입고일정 확인 필요","정상"))))))</f>
        <v>소재 입고일정 확인 필요</v>
      </c>
      <c r="X241" s="24" t="str">
        <f aca="false">IF($K241="","",IF(OR(LEFT($W241,2)="작지",LEFT($W241,4)="소재입고"),IF(LEFT($G241,1)="S","★ 납기위험(S코드)","◆ 지연주의"),IF($W241="정상","✓ 정상","? 확인필요")))</f>
        <v>? 확인필요</v>
      </c>
      <c r="Y241" s="27"/>
      <c r="Z241" s="32"/>
    </row>
    <row r="242" customFormat="false" ht="15" hidden="false" customHeight="false" outlineLevel="0" collapsed="false">
      <c r="A242" s="24" t="n">
        <v>238</v>
      </c>
      <c r="B242" s="25" t="s">
        <v>255</v>
      </c>
      <c r="C242" s="25" t="s">
        <v>256</v>
      </c>
      <c r="D242" s="26" t="s">
        <v>780</v>
      </c>
      <c r="E242" s="25" t="s">
        <v>781</v>
      </c>
      <c r="F242" s="26" t="s">
        <v>782</v>
      </c>
      <c r="G242" s="24" t="str">
        <f aca="false">IF($D242="","",IF(MID($D242,5,1)="S","S(봄)",IF(MID($D242,5,1)="M","M(여름)",IF(MID($D242,5,1)="X","X(사계절)",MID($D242,5,1)))))</f>
        <v>M(여름)</v>
      </c>
      <c r="H242" s="25" t="s">
        <v>67</v>
      </c>
      <c r="I242" s="24" t="s">
        <v>497</v>
      </c>
      <c r="J242" s="27" t="s">
        <v>614</v>
      </c>
      <c r="K242" s="28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8" t="n">
        <f aca="false">IF($K242="","",$K242-기준정보!$C$5)</f>
        <v>46440</v>
      </c>
      <c r="M242" s="28" t="n">
        <f aca="false">IF($L242="","",$L242-기준정보!$C$6)</f>
        <v>46350</v>
      </c>
      <c r="N242" s="29" t="n">
        <f aca="false">IF($M242="","",$M242-기준정보!$C$4)</f>
        <v>108</v>
      </c>
      <c r="O242" s="27" t="s">
        <v>70</v>
      </c>
      <c r="P242" s="27" t="s">
        <v>71</v>
      </c>
      <c r="Q242" s="30"/>
      <c r="R242" s="26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S242" s="25" t="s">
        <v>254</v>
      </c>
      <c r="T242" s="25" t="s">
        <v>73</v>
      </c>
      <c r="U242" s="31" t="n">
        <v>2500</v>
      </c>
      <c r="V242" s="26"/>
      <c r="W242" s="26" t="str">
        <f aca="false">IF($K242="","출고일 미정",IF($O242="X","작지 미발행",IF($O242="부분","작지 일부 미발행",IF(AND($Q242&lt;&gt;"",$Q242&gt;$M242),"소재입고 마감("&amp;TEXT($M242,"MM/DD")&amp;") 초과",IF($O242="","발행여부 확인 필요",IF($Q242="","소재 입고일정 확인 필요","정상"))))))</f>
        <v>소재 입고일정 확인 필요</v>
      </c>
      <c r="X242" s="24" t="str">
        <f aca="false">IF($K242="","",IF(OR(LEFT($W242,2)="작지",LEFT($W242,4)="소재입고"),IF(LEFT($G242,1)="S","★ 납기위험(S코드)","◆ 지연주의"),IF($W242="정상","✓ 정상","? 확인필요")))</f>
        <v>? 확인필요</v>
      </c>
      <c r="Y242" s="27"/>
      <c r="Z242" s="32"/>
    </row>
    <row r="243" customFormat="false" ht="15" hidden="false" customHeight="false" outlineLevel="0" collapsed="false">
      <c r="A243" s="24" t="n">
        <v>239</v>
      </c>
      <c r="B243" s="25" t="s">
        <v>255</v>
      </c>
      <c r="C243" s="25" t="s">
        <v>256</v>
      </c>
      <c r="D243" s="26" t="s">
        <v>783</v>
      </c>
      <c r="E243" s="25" t="s">
        <v>784</v>
      </c>
      <c r="F243" s="26" t="s">
        <v>785</v>
      </c>
      <c r="G243" s="24" t="str">
        <f aca="false">IF($D243="","",IF(MID($D243,5,1)="S","S(봄)",IF(MID($D243,5,1)="M","M(여름)",IF(MID($D243,5,1)="X","X(사계절)",MID($D243,5,1)))))</f>
        <v>M(여름)</v>
      </c>
      <c r="H243" s="25" t="s">
        <v>67</v>
      </c>
      <c r="I243" s="24" t="s">
        <v>497</v>
      </c>
      <c r="J243" s="27" t="s">
        <v>614</v>
      </c>
      <c r="K243" s="28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8" t="n">
        <f aca="false">IF($K243="","",$K243-기준정보!$C$5)</f>
        <v>46440</v>
      </c>
      <c r="M243" s="28" t="n">
        <f aca="false">IF($L243="","",$L243-기준정보!$C$6)</f>
        <v>46350</v>
      </c>
      <c r="N243" s="29" t="n">
        <f aca="false">IF($M243="","",$M243-기준정보!$C$4)</f>
        <v>108</v>
      </c>
      <c r="O243" s="27" t="s">
        <v>70</v>
      </c>
      <c r="P243" s="27" t="s">
        <v>71</v>
      </c>
      <c r="Q243" s="30"/>
      <c r="R243" s="26" t="str">
        <f aca="false">IF($H243="","",IF(AND(ISNUMBER(SEARCH("CMT",$H243)),OR(ISNUMBER(SEARCH("완사입",$H243)),ISNUMBER(SEARCH("ODM",$H243)))),"본사/생산처 혼재",IF(ISNUMBER(SEARCH("CMT",$H243)),"본사(소재팀)","생산처")))</f>
        <v>생산처</v>
      </c>
      <c r="S243" s="25" t="s">
        <v>254</v>
      </c>
      <c r="T243" s="25" t="s">
        <v>73</v>
      </c>
      <c r="U243" s="31" t="n">
        <v>5500</v>
      </c>
      <c r="V243" s="26"/>
      <c r="W243" s="26" t="str">
        <f aca="false">IF($K243="","출고일 미정",IF($O243="X","작지 미발행",IF($O243="부분","작지 일부 미발행",IF(AND($Q243&lt;&gt;"",$Q243&gt;$M243),"소재입고 마감("&amp;TEXT($M243,"MM/DD")&amp;") 초과",IF($O243="","발행여부 확인 필요",IF($Q243="","소재 입고일정 확인 필요","정상"))))))</f>
        <v>소재 입고일정 확인 필요</v>
      </c>
      <c r="X243" s="24" t="str">
        <f aca="false">IF($K243="","",IF(OR(LEFT($W243,2)="작지",LEFT($W243,4)="소재입고"),IF(LEFT($G243,1)="S","★ 납기위험(S코드)","◆ 지연주의"),IF($W243="정상","✓ 정상","? 확인필요")))</f>
        <v>? 확인필요</v>
      </c>
      <c r="Y243" s="27"/>
      <c r="Z243" s="32"/>
    </row>
    <row r="244" customFormat="false" ht="15" hidden="false" customHeight="false" outlineLevel="0" collapsed="false">
      <c r="A244" s="24" t="n">
        <v>240</v>
      </c>
      <c r="B244" s="25" t="s">
        <v>208</v>
      </c>
      <c r="C244" s="25" t="s">
        <v>213</v>
      </c>
      <c r="D244" s="26" t="s">
        <v>786</v>
      </c>
      <c r="E244" s="25" t="s">
        <v>787</v>
      </c>
      <c r="F244" s="26" t="s">
        <v>788</v>
      </c>
      <c r="G244" s="24" t="str">
        <f aca="false">IF($D244="","",IF(MID($D244,5,1)="S","S(봄)",IF(MID($D244,5,1)="M","M(여름)",IF(MID($D244,5,1)="X","X(사계절)",MID($D244,5,1)))))</f>
        <v>M(여름)</v>
      </c>
      <c r="H244" s="25" t="s">
        <v>67</v>
      </c>
      <c r="I244" s="24"/>
      <c r="J244" s="27" t="s">
        <v>789</v>
      </c>
      <c r="K244" s="28" t="n">
        <f aca="false">IF($J244="","",IFERROR(DATE(IF(VALUE(LEFT($J244,FIND("월",$J244)-1))&gt;=9,기준정보!$C$7-1,기준정보!$C$7),VALUE(LEFT($J244,FIND("월",$J244)-1)),1+7*(VALUE(SUBSTITUTE(MID($J244,FIND("월",$J244)+1,5),"주",""))-1)),""))</f>
        <v>46461</v>
      </c>
      <c r="L244" s="28" t="n">
        <f aca="false">IF($K244="","",$K244-기준정보!$C$5)</f>
        <v>46447</v>
      </c>
      <c r="M244" s="28" t="n">
        <f aca="false">IF($L244="","",$L244-기준정보!$C$6)</f>
        <v>46357</v>
      </c>
      <c r="N244" s="29" t="n">
        <f aca="false">IF($M244="","",$M244-기준정보!$C$4)</f>
        <v>115</v>
      </c>
      <c r="O244" s="27" t="s">
        <v>70</v>
      </c>
      <c r="P244" s="27" t="s">
        <v>71</v>
      </c>
      <c r="Q244" s="30"/>
      <c r="R244" s="26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S244" s="26" t="s">
        <v>231</v>
      </c>
      <c r="T244" s="25" t="s">
        <v>78</v>
      </c>
      <c r="U244" s="31" t="n">
        <v>3000</v>
      </c>
      <c r="V244" s="26" t="s">
        <v>479</v>
      </c>
      <c r="W244" s="26" t="str">
        <f aca="false">IF($K244="","출고일 미정",IF($O244="X","작지 미발행",IF($O244="부분","작지 일부 미발행",IF(AND($Q244&lt;&gt;"",$Q244&gt;$M244),"소재입고 마감("&amp;TEXT($M244,"MM/DD")&amp;") 초과",IF($O244="","발행여부 확인 필요",IF($Q244="","소재 입고일정 확인 필요","정상"))))))</f>
        <v>소재 입고일정 확인 필요</v>
      </c>
      <c r="X244" s="24" t="str">
        <f aca="false">IF($K244="","",IF(OR(LEFT($W244,2)="작지",LEFT($W244,4)="소재입고"),IF(LEFT($G244,1)="S","★ 납기위험(S코드)","◆ 지연주의"),IF($W244="정상","✓ 정상","? 확인필요")))</f>
        <v>? 확인필요</v>
      </c>
      <c r="Y244" s="27"/>
      <c r="Z244" s="32"/>
    </row>
    <row r="245" customFormat="false" ht="15" hidden="false" customHeight="false" outlineLevel="0" collapsed="false">
      <c r="A245" s="24" t="n">
        <v>241</v>
      </c>
      <c r="B245" s="25" t="s">
        <v>187</v>
      </c>
      <c r="C245" s="25" t="s">
        <v>423</v>
      </c>
      <c r="D245" s="26" t="s">
        <v>790</v>
      </c>
      <c r="E245" s="25" t="s">
        <v>791</v>
      </c>
      <c r="F245" s="26" t="s">
        <v>792</v>
      </c>
      <c r="G245" s="24" t="str">
        <f aca="false">IF($D245="","",IF(MID($D245,5,1)="S","S(봄)",IF(MID($D245,5,1)="M","M(여름)",IF(MID($D245,5,1)="X","X(사계절)",MID($D245,5,1)))))</f>
        <v>M(여름)</v>
      </c>
      <c r="H245" s="26" t="s">
        <v>197</v>
      </c>
      <c r="I245" s="24" t="s">
        <v>404</v>
      </c>
      <c r="J245" s="27" t="s">
        <v>793</v>
      </c>
      <c r="K245" s="28" t="n">
        <f aca="false">IF($J245="","",IFERROR(DATE(IF(VALUE(LEFT($J245,FIND("월",$J245)-1))&gt;=9,기준정보!$C$7-1,기준정보!$C$7),VALUE(LEFT($J245,FIND("월",$J245)-1)),1+7*(VALUE(SUBSTITUTE(MID($J245,FIND("월",$J245)+1,5),"주",""))-1)),""))</f>
        <v>46468</v>
      </c>
      <c r="L245" s="28" t="n">
        <f aca="false">IF($K245="","",$K245-기준정보!$C$5)</f>
        <v>46454</v>
      </c>
      <c r="M245" s="28" t="n">
        <f aca="false">IF($L245="","",$L245-기준정보!$C$6)</f>
        <v>46364</v>
      </c>
      <c r="N245" s="29" t="n">
        <f aca="false">IF($M245="","",$M245-기준정보!$C$4)</f>
        <v>122</v>
      </c>
      <c r="O245" s="27" t="s">
        <v>70</v>
      </c>
      <c r="P245" s="27" t="s">
        <v>71</v>
      </c>
      <c r="Q245" s="30"/>
      <c r="R245" s="26" t="str">
        <f aca="false">IF($H245="","",IF(AND(ISNUMBER(SEARCH("CMT",$H245)),OR(ISNUMBER(SEARCH("완사입",$H245)),ISNUMBER(SEARCH("ODM",$H245)))),"본사/생산처 혼재",IF(ISNUMBER(SEARCH("CMT",$H245)),"본사(소재팀)","생산처")))</f>
        <v>본사(소재팀)</v>
      </c>
      <c r="S245" s="25" t="s">
        <v>72</v>
      </c>
      <c r="T245" s="25" t="s">
        <v>73</v>
      </c>
      <c r="U245" s="31" t="n">
        <v>4000</v>
      </c>
      <c r="V245" s="26" t="s">
        <v>793</v>
      </c>
      <c r="W245" s="26" t="str">
        <f aca="false">IF($K245="","출고일 미정",IF($O245="X","작지 미발행",IF($O245="부분","작지 일부 미발행",IF(AND($Q245&lt;&gt;"",$Q245&gt;$M245),"소재입고 마감("&amp;TEXT($M245,"MM/DD")&amp;") 초과",IF($O245="","발행여부 확인 필요",IF($Q245="","소재 입고일정 확인 필요","정상"))))))</f>
        <v>소재 입고일정 확인 필요</v>
      </c>
      <c r="X245" s="24" t="str">
        <f aca="false">IF($K245="","",IF(OR(LEFT($W245,2)="작지",LEFT($W245,4)="소재입고"),IF(LEFT($G245,1)="S","★ 납기위험(S코드)","◆ 지연주의"),IF($W245="정상","✓ 정상","? 확인필요")))</f>
        <v>? 확인필요</v>
      </c>
      <c r="Y245" s="27"/>
      <c r="Z245" s="32"/>
    </row>
    <row r="246" customFormat="false" ht="15" hidden="false" customHeight="false" outlineLevel="0" collapsed="false">
      <c r="A246" s="24" t="n">
        <v>242</v>
      </c>
      <c r="B246" s="25" t="s">
        <v>187</v>
      </c>
      <c r="C246" s="25" t="s">
        <v>423</v>
      </c>
      <c r="D246" s="26" t="s">
        <v>794</v>
      </c>
      <c r="E246" s="25" t="s">
        <v>795</v>
      </c>
      <c r="F246" s="26" t="s">
        <v>796</v>
      </c>
      <c r="G246" s="24" t="str">
        <f aca="false">IF($D246="","",IF(MID($D246,5,1)="S","S(봄)",IF(MID($D246,5,1)="M","M(여름)",IF(MID($D246,5,1)="X","X(사계절)",MID($D246,5,1)))))</f>
        <v>M(여름)</v>
      </c>
      <c r="H246" s="26" t="s">
        <v>197</v>
      </c>
      <c r="I246" s="24" t="s">
        <v>404</v>
      </c>
      <c r="J246" s="27" t="s">
        <v>793</v>
      </c>
      <c r="K246" s="28" t="n">
        <f aca="false">IF($J246="","",IFERROR(DATE(IF(VALUE(LEFT($J246,FIND("월",$J246)-1))&gt;=9,기준정보!$C$7-1,기준정보!$C$7),VALUE(LEFT($J246,FIND("월",$J246)-1)),1+7*(VALUE(SUBSTITUTE(MID($J246,FIND("월",$J246)+1,5),"주",""))-1)),""))</f>
        <v>46468</v>
      </c>
      <c r="L246" s="28" t="n">
        <f aca="false">IF($K246="","",$K246-기준정보!$C$5)</f>
        <v>46454</v>
      </c>
      <c r="M246" s="28" t="n">
        <f aca="false">IF($L246="","",$L246-기준정보!$C$6)</f>
        <v>46364</v>
      </c>
      <c r="N246" s="29" t="n">
        <f aca="false">IF($M246="","",$M246-기준정보!$C$4)</f>
        <v>122</v>
      </c>
      <c r="O246" s="27" t="s">
        <v>70</v>
      </c>
      <c r="P246" s="27" t="s">
        <v>71</v>
      </c>
      <c r="Q246" s="30"/>
      <c r="R246" s="26" t="str">
        <f aca="false">IF($H246="","",IF(AND(ISNUMBER(SEARCH("CMT",$H246)),OR(ISNUMBER(SEARCH("완사입",$H246)),ISNUMBER(SEARCH("ODM",$H246)))),"본사/생산처 혼재",IF(ISNUMBER(SEARCH("CMT",$H246)),"본사(소재팀)","생산처")))</f>
        <v>본사(소재팀)</v>
      </c>
      <c r="S246" s="25" t="s">
        <v>72</v>
      </c>
      <c r="T246" s="25" t="s">
        <v>73</v>
      </c>
      <c r="U246" s="31" t="n">
        <v>1800</v>
      </c>
      <c r="V246" s="26" t="s">
        <v>793</v>
      </c>
      <c r="W246" s="26" t="str">
        <f aca="false">IF($K246="","출고일 미정",IF($O246="X","작지 미발행",IF($O246="부분","작지 일부 미발행",IF(AND($Q246&lt;&gt;"",$Q246&gt;$M246),"소재입고 마감("&amp;TEXT($M246,"MM/DD")&amp;") 초과",IF($O246="","발행여부 확인 필요",IF($Q246="","소재 입고일정 확인 필요","정상"))))))</f>
        <v>소재 입고일정 확인 필요</v>
      </c>
      <c r="X246" s="24" t="str">
        <f aca="false">IF($K246="","",IF(OR(LEFT($W246,2)="작지",LEFT($W246,4)="소재입고"),IF(LEFT($G246,1)="S","★ 납기위험(S코드)","◆ 지연주의"),IF($W246="정상","✓ 정상","? 확인필요")))</f>
        <v>? 확인필요</v>
      </c>
      <c r="Y246" s="27"/>
      <c r="Z246" s="32"/>
    </row>
    <row r="247" customFormat="false" ht="15" hidden="false" customHeight="false" outlineLevel="0" collapsed="false">
      <c r="A247" s="24" t="n">
        <v>243</v>
      </c>
      <c r="B247" s="25" t="s">
        <v>187</v>
      </c>
      <c r="C247" s="25" t="s">
        <v>423</v>
      </c>
      <c r="D247" s="26" t="s">
        <v>797</v>
      </c>
      <c r="E247" s="25" t="s">
        <v>798</v>
      </c>
      <c r="F247" s="26" t="s">
        <v>799</v>
      </c>
      <c r="G247" s="24" t="str">
        <f aca="false">IF($D247="","",IF(MID($D247,5,1)="S","S(봄)",IF(MID($D247,5,1)="M","M(여름)",IF(MID($D247,5,1)="X","X(사계절)",MID($D247,5,1)))))</f>
        <v>M(여름)</v>
      </c>
      <c r="H247" s="26" t="s">
        <v>197</v>
      </c>
      <c r="I247" s="24" t="s">
        <v>404</v>
      </c>
      <c r="J247" s="27" t="s">
        <v>793</v>
      </c>
      <c r="K247" s="28" t="n">
        <f aca="false">IF($J247="","",IFERROR(DATE(IF(VALUE(LEFT($J247,FIND("월",$J247)-1))&gt;=9,기준정보!$C$7-1,기준정보!$C$7),VALUE(LEFT($J247,FIND("월",$J247)-1)),1+7*(VALUE(SUBSTITUTE(MID($J247,FIND("월",$J247)+1,5),"주",""))-1)),""))</f>
        <v>46468</v>
      </c>
      <c r="L247" s="28" t="n">
        <f aca="false">IF($K247="","",$K247-기준정보!$C$5)</f>
        <v>46454</v>
      </c>
      <c r="M247" s="28" t="n">
        <f aca="false">IF($L247="","",$L247-기준정보!$C$6)</f>
        <v>46364</v>
      </c>
      <c r="N247" s="29" t="n">
        <f aca="false">IF($M247="","",$M247-기준정보!$C$4)</f>
        <v>122</v>
      </c>
      <c r="O247" s="27" t="s">
        <v>70</v>
      </c>
      <c r="P247" s="27" t="s">
        <v>71</v>
      </c>
      <c r="Q247" s="30"/>
      <c r="R247" s="26" t="str">
        <f aca="false">IF($H247="","",IF(AND(ISNUMBER(SEARCH("CMT",$H247)),OR(ISNUMBER(SEARCH("완사입",$H247)),ISNUMBER(SEARCH("ODM",$H247)))),"본사/생산처 혼재",IF(ISNUMBER(SEARCH("CMT",$H247)),"본사(소재팀)","생산처")))</f>
        <v>본사(소재팀)</v>
      </c>
      <c r="S247" s="25" t="s">
        <v>72</v>
      </c>
      <c r="T247" s="25" t="s">
        <v>73</v>
      </c>
      <c r="U247" s="31" t="n">
        <v>3000</v>
      </c>
      <c r="V247" s="26" t="s">
        <v>793</v>
      </c>
      <c r="W247" s="26" t="str">
        <f aca="false">IF($K247="","출고일 미정",IF($O247="X","작지 미발행",IF($O247="부분","작지 일부 미발행",IF(AND($Q247&lt;&gt;"",$Q247&gt;$M247),"소재입고 마감("&amp;TEXT($M247,"MM/DD")&amp;") 초과",IF($O247="","발행여부 확인 필요",IF($Q247="","소재 입고일정 확인 필요","정상"))))))</f>
        <v>소재 입고일정 확인 필요</v>
      </c>
      <c r="X247" s="24" t="str">
        <f aca="false">IF($K247="","",IF(OR(LEFT($W247,2)="작지",LEFT($W247,4)="소재입고"),IF(LEFT($G247,1)="S","★ 납기위험(S코드)","◆ 지연주의"),IF($W247="정상","✓ 정상","? 확인필요")))</f>
        <v>? 확인필요</v>
      </c>
      <c r="Y247" s="27"/>
      <c r="Z247" s="32"/>
    </row>
    <row r="248" customFormat="false" ht="15" hidden="false" customHeight="false" outlineLevel="0" collapsed="false">
      <c r="A248" s="24" t="n">
        <v>244</v>
      </c>
      <c r="B248" s="25" t="s">
        <v>192</v>
      </c>
      <c r="C248" s="25" t="s">
        <v>193</v>
      </c>
      <c r="D248" s="26" t="s">
        <v>800</v>
      </c>
      <c r="E248" s="25" t="s">
        <v>801</v>
      </c>
      <c r="F248" s="26" t="s">
        <v>802</v>
      </c>
      <c r="G248" s="24" t="str">
        <f aca="false">IF($D248="","",IF(MID($D248,5,1)="S","S(봄)",IF(MID($D248,5,1)="M","M(여름)",IF(MID($D248,5,1)="X","X(사계절)",MID($D248,5,1)))))</f>
        <v>M(여름)</v>
      </c>
      <c r="H248" s="26" t="s">
        <v>197</v>
      </c>
      <c r="I248" s="24"/>
      <c r="J248" s="27" t="s">
        <v>793</v>
      </c>
      <c r="K248" s="28" t="n">
        <f aca="false">IF($J248="","",IFERROR(DATE(IF(VALUE(LEFT($J248,FIND("월",$J248)-1))&gt;=9,기준정보!$C$7-1,기준정보!$C$7),VALUE(LEFT($J248,FIND("월",$J248)-1)),1+7*(VALUE(SUBSTITUTE(MID($J248,FIND("월",$J248)+1,5),"주",""))-1)),""))</f>
        <v>46468</v>
      </c>
      <c r="L248" s="28" t="n">
        <f aca="false">IF($K248="","",$K248-기준정보!$C$5)</f>
        <v>46454</v>
      </c>
      <c r="M248" s="28" t="n">
        <f aca="false">IF($L248="","",$L248-기준정보!$C$6)</f>
        <v>46364</v>
      </c>
      <c r="N248" s="29" t="n">
        <f aca="false">IF($M248="","",$M248-기준정보!$C$4)</f>
        <v>122</v>
      </c>
      <c r="O248" s="27" t="s">
        <v>70</v>
      </c>
      <c r="P248" s="27" t="s">
        <v>71</v>
      </c>
      <c r="Q248" s="30"/>
      <c r="R248" s="26" t="str">
        <f aca="false">IF($H248="","",IF(AND(ISNUMBER(SEARCH("CMT",$H248)),OR(ISNUMBER(SEARCH("완사입",$H248)),ISNUMBER(SEARCH("ODM",$H248)))),"본사/생산처 혼재",IF(ISNUMBER(SEARCH("CMT",$H248)),"본사(소재팀)","생산처")))</f>
        <v>본사(소재팀)</v>
      </c>
      <c r="S248" s="26" t="s">
        <v>223</v>
      </c>
      <c r="T248" s="25" t="s">
        <v>73</v>
      </c>
      <c r="U248" s="31" t="n">
        <v>1800</v>
      </c>
      <c r="V248" s="26" t="s">
        <v>793</v>
      </c>
      <c r="W248" s="26" t="str">
        <f aca="false">IF($K248="","출고일 미정",IF($O248="X","작지 미발행",IF($O248="부분","작지 일부 미발행",IF(AND($Q248&lt;&gt;"",$Q248&gt;$M248),"소재입고 마감("&amp;TEXT($M248,"MM/DD")&amp;") 초과",IF($O248="","발행여부 확인 필요",IF($Q248="","소재 입고일정 확인 필요","정상"))))))</f>
        <v>소재 입고일정 확인 필요</v>
      </c>
      <c r="X248" s="24" t="str">
        <f aca="false">IF($K248="","",IF(OR(LEFT($W248,2)="작지",LEFT($W248,4)="소재입고"),IF(LEFT($G248,1)="S","★ 납기위험(S코드)","◆ 지연주의"),IF($W248="정상","✓ 정상","? 확인필요")))</f>
        <v>? 확인필요</v>
      </c>
      <c r="Y248" s="27"/>
      <c r="Z248" s="32"/>
    </row>
    <row r="249" customFormat="false" ht="15" hidden="false" customHeight="false" outlineLevel="0" collapsed="false">
      <c r="A249" s="24" t="n">
        <v>245</v>
      </c>
      <c r="B249" s="25" t="s">
        <v>192</v>
      </c>
      <c r="C249" s="25" t="s">
        <v>193</v>
      </c>
      <c r="D249" s="26" t="s">
        <v>803</v>
      </c>
      <c r="E249" s="25" t="s">
        <v>804</v>
      </c>
      <c r="F249" s="26" t="s">
        <v>134</v>
      </c>
      <c r="G249" s="24" t="str">
        <f aca="false">IF($D249="","",IF(MID($D249,5,1)="S","S(봄)",IF(MID($D249,5,1)="M","M(여름)",IF(MID($D249,5,1)="X","X(사계절)",MID($D249,5,1)))))</f>
        <v>M(여름)</v>
      </c>
      <c r="H249" s="26" t="s">
        <v>197</v>
      </c>
      <c r="I249" s="24"/>
      <c r="J249" s="27" t="s">
        <v>793</v>
      </c>
      <c r="K249" s="28" t="n">
        <f aca="false">IF($J249="","",IFERROR(DATE(IF(VALUE(LEFT($J249,FIND("월",$J249)-1))&gt;=9,기준정보!$C$7-1,기준정보!$C$7),VALUE(LEFT($J249,FIND("월",$J249)-1)),1+7*(VALUE(SUBSTITUTE(MID($J249,FIND("월",$J249)+1,5),"주",""))-1)),""))</f>
        <v>46468</v>
      </c>
      <c r="L249" s="28" t="n">
        <f aca="false">IF($K249="","",$K249-기준정보!$C$5)</f>
        <v>46454</v>
      </c>
      <c r="M249" s="28" t="n">
        <f aca="false">IF($L249="","",$L249-기준정보!$C$6)</f>
        <v>46364</v>
      </c>
      <c r="N249" s="29" t="n">
        <f aca="false">IF($M249="","",$M249-기준정보!$C$4)</f>
        <v>122</v>
      </c>
      <c r="O249" s="27" t="s">
        <v>70</v>
      </c>
      <c r="P249" s="27" t="s">
        <v>71</v>
      </c>
      <c r="Q249" s="30"/>
      <c r="R249" s="26" t="str">
        <f aca="false">IF($H249="","",IF(AND(ISNUMBER(SEARCH("CMT",$H249)),OR(ISNUMBER(SEARCH("완사입",$H249)),ISNUMBER(SEARCH("ODM",$H249)))),"본사/생산처 혼재",IF(ISNUMBER(SEARCH("CMT",$H249)),"본사(소재팀)","생산처")))</f>
        <v>본사(소재팀)</v>
      </c>
      <c r="S249" s="26" t="s">
        <v>137</v>
      </c>
      <c r="T249" s="25" t="s">
        <v>73</v>
      </c>
      <c r="U249" s="31" t="n">
        <v>3200</v>
      </c>
      <c r="V249" s="26" t="s">
        <v>793</v>
      </c>
      <c r="W249" s="26" t="str">
        <f aca="false">IF($K249="","출고일 미정",IF($O249="X","작지 미발행",IF($O249="부분","작지 일부 미발행",IF(AND($Q249&lt;&gt;"",$Q249&gt;$M249),"소재입고 마감("&amp;TEXT($M249,"MM/DD")&amp;") 초과",IF($O249="","발행여부 확인 필요",IF($Q249="","소재 입고일정 확인 필요","정상"))))))</f>
        <v>소재 입고일정 확인 필요</v>
      </c>
      <c r="X249" s="24" t="str">
        <f aca="false">IF($K249="","",IF(OR(LEFT($W249,2)="작지",LEFT($W249,4)="소재입고"),IF(LEFT($G249,1)="S","★ 납기위험(S코드)","◆ 지연주의"),IF($W249="정상","✓ 정상","? 확인필요")))</f>
        <v>? 확인필요</v>
      </c>
      <c r="Y249" s="27"/>
      <c r="Z249" s="32"/>
    </row>
    <row r="250" customFormat="false" ht="15" hidden="false" customHeight="false" outlineLevel="0" collapsed="false">
      <c r="A250" s="24" t="n">
        <v>246</v>
      </c>
      <c r="B250" s="25" t="s">
        <v>192</v>
      </c>
      <c r="C250" s="25" t="s">
        <v>193</v>
      </c>
      <c r="D250" s="26" t="s">
        <v>805</v>
      </c>
      <c r="E250" s="25" t="s">
        <v>806</v>
      </c>
      <c r="F250" s="26" t="s">
        <v>807</v>
      </c>
      <c r="G250" s="24" t="str">
        <f aca="false">IF($D250="","",IF(MID($D250,5,1)="S","S(봄)",IF(MID($D250,5,1)="M","M(여름)",IF(MID($D250,5,1)="X","X(사계절)",MID($D250,5,1)))))</f>
        <v>M(여름)</v>
      </c>
      <c r="H250" s="26" t="s">
        <v>197</v>
      </c>
      <c r="I250" s="24"/>
      <c r="J250" s="27" t="s">
        <v>793</v>
      </c>
      <c r="K250" s="28" t="n">
        <f aca="false">IF($J250="","",IFERROR(DATE(IF(VALUE(LEFT($J250,FIND("월",$J250)-1))&gt;=9,기준정보!$C$7-1,기준정보!$C$7),VALUE(LEFT($J250,FIND("월",$J250)-1)),1+7*(VALUE(SUBSTITUTE(MID($J250,FIND("월",$J250)+1,5),"주",""))-1)),""))</f>
        <v>46468</v>
      </c>
      <c r="L250" s="28" t="n">
        <f aca="false">IF($K250="","",$K250-기준정보!$C$5)</f>
        <v>46454</v>
      </c>
      <c r="M250" s="28" t="n">
        <f aca="false">IF($L250="","",$L250-기준정보!$C$6)</f>
        <v>46364</v>
      </c>
      <c r="N250" s="29" t="n">
        <f aca="false">IF($M250="","",$M250-기준정보!$C$4)</f>
        <v>122</v>
      </c>
      <c r="O250" s="27" t="s">
        <v>70</v>
      </c>
      <c r="P250" s="27" t="s">
        <v>71</v>
      </c>
      <c r="Q250" s="30"/>
      <c r="R250" s="26" t="str">
        <f aca="false">IF($H250="","",IF(AND(ISNUMBER(SEARCH("CMT",$H250)),OR(ISNUMBER(SEARCH("완사입",$H250)),ISNUMBER(SEARCH("ODM",$H250)))),"본사/생산처 혼재",IF(ISNUMBER(SEARCH("CMT",$H250)),"본사(소재팀)","생산처")))</f>
        <v>본사(소재팀)</v>
      </c>
      <c r="S250" s="26" t="s">
        <v>223</v>
      </c>
      <c r="T250" s="25" t="s">
        <v>73</v>
      </c>
      <c r="U250" s="31" t="n">
        <v>1500</v>
      </c>
      <c r="V250" s="26" t="s">
        <v>793</v>
      </c>
      <c r="W250" s="26" t="str">
        <f aca="false">IF($K250="","출고일 미정",IF($O250="X","작지 미발행",IF($O250="부분","작지 일부 미발행",IF(AND($Q250&lt;&gt;"",$Q250&gt;$M250),"소재입고 마감("&amp;TEXT($M250,"MM/DD")&amp;") 초과",IF($O250="","발행여부 확인 필요",IF($Q250="","소재 입고일정 확인 필요","정상"))))))</f>
        <v>소재 입고일정 확인 필요</v>
      </c>
      <c r="X250" s="24" t="str">
        <f aca="false">IF($K250="","",IF(OR(LEFT($W250,2)="작지",LEFT($W250,4)="소재입고"),IF(LEFT($G250,1)="S","★ 납기위험(S코드)","◆ 지연주의"),IF($W250="정상","✓ 정상","? 확인필요")))</f>
        <v>? 확인필요</v>
      </c>
      <c r="Y250" s="27"/>
      <c r="Z250" s="32"/>
    </row>
    <row r="251" customFormat="false" ht="15" hidden="false" customHeight="false" outlineLevel="0" collapsed="false">
      <c r="A251" s="24" t="n">
        <v>247</v>
      </c>
      <c r="B251" s="25" t="s">
        <v>187</v>
      </c>
      <c r="C251" s="25" t="s">
        <v>423</v>
      </c>
      <c r="D251" s="26" t="s">
        <v>808</v>
      </c>
      <c r="E251" s="25" t="s">
        <v>809</v>
      </c>
      <c r="F251" s="26" t="s">
        <v>148</v>
      </c>
      <c r="G251" s="24" t="str">
        <f aca="false">IF($D251="","",IF(MID($D251,5,1)="S","S(봄)",IF(MID($D251,5,1)="M","M(여름)",IF(MID($D251,5,1)="X","X(사계절)",MID($D251,5,1)))))</f>
        <v>M(여름)</v>
      </c>
      <c r="H251" s="25" t="s">
        <v>67</v>
      </c>
      <c r="I251" s="24" t="s">
        <v>404</v>
      </c>
      <c r="J251" s="27" t="s">
        <v>793</v>
      </c>
      <c r="K251" s="28" t="n">
        <f aca="false">IF($J251="","",IFERROR(DATE(IF(VALUE(LEFT($J251,FIND("월",$J251)-1))&gt;=9,기준정보!$C$7-1,기준정보!$C$7),VALUE(LEFT($J251,FIND("월",$J251)-1)),1+7*(VALUE(SUBSTITUTE(MID($J251,FIND("월",$J251)+1,5),"주",""))-1)),""))</f>
        <v>46468</v>
      </c>
      <c r="L251" s="28" t="n">
        <f aca="false">IF($K251="","",$K251-기준정보!$C$5)</f>
        <v>46454</v>
      </c>
      <c r="M251" s="28" t="n">
        <f aca="false">IF($L251="","",$L251-기준정보!$C$6)</f>
        <v>46364</v>
      </c>
      <c r="N251" s="29" t="n">
        <f aca="false">IF($M251="","",$M251-기준정보!$C$4)</f>
        <v>122</v>
      </c>
      <c r="O251" s="27" t="s">
        <v>70</v>
      </c>
      <c r="P251" s="27" t="s">
        <v>71</v>
      </c>
      <c r="Q251" s="30"/>
      <c r="R251" s="26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S251" s="25" t="s">
        <v>94</v>
      </c>
      <c r="T251" s="25" t="s">
        <v>73</v>
      </c>
      <c r="U251" s="31" t="n">
        <v>800</v>
      </c>
      <c r="V251" s="26" t="s">
        <v>793</v>
      </c>
      <c r="W251" s="26" t="str">
        <f aca="false">IF($K251="","출고일 미정",IF($O251="X","작지 미발행",IF($O251="부분","작지 일부 미발행",IF(AND($Q251&lt;&gt;"",$Q251&gt;$M251),"소재입고 마감("&amp;TEXT($M251,"MM/DD")&amp;") 초과",IF($O251="","발행여부 확인 필요",IF($Q251="","소재 입고일정 확인 필요","정상"))))))</f>
        <v>소재 입고일정 확인 필요</v>
      </c>
      <c r="X251" s="24" t="str">
        <f aca="false">IF($K251="","",IF(OR(LEFT($W251,2)="작지",LEFT($W251,4)="소재입고"),IF(LEFT($G251,1)="S","★ 납기위험(S코드)","◆ 지연주의"),IF($W251="정상","✓ 정상","? 확인필요")))</f>
        <v>? 확인필요</v>
      </c>
      <c r="Y251" s="27"/>
      <c r="Z251" s="32"/>
    </row>
    <row r="252" customFormat="false" ht="15" hidden="false" customHeight="false" outlineLevel="0" collapsed="false">
      <c r="A252" s="24" t="n">
        <v>248</v>
      </c>
      <c r="B252" s="25" t="s">
        <v>192</v>
      </c>
      <c r="C252" s="25" t="s">
        <v>193</v>
      </c>
      <c r="D252" s="26" t="s">
        <v>810</v>
      </c>
      <c r="E252" s="25" t="s">
        <v>811</v>
      </c>
      <c r="F252" s="26" t="s">
        <v>812</v>
      </c>
      <c r="G252" s="24" t="str">
        <f aca="false">IF($D252="","",IF(MID($D252,5,1)="S","S(봄)",IF(MID($D252,5,1)="M","M(여름)",IF(MID($D252,5,1)="X","X(사계절)",MID($D252,5,1)))))</f>
        <v>M(여름)</v>
      </c>
      <c r="H252" s="25" t="s">
        <v>67</v>
      </c>
      <c r="I252" s="24"/>
      <c r="J252" s="27" t="s">
        <v>793</v>
      </c>
      <c r="K252" s="28" t="n">
        <f aca="false">IF($J252="","",IFERROR(DATE(IF(VALUE(LEFT($J252,FIND("월",$J252)-1))&gt;=9,기준정보!$C$7-1,기준정보!$C$7),VALUE(LEFT($J252,FIND("월",$J252)-1)),1+7*(VALUE(SUBSTITUTE(MID($J252,FIND("월",$J252)+1,5),"주",""))-1)),""))</f>
        <v>46468</v>
      </c>
      <c r="L252" s="28" t="n">
        <f aca="false">IF($K252="","",$K252-기준정보!$C$5)</f>
        <v>46454</v>
      </c>
      <c r="M252" s="28" t="n">
        <f aca="false">IF($L252="","",$L252-기준정보!$C$6)</f>
        <v>46364</v>
      </c>
      <c r="N252" s="29" t="n">
        <f aca="false">IF($M252="","",$M252-기준정보!$C$4)</f>
        <v>122</v>
      </c>
      <c r="O252" s="27" t="s">
        <v>70</v>
      </c>
      <c r="P252" s="27" t="s">
        <v>71</v>
      </c>
      <c r="Q252" s="30"/>
      <c r="R252" s="26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S252" s="25" t="s">
        <v>227</v>
      </c>
      <c r="T252" s="25" t="s">
        <v>73</v>
      </c>
      <c r="U252" s="31" t="n">
        <v>4000</v>
      </c>
      <c r="V252" s="26" t="s">
        <v>793</v>
      </c>
      <c r="W252" s="26" t="str">
        <f aca="false">IF($K252="","출고일 미정",IF($O252="X","작지 미발행",IF($O252="부분","작지 일부 미발행",IF(AND($Q252&lt;&gt;"",$Q252&gt;$M252),"소재입고 마감("&amp;TEXT($M252,"MM/DD")&amp;") 초과",IF($O252="","발행여부 확인 필요",IF($Q252="","소재 입고일정 확인 필요","정상"))))))</f>
        <v>소재 입고일정 확인 필요</v>
      </c>
      <c r="X252" s="24" t="str">
        <f aca="false">IF($K252="","",IF(OR(LEFT($W252,2)="작지",LEFT($W252,4)="소재입고"),IF(LEFT($G252,1)="S","★ 납기위험(S코드)","◆ 지연주의"),IF($W252="정상","✓ 정상","? 확인필요")))</f>
        <v>? 확인필요</v>
      </c>
      <c r="Y252" s="27"/>
      <c r="Z252" s="32"/>
    </row>
    <row r="253" customFormat="false" ht="15" hidden="false" customHeight="false" outlineLevel="0" collapsed="false">
      <c r="A253" s="24" t="n">
        <v>249</v>
      </c>
      <c r="B253" s="25" t="s">
        <v>192</v>
      </c>
      <c r="C253" s="25" t="s">
        <v>193</v>
      </c>
      <c r="D253" s="26" t="s">
        <v>813</v>
      </c>
      <c r="E253" s="25" t="s">
        <v>814</v>
      </c>
      <c r="F253" s="26" t="s">
        <v>678</v>
      </c>
      <c r="G253" s="24" t="str">
        <f aca="false">IF($D253="","",IF(MID($D253,5,1)="S","S(봄)",IF(MID($D253,5,1)="M","M(여름)",IF(MID($D253,5,1)="X","X(사계절)",MID($D253,5,1)))))</f>
        <v>M(여름)</v>
      </c>
      <c r="H253" s="25" t="s">
        <v>67</v>
      </c>
      <c r="I253" s="24"/>
      <c r="J253" s="27" t="s">
        <v>793</v>
      </c>
      <c r="K253" s="28" t="n">
        <f aca="false">IF($J253="","",IFERROR(DATE(IF(VALUE(LEFT($J253,FIND("월",$J253)-1))&gt;=9,기준정보!$C$7-1,기준정보!$C$7),VALUE(LEFT($J253,FIND("월",$J253)-1)),1+7*(VALUE(SUBSTITUTE(MID($J253,FIND("월",$J253)+1,5),"주",""))-1)),""))</f>
        <v>46468</v>
      </c>
      <c r="L253" s="28" t="n">
        <f aca="false">IF($K253="","",$K253-기준정보!$C$5)</f>
        <v>46454</v>
      </c>
      <c r="M253" s="28" t="n">
        <f aca="false">IF($L253="","",$L253-기준정보!$C$6)</f>
        <v>46364</v>
      </c>
      <c r="N253" s="29" t="n">
        <f aca="false">IF($M253="","",$M253-기준정보!$C$4)</f>
        <v>122</v>
      </c>
      <c r="O253" s="27" t="s">
        <v>70</v>
      </c>
      <c r="P253" s="27" t="s">
        <v>71</v>
      </c>
      <c r="Q253" s="30"/>
      <c r="R253" s="26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S253" s="25" t="s">
        <v>227</v>
      </c>
      <c r="T253" s="25" t="s">
        <v>73</v>
      </c>
      <c r="U253" s="31" t="n">
        <v>2000</v>
      </c>
      <c r="V253" s="26" t="s">
        <v>793</v>
      </c>
      <c r="W253" s="26" t="str">
        <f aca="false">IF($K253="","출고일 미정",IF($O253="X","작지 미발행",IF($O253="부분","작지 일부 미발행",IF(AND($Q253&lt;&gt;"",$Q253&gt;$M253),"소재입고 마감("&amp;TEXT($M253,"MM/DD")&amp;") 초과",IF($O253="","발행여부 확인 필요",IF($Q253="","소재 입고일정 확인 필요","정상"))))))</f>
        <v>소재 입고일정 확인 필요</v>
      </c>
      <c r="X253" s="24" t="str">
        <f aca="false">IF($K253="","",IF(OR(LEFT($W253,2)="작지",LEFT($W253,4)="소재입고"),IF(LEFT($G253,1)="S","★ 납기위험(S코드)","◆ 지연주의"),IF($W253="정상","✓ 정상","? 확인필요")))</f>
        <v>? 확인필요</v>
      </c>
      <c r="Y253" s="27"/>
      <c r="Z253" s="32"/>
    </row>
    <row r="254" customFormat="false" ht="15" hidden="false" customHeight="false" outlineLevel="0" collapsed="false">
      <c r="A254" s="24" t="n">
        <v>250</v>
      </c>
      <c r="B254" s="25" t="s">
        <v>187</v>
      </c>
      <c r="C254" s="25" t="s">
        <v>423</v>
      </c>
      <c r="D254" s="26" t="s">
        <v>815</v>
      </c>
      <c r="E254" s="25" t="s">
        <v>816</v>
      </c>
      <c r="F254" s="26" t="s">
        <v>817</v>
      </c>
      <c r="G254" s="24" t="str">
        <f aca="false">IF($D254="","",IF(MID($D254,5,1)="S","S(봄)",IF(MID($D254,5,1)="M","M(여름)",IF(MID($D254,5,1)="X","X(사계절)",MID($D254,5,1)))))</f>
        <v>M(여름)</v>
      </c>
      <c r="H254" s="25" t="s">
        <v>67</v>
      </c>
      <c r="I254" s="24" t="s">
        <v>404</v>
      </c>
      <c r="J254" s="27" t="s">
        <v>793</v>
      </c>
      <c r="K254" s="28" t="n">
        <f aca="false">IF($J254="","",IFERROR(DATE(IF(VALUE(LEFT($J254,FIND("월",$J254)-1))&gt;=9,기준정보!$C$7-1,기준정보!$C$7),VALUE(LEFT($J254,FIND("월",$J254)-1)),1+7*(VALUE(SUBSTITUTE(MID($J254,FIND("월",$J254)+1,5),"주",""))-1)),""))</f>
        <v>46468</v>
      </c>
      <c r="L254" s="28" t="n">
        <f aca="false">IF($K254="","",$K254-기준정보!$C$5)</f>
        <v>46454</v>
      </c>
      <c r="M254" s="28" t="n">
        <f aca="false">IF($L254="","",$L254-기준정보!$C$6)</f>
        <v>46364</v>
      </c>
      <c r="N254" s="29" t="n">
        <f aca="false">IF($M254="","",$M254-기준정보!$C$4)</f>
        <v>122</v>
      </c>
      <c r="O254" s="27" t="s">
        <v>70</v>
      </c>
      <c r="P254" s="27" t="s">
        <v>71</v>
      </c>
      <c r="Q254" s="30"/>
      <c r="R254" s="26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S254" s="25" t="s">
        <v>299</v>
      </c>
      <c r="T254" s="25" t="s">
        <v>73</v>
      </c>
      <c r="U254" s="31" t="n">
        <v>1600</v>
      </c>
      <c r="V254" s="26" t="s">
        <v>793</v>
      </c>
      <c r="W254" s="26" t="str">
        <f aca="false">IF($K254="","출고일 미정",IF($O254="X","작지 미발행",IF($O254="부분","작지 일부 미발행",IF(AND($Q254&lt;&gt;"",$Q254&gt;$M254),"소재입고 마감("&amp;TEXT($M254,"MM/DD")&amp;") 초과",IF($O254="","발행여부 확인 필요",IF($Q254="","소재 입고일정 확인 필요","정상"))))))</f>
        <v>소재 입고일정 확인 필요</v>
      </c>
      <c r="X254" s="24" t="str">
        <f aca="false">IF($K254="","",IF(OR(LEFT($W254,2)="작지",LEFT($W254,4)="소재입고"),IF(LEFT($G254,1)="S","★ 납기위험(S코드)","◆ 지연주의"),IF($W254="정상","✓ 정상","? 확인필요")))</f>
        <v>? 확인필요</v>
      </c>
      <c r="Y254" s="27"/>
      <c r="Z254" s="32"/>
    </row>
    <row r="255" customFormat="false" ht="15" hidden="false" customHeight="false" outlineLevel="0" collapsed="false">
      <c r="A255" s="24" t="n">
        <v>251</v>
      </c>
      <c r="B255" s="25" t="s">
        <v>187</v>
      </c>
      <c r="C255" s="25" t="s">
        <v>423</v>
      </c>
      <c r="D255" s="26" t="s">
        <v>818</v>
      </c>
      <c r="E255" s="25" t="s">
        <v>819</v>
      </c>
      <c r="F255" s="26" t="s">
        <v>820</v>
      </c>
      <c r="G255" s="24" t="str">
        <f aca="false">IF($D255="","",IF(MID($D255,5,1)="S","S(봄)",IF(MID($D255,5,1)="M","M(여름)",IF(MID($D255,5,1)="X","X(사계절)",MID($D255,5,1)))))</f>
        <v>M(여름)</v>
      </c>
      <c r="H255" s="25" t="s">
        <v>67</v>
      </c>
      <c r="I255" s="24" t="s">
        <v>404</v>
      </c>
      <c r="J255" s="27" t="s">
        <v>793</v>
      </c>
      <c r="K255" s="28" t="n">
        <f aca="false">IF($J255="","",IFERROR(DATE(IF(VALUE(LEFT($J255,FIND("월",$J255)-1))&gt;=9,기준정보!$C$7-1,기준정보!$C$7),VALUE(LEFT($J255,FIND("월",$J255)-1)),1+7*(VALUE(SUBSTITUTE(MID($J255,FIND("월",$J255)+1,5),"주",""))-1)),""))</f>
        <v>46468</v>
      </c>
      <c r="L255" s="28" t="n">
        <f aca="false">IF($K255="","",$K255-기준정보!$C$5)</f>
        <v>46454</v>
      </c>
      <c r="M255" s="28" t="n">
        <f aca="false">IF($L255="","",$L255-기준정보!$C$6)</f>
        <v>46364</v>
      </c>
      <c r="N255" s="29" t="n">
        <f aca="false">IF($M255="","",$M255-기준정보!$C$4)</f>
        <v>122</v>
      </c>
      <c r="O255" s="27" t="s">
        <v>70</v>
      </c>
      <c r="P255" s="27" t="s">
        <v>71</v>
      </c>
      <c r="Q255" s="30"/>
      <c r="R255" s="26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S255" s="26" t="s">
        <v>231</v>
      </c>
      <c r="T255" s="25" t="s">
        <v>78</v>
      </c>
      <c r="U255" s="31" t="n">
        <v>1200</v>
      </c>
      <c r="V255" s="26" t="s">
        <v>793</v>
      </c>
      <c r="W255" s="26" t="str">
        <f aca="false">IF($K255="","출고일 미정",IF($O255="X","작지 미발행",IF($O255="부분","작지 일부 미발행",IF(AND($Q255&lt;&gt;"",$Q255&gt;$M255),"소재입고 마감("&amp;TEXT($M255,"MM/DD")&amp;") 초과",IF($O255="","발행여부 확인 필요",IF($Q255="","소재 입고일정 확인 필요","정상"))))))</f>
        <v>소재 입고일정 확인 필요</v>
      </c>
      <c r="X255" s="24" t="str">
        <f aca="false">IF($K255="","",IF(OR(LEFT($W255,2)="작지",LEFT($W255,4)="소재입고"),IF(LEFT($G255,1)="S","★ 납기위험(S코드)","◆ 지연주의"),IF($W255="정상","✓ 정상","? 확인필요")))</f>
        <v>? 확인필요</v>
      </c>
      <c r="Y255" s="27"/>
      <c r="Z255" s="32"/>
    </row>
    <row r="256" customFormat="false" ht="15" hidden="false" customHeight="false" outlineLevel="0" collapsed="false">
      <c r="A256" s="24" t="n">
        <v>252</v>
      </c>
      <c r="B256" s="25" t="s">
        <v>192</v>
      </c>
      <c r="C256" s="25" t="s">
        <v>193</v>
      </c>
      <c r="D256" s="26" t="s">
        <v>821</v>
      </c>
      <c r="E256" s="25" t="s">
        <v>822</v>
      </c>
      <c r="F256" s="26" t="s">
        <v>823</v>
      </c>
      <c r="G256" s="24" t="str">
        <f aca="false">IF($D256="","",IF(MID($D256,5,1)="S","S(봄)",IF(MID($D256,5,1)="M","M(여름)",IF(MID($D256,5,1)="X","X(사계절)",MID($D256,5,1)))))</f>
        <v>M(여름)</v>
      </c>
      <c r="H256" s="25" t="s">
        <v>67</v>
      </c>
      <c r="I256" s="24"/>
      <c r="J256" s="27" t="s">
        <v>793</v>
      </c>
      <c r="K256" s="28" t="n">
        <f aca="false">IF($J256="","",IFERROR(DATE(IF(VALUE(LEFT($J256,FIND("월",$J256)-1))&gt;=9,기준정보!$C$7-1,기준정보!$C$7),VALUE(LEFT($J256,FIND("월",$J256)-1)),1+7*(VALUE(SUBSTITUTE(MID($J256,FIND("월",$J256)+1,5),"주",""))-1)),""))</f>
        <v>46468</v>
      </c>
      <c r="L256" s="28" t="n">
        <f aca="false">IF($K256="","",$K256-기준정보!$C$5)</f>
        <v>46454</v>
      </c>
      <c r="M256" s="28" t="n">
        <f aca="false">IF($L256="","",$L256-기준정보!$C$6)</f>
        <v>46364</v>
      </c>
      <c r="N256" s="29" t="n">
        <f aca="false">IF($M256="","",$M256-기준정보!$C$4)</f>
        <v>122</v>
      </c>
      <c r="O256" s="27" t="s">
        <v>70</v>
      </c>
      <c r="P256" s="27" t="s">
        <v>71</v>
      </c>
      <c r="Q256" s="30"/>
      <c r="R256" s="26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S256" s="26" t="s">
        <v>231</v>
      </c>
      <c r="T256" s="25" t="s">
        <v>78</v>
      </c>
      <c r="U256" s="31" t="n">
        <v>2500</v>
      </c>
      <c r="V256" s="26" t="s">
        <v>793</v>
      </c>
      <c r="W256" s="26" t="str">
        <f aca="false">IF($K256="","출고일 미정",IF($O256="X","작지 미발행",IF($O256="부분","작지 일부 미발행",IF(AND($Q256&lt;&gt;"",$Q256&gt;$M256),"소재입고 마감("&amp;TEXT($M256,"MM/DD")&amp;") 초과",IF($O256="","발행여부 확인 필요",IF($Q256="","소재 입고일정 확인 필요","정상"))))))</f>
        <v>소재 입고일정 확인 필요</v>
      </c>
      <c r="X256" s="24" t="str">
        <f aca="false">IF($K256="","",IF(OR(LEFT($W256,2)="작지",LEFT($W256,4)="소재입고"),IF(LEFT($G256,1)="S","★ 납기위험(S코드)","◆ 지연주의"),IF($W256="정상","✓ 정상","? 확인필요")))</f>
        <v>? 확인필요</v>
      </c>
      <c r="Y256" s="27"/>
      <c r="Z256" s="32"/>
    </row>
    <row r="257" customFormat="false" ht="15" hidden="false" customHeight="false" outlineLevel="0" collapsed="false">
      <c r="A257" s="24" t="n">
        <v>253</v>
      </c>
      <c r="B257" s="25" t="s">
        <v>187</v>
      </c>
      <c r="C257" s="25" t="s">
        <v>423</v>
      </c>
      <c r="D257" s="26" t="s">
        <v>824</v>
      </c>
      <c r="E257" s="25" t="s">
        <v>825</v>
      </c>
      <c r="F257" s="26" t="s">
        <v>826</v>
      </c>
      <c r="G257" s="24" t="str">
        <f aca="false">IF($D257="","",IF(MID($D257,5,1)="S","S(봄)",IF(MID($D257,5,1)="M","M(여름)",IF(MID($D257,5,1)="X","X(사계절)",MID($D257,5,1)))))</f>
        <v>M(여름)</v>
      </c>
      <c r="H257" s="25" t="s">
        <v>67</v>
      </c>
      <c r="I257" s="24" t="s">
        <v>404</v>
      </c>
      <c r="J257" s="27" t="s">
        <v>793</v>
      </c>
      <c r="K257" s="28" t="n">
        <f aca="false">IF($J257="","",IFERROR(DATE(IF(VALUE(LEFT($J257,FIND("월",$J257)-1))&gt;=9,기준정보!$C$7-1,기준정보!$C$7),VALUE(LEFT($J257,FIND("월",$J257)-1)),1+7*(VALUE(SUBSTITUTE(MID($J257,FIND("월",$J257)+1,5),"주",""))-1)),""))</f>
        <v>46468</v>
      </c>
      <c r="L257" s="28" t="n">
        <f aca="false">IF($K257="","",$K257-기준정보!$C$5)</f>
        <v>46454</v>
      </c>
      <c r="M257" s="28" t="n">
        <f aca="false">IF($L257="","",$L257-기준정보!$C$6)</f>
        <v>46364</v>
      </c>
      <c r="N257" s="29" t="n">
        <f aca="false">IF($M257="","",$M257-기준정보!$C$4)</f>
        <v>122</v>
      </c>
      <c r="O257" s="27" t="s">
        <v>70</v>
      </c>
      <c r="P257" s="27" t="s">
        <v>71</v>
      </c>
      <c r="Q257" s="30"/>
      <c r="R257" s="26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S257" s="25" t="s">
        <v>299</v>
      </c>
      <c r="T257" s="25" t="s">
        <v>73</v>
      </c>
      <c r="U257" s="31" t="n">
        <v>1200</v>
      </c>
      <c r="V257" s="26" t="s">
        <v>793</v>
      </c>
      <c r="W257" s="26" t="str">
        <f aca="false">IF($K257="","출고일 미정",IF($O257="X","작지 미발행",IF($O257="부분","작지 일부 미발행",IF(AND($Q257&lt;&gt;"",$Q257&gt;$M257),"소재입고 마감("&amp;TEXT($M257,"MM/DD")&amp;") 초과",IF($O257="","발행여부 확인 필요",IF($Q257="","소재 입고일정 확인 필요","정상"))))))</f>
        <v>소재 입고일정 확인 필요</v>
      </c>
      <c r="X257" s="24" t="str">
        <f aca="false">IF($K257="","",IF(OR(LEFT($W257,2)="작지",LEFT($W257,4)="소재입고"),IF(LEFT($G257,1)="S","★ 납기위험(S코드)","◆ 지연주의"),IF($W257="정상","✓ 정상","? 확인필요")))</f>
        <v>? 확인필요</v>
      </c>
      <c r="Y257" s="27"/>
      <c r="Z257" s="32"/>
    </row>
    <row r="258" customFormat="false" ht="15" hidden="false" customHeight="false" outlineLevel="0" collapsed="false">
      <c r="A258" s="24" t="n">
        <v>254</v>
      </c>
      <c r="B258" s="25" t="s">
        <v>187</v>
      </c>
      <c r="C258" s="25" t="s">
        <v>423</v>
      </c>
      <c r="D258" s="26" t="s">
        <v>827</v>
      </c>
      <c r="E258" s="25" t="s">
        <v>828</v>
      </c>
      <c r="F258" s="26" t="s">
        <v>829</v>
      </c>
      <c r="G258" s="24" t="str">
        <f aca="false">IF($D258="","",IF(MID($D258,5,1)="S","S(봄)",IF(MID($D258,5,1)="M","M(여름)",IF(MID($D258,5,1)="X","X(사계절)",MID($D258,5,1)))))</f>
        <v>M(여름)</v>
      </c>
      <c r="H258" s="26" t="s">
        <v>197</v>
      </c>
      <c r="I258" s="24" t="s">
        <v>404</v>
      </c>
      <c r="J258" s="27" t="s">
        <v>793</v>
      </c>
      <c r="K258" s="28" t="n">
        <f aca="false">IF($J258="","",IFERROR(DATE(IF(VALUE(LEFT($J258,FIND("월",$J258)-1))&gt;=9,기준정보!$C$7-1,기준정보!$C$7),VALUE(LEFT($J258,FIND("월",$J258)-1)),1+7*(VALUE(SUBSTITUTE(MID($J258,FIND("월",$J258)+1,5),"주",""))-1)),""))</f>
        <v>46468</v>
      </c>
      <c r="L258" s="28" t="n">
        <f aca="false">IF($K258="","",$K258-기준정보!$C$5)</f>
        <v>46454</v>
      </c>
      <c r="M258" s="28" t="n">
        <f aca="false">IF($L258="","",$L258-기준정보!$C$6)</f>
        <v>46364</v>
      </c>
      <c r="N258" s="29" t="n">
        <f aca="false">IF($M258="","",$M258-기준정보!$C$4)</f>
        <v>122</v>
      </c>
      <c r="O258" s="27" t="s">
        <v>70</v>
      </c>
      <c r="P258" s="27" t="s">
        <v>71</v>
      </c>
      <c r="Q258" s="30"/>
      <c r="R258" s="26" t="str">
        <f aca="false">IF($H258="","",IF(AND(ISNUMBER(SEARCH("CMT",$H258)),OR(ISNUMBER(SEARCH("완사입",$H258)),ISNUMBER(SEARCH("ODM",$H258)))),"본사/생산처 혼재",IF(ISNUMBER(SEARCH("CMT",$H258)),"본사(소재팀)","생산처")))</f>
        <v>본사(소재팀)</v>
      </c>
      <c r="S258" s="25" t="s">
        <v>72</v>
      </c>
      <c r="T258" s="25" t="s">
        <v>73</v>
      </c>
      <c r="U258" s="31" t="n">
        <v>2000</v>
      </c>
      <c r="V258" s="26" t="s">
        <v>793</v>
      </c>
      <c r="W258" s="26" t="str">
        <f aca="false">IF($K258="","출고일 미정",IF($O258="X","작지 미발행",IF($O258="부분","작지 일부 미발행",IF(AND($Q258&lt;&gt;"",$Q258&gt;$M258),"소재입고 마감("&amp;TEXT($M258,"MM/DD")&amp;") 초과",IF($O258="","발행여부 확인 필요",IF($Q258="","소재 입고일정 확인 필요","정상"))))))</f>
        <v>소재 입고일정 확인 필요</v>
      </c>
      <c r="X258" s="24" t="str">
        <f aca="false">IF($K258="","",IF(OR(LEFT($W258,2)="작지",LEFT($W258,4)="소재입고"),IF(LEFT($G258,1)="S","★ 납기위험(S코드)","◆ 지연주의"),IF($W258="정상","✓ 정상","? 확인필요")))</f>
        <v>? 확인필요</v>
      </c>
      <c r="Y258" s="27"/>
      <c r="Z258" s="32"/>
    </row>
    <row r="259" customFormat="false" ht="15" hidden="false" customHeight="false" outlineLevel="0" collapsed="false">
      <c r="A259" s="24" t="n">
        <v>255</v>
      </c>
      <c r="B259" s="25" t="s">
        <v>208</v>
      </c>
      <c r="C259" s="25" t="s">
        <v>188</v>
      </c>
      <c r="D259" s="26" t="s">
        <v>830</v>
      </c>
      <c r="E259" s="25" t="s">
        <v>831</v>
      </c>
      <c r="F259" s="26" t="s">
        <v>604</v>
      </c>
      <c r="G259" s="24" t="str">
        <f aca="false">IF($D259="","",IF(MID($D259,5,1)="S","S(봄)",IF(MID($D259,5,1)="M","M(여름)",IF(MID($D259,5,1)="X","X(사계절)",MID($D259,5,1)))))</f>
        <v>M(여름)</v>
      </c>
      <c r="H259" s="25" t="s">
        <v>67</v>
      </c>
      <c r="I259" s="24"/>
      <c r="J259" s="27" t="s">
        <v>793</v>
      </c>
      <c r="K259" s="28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46468</v>
      </c>
      <c r="L259" s="28" t="n">
        <f aca="false">IF($K259="","",$K259-기준정보!$C$5)</f>
        <v>46454</v>
      </c>
      <c r="M259" s="28" t="n">
        <f aca="false">IF($L259="","",$L259-기준정보!$C$6)</f>
        <v>46364</v>
      </c>
      <c r="N259" s="29" t="n">
        <f aca="false">IF($M259="","",$M259-기준정보!$C$4)</f>
        <v>122</v>
      </c>
      <c r="O259" s="27" t="s">
        <v>70</v>
      </c>
      <c r="P259" s="27" t="s">
        <v>71</v>
      </c>
      <c r="Q259" s="30"/>
      <c r="R259" s="26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S259" s="25" t="s">
        <v>246</v>
      </c>
      <c r="T259" s="25" t="s">
        <v>73</v>
      </c>
      <c r="U259" s="31" t="n">
        <v>16000</v>
      </c>
      <c r="V259" s="26"/>
      <c r="W259" s="26" t="str">
        <f aca="false">IF($K259="","출고일 미정",IF($O259="X","작지 미발행",IF($O259="부분","작지 일부 미발행",IF(AND($Q259&lt;&gt;"",$Q259&gt;$M259),"소재입고 마감("&amp;TEXT($M259,"MM/DD")&amp;") 초과",IF($O259="","발행여부 확인 필요",IF($Q259="","소재 입고일정 확인 필요","정상"))))))</f>
        <v>소재 입고일정 확인 필요</v>
      </c>
      <c r="X259" s="24" t="str">
        <f aca="false">IF($K259="","",IF(OR(LEFT($W259,2)="작지",LEFT($W259,4)="소재입고"),IF(LEFT($G259,1)="S","★ 납기위험(S코드)","◆ 지연주의"),IF($W259="정상","✓ 정상","? 확인필요")))</f>
        <v>? 확인필요</v>
      </c>
      <c r="Y259" s="27"/>
      <c r="Z259" s="32"/>
    </row>
    <row r="260" customFormat="false" ht="15" hidden="false" customHeight="false" outlineLevel="0" collapsed="false">
      <c r="A260" s="24" t="n">
        <v>256</v>
      </c>
      <c r="B260" s="25" t="s">
        <v>187</v>
      </c>
      <c r="C260" s="25" t="s">
        <v>423</v>
      </c>
      <c r="D260" s="26" t="s">
        <v>832</v>
      </c>
      <c r="E260" s="25" t="s">
        <v>833</v>
      </c>
      <c r="F260" s="26" t="s">
        <v>834</v>
      </c>
      <c r="G260" s="24" t="str">
        <f aca="false">IF($D260="","",IF(MID($D260,5,1)="S","S(봄)",IF(MID($D260,5,1)="M","M(여름)",IF(MID($D260,5,1)="X","X(사계절)",MID($D260,5,1)))))</f>
        <v>M(여름)</v>
      </c>
      <c r="H260" s="25" t="s">
        <v>67</v>
      </c>
      <c r="I260" s="24" t="s">
        <v>404</v>
      </c>
      <c r="J260" s="27" t="s">
        <v>793</v>
      </c>
      <c r="K260" s="28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8" t="n">
        <f aca="false">IF($K260="","",$K260-기준정보!$C$5)</f>
        <v>46454</v>
      </c>
      <c r="M260" s="28" t="n">
        <f aca="false">IF($L260="","",$L260-기준정보!$C$6)</f>
        <v>46364</v>
      </c>
      <c r="N260" s="29" t="n">
        <f aca="false">IF($M260="","",$M260-기준정보!$C$4)</f>
        <v>122</v>
      </c>
      <c r="O260" s="27" t="s">
        <v>70</v>
      </c>
      <c r="P260" s="27" t="s">
        <v>71</v>
      </c>
      <c r="Q260" s="30"/>
      <c r="R260" s="26" t="str">
        <f aca="false">IF($H260="","",IF(AND(ISNUMBER(SEARCH("CMT",$H260)),OR(ISNUMBER(SEARCH("완사입",$H260)),ISNUMBER(SEARCH("ODM",$H260)))),"본사/생산처 혼재",IF(ISNUMBER(SEARCH("CMT",$H260)),"본사(소재팀)","생산처")))</f>
        <v>생산처</v>
      </c>
      <c r="S260" s="25" t="s">
        <v>72</v>
      </c>
      <c r="T260" s="25" t="s">
        <v>73</v>
      </c>
      <c r="U260" s="31" t="n">
        <v>400</v>
      </c>
      <c r="V260" s="26" t="s">
        <v>793</v>
      </c>
      <c r="W260" s="26" t="str">
        <f aca="false">IF($K260="","출고일 미정",IF($O260="X","작지 미발행",IF($O260="부분","작지 일부 미발행",IF(AND($Q260&lt;&gt;"",$Q260&gt;$M260),"소재입고 마감("&amp;TEXT($M260,"MM/DD")&amp;") 초과",IF($O260="","발행여부 확인 필요",IF($Q260="","소재 입고일정 확인 필요","정상"))))))</f>
        <v>소재 입고일정 확인 필요</v>
      </c>
      <c r="X260" s="24" t="str">
        <f aca="false">IF($K260="","",IF(OR(LEFT($W260,2)="작지",LEFT($W260,4)="소재입고"),IF(LEFT($G260,1)="S","★ 납기위험(S코드)","◆ 지연주의"),IF($W260="정상","✓ 정상","? 확인필요")))</f>
        <v>? 확인필요</v>
      </c>
      <c r="Y260" s="27"/>
      <c r="Z260" s="32"/>
    </row>
    <row r="261" customFormat="false" ht="15" hidden="false" customHeight="false" outlineLevel="0" collapsed="false">
      <c r="A261" s="24" t="n">
        <v>257</v>
      </c>
      <c r="B261" s="25" t="s">
        <v>187</v>
      </c>
      <c r="C261" s="25" t="s">
        <v>423</v>
      </c>
      <c r="D261" s="26" t="s">
        <v>835</v>
      </c>
      <c r="E261" s="25" t="s">
        <v>836</v>
      </c>
      <c r="F261" s="26" t="s">
        <v>837</v>
      </c>
      <c r="G261" s="24" t="str">
        <f aca="false">IF($D261="","",IF(MID($D261,5,1)="S","S(봄)",IF(MID($D261,5,1)="M","M(여름)",IF(MID($D261,5,1)="X","X(사계절)",MID($D261,5,1)))))</f>
        <v>M(여름)</v>
      </c>
      <c r="H261" s="26" t="s">
        <v>197</v>
      </c>
      <c r="I261" s="24" t="s">
        <v>404</v>
      </c>
      <c r="J261" s="27" t="s">
        <v>793</v>
      </c>
      <c r="K261" s="28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8" t="n">
        <f aca="false">IF($K261="","",$K261-기준정보!$C$5)</f>
        <v>46454</v>
      </c>
      <c r="M261" s="28" t="n">
        <f aca="false">IF($L261="","",$L261-기준정보!$C$6)</f>
        <v>46364</v>
      </c>
      <c r="N261" s="29" t="n">
        <f aca="false">IF($M261="","",$M261-기준정보!$C$4)</f>
        <v>122</v>
      </c>
      <c r="O261" s="27" t="s">
        <v>70</v>
      </c>
      <c r="P261" s="27" t="s">
        <v>71</v>
      </c>
      <c r="Q261" s="30"/>
      <c r="R261" s="26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S261" s="25" t="s">
        <v>72</v>
      </c>
      <c r="T261" s="25" t="s">
        <v>73</v>
      </c>
      <c r="U261" s="31" t="n">
        <v>3500</v>
      </c>
      <c r="V261" s="26" t="s">
        <v>793</v>
      </c>
      <c r="W261" s="26" t="str">
        <f aca="false">IF($K261="","출고일 미정",IF($O261="X","작지 미발행",IF($O261="부분","작지 일부 미발행",IF(AND($Q261&lt;&gt;"",$Q261&gt;$M261),"소재입고 마감("&amp;TEXT($M261,"MM/DD")&amp;") 초과",IF($O261="","발행여부 확인 필요",IF($Q261="","소재 입고일정 확인 필요","정상"))))))</f>
        <v>소재 입고일정 확인 필요</v>
      </c>
      <c r="X261" s="24" t="str">
        <f aca="false">IF($K261="","",IF(OR(LEFT($W261,2)="작지",LEFT($W261,4)="소재입고"),IF(LEFT($G261,1)="S","★ 납기위험(S코드)","◆ 지연주의"),IF($W261="정상","✓ 정상","? 확인필요")))</f>
        <v>? 확인필요</v>
      </c>
      <c r="Y261" s="27"/>
      <c r="Z261" s="32"/>
    </row>
    <row r="262" customFormat="false" ht="15" hidden="false" customHeight="false" outlineLevel="0" collapsed="false">
      <c r="A262" s="24" t="n">
        <v>258</v>
      </c>
      <c r="B262" s="25" t="s">
        <v>187</v>
      </c>
      <c r="C262" s="25" t="s">
        <v>423</v>
      </c>
      <c r="D262" s="26" t="s">
        <v>838</v>
      </c>
      <c r="E262" s="25" t="s">
        <v>839</v>
      </c>
      <c r="F262" s="26" t="s">
        <v>840</v>
      </c>
      <c r="G262" s="24" t="str">
        <f aca="false">IF($D262="","",IF(MID($D262,5,1)="S","S(봄)",IF(MID($D262,5,1)="M","M(여름)",IF(MID($D262,5,1)="X","X(사계절)",MID($D262,5,1)))))</f>
        <v>M(여름)</v>
      </c>
      <c r="H262" s="26" t="s">
        <v>197</v>
      </c>
      <c r="I262" s="24" t="s">
        <v>404</v>
      </c>
      <c r="J262" s="27" t="s">
        <v>793</v>
      </c>
      <c r="K262" s="28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8" t="n">
        <f aca="false">IF($K262="","",$K262-기준정보!$C$5)</f>
        <v>46454</v>
      </c>
      <c r="M262" s="28" t="n">
        <f aca="false">IF($L262="","",$L262-기준정보!$C$6)</f>
        <v>46364</v>
      </c>
      <c r="N262" s="29" t="n">
        <f aca="false">IF($M262="","",$M262-기준정보!$C$4)</f>
        <v>122</v>
      </c>
      <c r="O262" s="27" t="s">
        <v>70</v>
      </c>
      <c r="P262" s="27" t="s">
        <v>71</v>
      </c>
      <c r="Q262" s="30"/>
      <c r="R262" s="26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S262" s="25" t="s">
        <v>72</v>
      </c>
      <c r="T262" s="25" t="s">
        <v>73</v>
      </c>
      <c r="U262" s="31" t="n">
        <v>2400</v>
      </c>
      <c r="V262" s="26" t="s">
        <v>793</v>
      </c>
      <c r="W262" s="26" t="str">
        <f aca="false">IF($K262="","출고일 미정",IF($O262="X","작지 미발행",IF($O262="부분","작지 일부 미발행",IF(AND($Q262&lt;&gt;"",$Q262&gt;$M262),"소재입고 마감("&amp;TEXT($M262,"MM/DD")&amp;") 초과",IF($O262="","발행여부 확인 필요",IF($Q262="","소재 입고일정 확인 필요","정상"))))))</f>
        <v>소재 입고일정 확인 필요</v>
      </c>
      <c r="X262" s="24" t="str">
        <f aca="false">IF($K262="","",IF(OR(LEFT($W262,2)="작지",LEFT($W262,4)="소재입고"),IF(LEFT($G262,1)="S","★ 납기위험(S코드)","◆ 지연주의"),IF($W262="정상","✓ 정상","? 확인필요")))</f>
        <v>? 확인필요</v>
      </c>
      <c r="Y262" s="27"/>
      <c r="Z262" s="32"/>
    </row>
    <row r="263" customFormat="false" ht="15" hidden="false" customHeight="false" outlineLevel="0" collapsed="false">
      <c r="A263" s="24" t="n">
        <v>259</v>
      </c>
      <c r="B263" s="25" t="s">
        <v>187</v>
      </c>
      <c r="C263" s="25" t="s">
        <v>423</v>
      </c>
      <c r="D263" s="26" t="s">
        <v>841</v>
      </c>
      <c r="E263" s="25" t="s">
        <v>842</v>
      </c>
      <c r="F263" s="26" t="s">
        <v>843</v>
      </c>
      <c r="G263" s="24" t="str">
        <f aca="false">IF($D263="","",IF(MID($D263,5,1)="S","S(봄)",IF(MID($D263,5,1)="M","M(여름)",IF(MID($D263,5,1)="X","X(사계절)",MID($D263,5,1)))))</f>
        <v>M(여름)</v>
      </c>
      <c r="H263" s="26" t="s">
        <v>197</v>
      </c>
      <c r="I263" s="24" t="s">
        <v>404</v>
      </c>
      <c r="J263" s="27" t="s">
        <v>793</v>
      </c>
      <c r="K263" s="28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8" t="n">
        <f aca="false">IF($K263="","",$K263-기준정보!$C$5)</f>
        <v>46454</v>
      </c>
      <c r="M263" s="28" t="n">
        <f aca="false">IF($L263="","",$L263-기준정보!$C$6)</f>
        <v>46364</v>
      </c>
      <c r="N263" s="29" t="n">
        <f aca="false">IF($M263="","",$M263-기준정보!$C$4)</f>
        <v>122</v>
      </c>
      <c r="O263" s="27" t="s">
        <v>70</v>
      </c>
      <c r="P263" s="27" t="s">
        <v>71</v>
      </c>
      <c r="Q263" s="30"/>
      <c r="R263" s="26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S263" s="25" t="s">
        <v>72</v>
      </c>
      <c r="T263" s="25" t="s">
        <v>73</v>
      </c>
      <c r="U263" s="31" t="n">
        <v>3500</v>
      </c>
      <c r="V263" s="26" t="s">
        <v>793</v>
      </c>
      <c r="W263" s="26" t="str">
        <f aca="false">IF($K263="","출고일 미정",IF($O263="X","작지 미발행",IF($O263="부분","작지 일부 미발행",IF(AND($Q263&lt;&gt;"",$Q263&gt;$M263),"소재입고 마감("&amp;TEXT($M263,"MM/DD")&amp;") 초과",IF($O263="","발행여부 확인 필요",IF($Q263="","소재 입고일정 확인 필요","정상"))))))</f>
        <v>소재 입고일정 확인 필요</v>
      </c>
      <c r="X263" s="24" t="str">
        <f aca="false">IF($K263="","",IF(OR(LEFT($W263,2)="작지",LEFT($W263,4)="소재입고"),IF(LEFT($G263,1)="S","★ 납기위험(S코드)","◆ 지연주의"),IF($W263="정상","✓ 정상","? 확인필요")))</f>
        <v>? 확인필요</v>
      </c>
      <c r="Y263" s="27"/>
      <c r="Z263" s="32"/>
    </row>
    <row r="264" customFormat="false" ht="15" hidden="false" customHeight="false" outlineLevel="0" collapsed="false">
      <c r="A264" s="24" t="n">
        <v>260</v>
      </c>
      <c r="B264" s="25" t="s">
        <v>212</v>
      </c>
      <c r="C264" s="25" t="s">
        <v>213</v>
      </c>
      <c r="D264" s="26" t="s">
        <v>844</v>
      </c>
      <c r="E264" s="25" t="s">
        <v>845</v>
      </c>
      <c r="F264" s="26" t="s">
        <v>846</v>
      </c>
      <c r="G264" s="24" t="str">
        <f aca="false">IF($D264="","",IF(MID($D264,5,1)="S","S(봄)",IF(MID($D264,5,1)="M","M(여름)",IF(MID($D264,5,1)="X","X(사계절)",MID($D264,5,1)))))</f>
        <v>M(여름)</v>
      </c>
      <c r="H264" s="26" t="s">
        <v>197</v>
      </c>
      <c r="I264" s="24" t="s">
        <v>404</v>
      </c>
      <c r="J264" s="27" t="s">
        <v>793</v>
      </c>
      <c r="K264" s="28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8" t="n">
        <f aca="false">IF($K264="","",$K264-기준정보!$C$5)</f>
        <v>46454</v>
      </c>
      <c r="M264" s="28" t="n">
        <f aca="false">IF($L264="","",$L264-기준정보!$C$6)</f>
        <v>46364</v>
      </c>
      <c r="N264" s="29" t="n">
        <f aca="false">IF($M264="","",$M264-기준정보!$C$4)</f>
        <v>122</v>
      </c>
      <c r="O264" s="27" t="s">
        <v>70</v>
      </c>
      <c r="P264" s="27" t="s">
        <v>71</v>
      </c>
      <c r="Q264" s="30"/>
      <c r="R264" s="26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S264" s="25" t="s">
        <v>198</v>
      </c>
      <c r="T264" s="25" t="s">
        <v>73</v>
      </c>
      <c r="U264" s="31" t="n">
        <v>3500</v>
      </c>
      <c r="V264" s="26" t="s">
        <v>793</v>
      </c>
      <c r="W264" s="26" t="str">
        <f aca="false">IF($K264="","출고일 미정",IF($O264="X","작지 미발행",IF($O264="부분","작지 일부 미발행",IF(AND($Q264&lt;&gt;"",$Q264&gt;$M264),"소재입고 마감("&amp;TEXT($M264,"MM/DD")&amp;") 초과",IF($O264="","발행여부 확인 필요",IF($Q264="","소재 입고일정 확인 필요","정상"))))))</f>
        <v>소재 입고일정 확인 필요</v>
      </c>
      <c r="X264" s="24" t="str">
        <f aca="false">IF($K264="","",IF(OR(LEFT($W264,2)="작지",LEFT($W264,4)="소재입고"),IF(LEFT($G264,1)="S","★ 납기위험(S코드)","◆ 지연주의"),IF($W264="정상","✓ 정상","? 확인필요")))</f>
        <v>? 확인필요</v>
      </c>
      <c r="Y264" s="27"/>
      <c r="Z264" s="32"/>
    </row>
    <row r="265" customFormat="false" ht="15" hidden="false" customHeight="false" outlineLevel="0" collapsed="false">
      <c r="A265" s="24" t="n">
        <v>261</v>
      </c>
      <c r="B265" s="25" t="s">
        <v>212</v>
      </c>
      <c r="C265" s="25" t="s">
        <v>213</v>
      </c>
      <c r="D265" s="26" t="s">
        <v>847</v>
      </c>
      <c r="E265" s="25" t="s">
        <v>848</v>
      </c>
      <c r="F265" s="26" t="s">
        <v>849</v>
      </c>
      <c r="G265" s="24" t="str">
        <f aca="false">IF($D265="","",IF(MID($D265,5,1)="S","S(봄)",IF(MID($D265,5,1)="M","M(여름)",IF(MID($D265,5,1)="X","X(사계절)",MID($D265,5,1)))))</f>
        <v>M(여름)</v>
      </c>
      <c r="H265" s="25" t="s">
        <v>67</v>
      </c>
      <c r="I265" s="24" t="s">
        <v>404</v>
      </c>
      <c r="J265" s="27" t="s">
        <v>793</v>
      </c>
      <c r="K265" s="28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8" t="n">
        <f aca="false">IF($K265="","",$K265-기준정보!$C$5)</f>
        <v>46454</v>
      </c>
      <c r="M265" s="28" t="n">
        <f aca="false">IF($L265="","",$L265-기준정보!$C$6)</f>
        <v>46364</v>
      </c>
      <c r="N265" s="29" t="n">
        <f aca="false">IF($M265="","",$M265-기준정보!$C$4)</f>
        <v>122</v>
      </c>
      <c r="O265" s="27" t="s">
        <v>70</v>
      </c>
      <c r="P265" s="27" t="s">
        <v>71</v>
      </c>
      <c r="Q265" s="30"/>
      <c r="R265" s="26" t="str">
        <f aca="false">IF($H265="","",IF(AND(ISNUMBER(SEARCH("CMT",$H265)),OR(ISNUMBER(SEARCH("완사입",$H265)),ISNUMBER(SEARCH("ODM",$H265)))),"본사/생산처 혼재",IF(ISNUMBER(SEARCH("CMT",$H265)),"본사(소재팀)","생산처")))</f>
        <v>생산처</v>
      </c>
      <c r="S265" s="26" t="s">
        <v>137</v>
      </c>
      <c r="T265" s="25" t="s">
        <v>73</v>
      </c>
      <c r="U265" s="31" t="n">
        <v>7000</v>
      </c>
      <c r="V265" s="26" t="s">
        <v>793</v>
      </c>
      <c r="W265" s="26" t="str">
        <f aca="false">IF($K265="","출고일 미정",IF($O265="X","작지 미발행",IF($O265="부분","작지 일부 미발행",IF(AND($Q265&lt;&gt;"",$Q265&gt;$M265),"소재입고 마감("&amp;TEXT($M265,"MM/DD")&amp;") 초과",IF($O265="","발행여부 확인 필요",IF($Q265="","소재 입고일정 확인 필요","정상"))))))</f>
        <v>소재 입고일정 확인 필요</v>
      </c>
      <c r="X265" s="24" t="str">
        <f aca="false">IF($K265="","",IF(OR(LEFT($W265,2)="작지",LEFT($W265,4)="소재입고"),IF(LEFT($G265,1)="S","★ 납기위험(S코드)","◆ 지연주의"),IF($W265="정상","✓ 정상","? 확인필요")))</f>
        <v>? 확인필요</v>
      </c>
      <c r="Y265" s="27"/>
      <c r="Z265" s="32"/>
    </row>
    <row r="266" customFormat="false" ht="15" hidden="false" customHeight="false" outlineLevel="0" collapsed="false">
      <c r="A266" s="24" t="n">
        <v>262</v>
      </c>
      <c r="B266" s="25" t="s">
        <v>212</v>
      </c>
      <c r="C266" s="25" t="s">
        <v>213</v>
      </c>
      <c r="D266" s="26" t="s">
        <v>850</v>
      </c>
      <c r="E266" s="25" t="s">
        <v>851</v>
      </c>
      <c r="F266" s="26" t="s">
        <v>226</v>
      </c>
      <c r="G266" s="24" t="str">
        <f aca="false">IF($D266="","",IF(MID($D266,5,1)="S","S(봄)",IF(MID($D266,5,1)="M","M(여름)",IF(MID($D266,5,1)="X","X(사계절)",MID($D266,5,1)))))</f>
        <v>M(여름)</v>
      </c>
      <c r="H266" s="25" t="s">
        <v>67</v>
      </c>
      <c r="I266" s="24" t="s">
        <v>404</v>
      </c>
      <c r="J266" s="27" t="s">
        <v>793</v>
      </c>
      <c r="K266" s="28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8" t="n">
        <f aca="false">IF($K266="","",$K266-기준정보!$C$5)</f>
        <v>46454</v>
      </c>
      <c r="M266" s="28" t="n">
        <f aca="false">IF($L266="","",$L266-기준정보!$C$6)</f>
        <v>46364</v>
      </c>
      <c r="N266" s="29" t="n">
        <f aca="false">IF($M266="","",$M266-기준정보!$C$4)</f>
        <v>122</v>
      </c>
      <c r="O266" s="27" t="s">
        <v>70</v>
      </c>
      <c r="P266" s="27" t="s">
        <v>71</v>
      </c>
      <c r="Q266" s="30"/>
      <c r="R266" s="26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S266" s="25" t="s">
        <v>227</v>
      </c>
      <c r="T266" s="25" t="s">
        <v>73</v>
      </c>
      <c r="U266" s="31" t="n">
        <v>3000</v>
      </c>
      <c r="V266" s="26"/>
      <c r="W266" s="26" t="str">
        <f aca="false">IF($K266="","출고일 미정",IF($O266="X","작지 미발행",IF($O266="부분","작지 일부 미발행",IF(AND($Q266&lt;&gt;"",$Q266&gt;$M266),"소재입고 마감("&amp;TEXT($M266,"MM/DD")&amp;") 초과",IF($O266="","발행여부 확인 필요",IF($Q266="","소재 입고일정 확인 필요","정상"))))))</f>
        <v>소재 입고일정 확인 필요</v>
      </c>
      <c r="X266" s="24" t="str">
        <f aca="false">IF($K266="","",IF(OR(LEFT($W266,2)="작지",LEFT($W266,4)="소재입고"),IF(LEFT($G266,1)="S","★ 납기위험(S코드)","◆ 지연주의"),IF($W266="정상","✓ 정상","? 확인필요")))</f>
        <v>? 확인필요</v>
      </c>
      <c r="Y266" s="27"/>
      <c r="Z266" s="32"/>
    </row>
    <row r="267" customFormat="false" ht="15" hidden="false" customHeight="false" outlineLevel="0" collapsed="false">
      <c r="A267" s="24" t="n">
        <v>263</v>
      </c>
      <c r="B267" s="25" t="s">
        <v>187</v>
      </c>
      <c r="C267" s="25" t="s">
        <v>423</v>
      </c>
      <c r="D267" s="26" t="s">
        <v>852</v>
      </c>
      <c r="E267" s="25" t="s">
        <v>853</v>
      </c>
      <c r="F267" s="26" t="s">
        <v>817</v>
      </c>
      <c r="G267" s="24" t="str">
        <f aca="false">IF($D267="","",IF(MID($D267,5,1)="S","S(봄)",IF(MID($D267,5,1)="M","M(여름)",IF(MID($D267,5,1)="X","X(사계절)",MID($D267,5,1)))))</f>
        <v>M(여름)</v>
      </c>
      <c r="H267" s="25" t="s">
        <v>67</v>
      </c>
      <c r="I267" s="24" t="s">
        <v>404</v>
      </c>
      <c r="J267" s="27" t="s">
        <v>793</v>
      </c>
      <c r="K267" s="28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8" t="n">
        <f aca="false">IF($K267="","",$K267-기준정보!$C$5)</f>
        <v>46454</v>
      </c>
      <c r="M267" s="28" t="n">
        <f aca="false">IF($L267="","",$L267-기준정보!$C$6)</f>
        <v>46364</v>
      </c>
      <c r="N267" s="29" t="n">
        <f aca="false">IF($M267="","",$M267-기준정보!$C$4)</f>
        <v>122</v>
      </c>
      <c r="O267" s="27" t="s">
        <v>70</v>
      </c>
      <c r="P267" s="27" t="s">
        <v>71</v>
      </c>
      <c r="Q267" s="30"/>
      <c r="R267" s="26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S267" s="25" t="s">
        <v>299</v>
      </c>
      <c r="T267" s="25" t="s">
        <v>73</v>
      </c>
      <c r="U267" s="31" t="n">
        <v>1600</v>
      </c>
      <c r="V267" s="26" t="s">
        <v>793</v>
      </c>
      <c r="W267" s="26" t="str">
        <f aca="false">IF($K267="","출고일 미정",IF($O267="X","작지 미발행",IF($O267="부분","작지 일부 미발행",IF(AND($Q267&lt;&gt;"",$Q267&gt;$M267),"소재입고 마감("&amp;TEXT($M267,"MM/DD")&amp;") 초과",IF($O267="","발행여부 확인 필요",IF($Q267="","소재 입고일정 확인 필요","정상"))))))</f>
        <v>소재 입고일정 확인 필요</v>
      </c>
      <c r="X267" s="24" t="str">
        <f aca="false">IF($K267="","",IF(OR(LEFT($W267,2)="작지",LEFT($W267,4)="소재입고"),IF(LEFT($G267,1)="S","★ 납기위험(S코드)","◆ 지연주의"),IF($W267="정상","✓ 정상","? 확인필요")))</f>
        <v>? 확인필요</v>
      </c>
      <c r="Y267" s="27"/>
      <c r="Z267" s="32"/>
    </row>
    <row r="268" customFormat="false" ht="15" hidden="false" customHeight="false" outlineLevel="0" collapsed="false">
      <c r="A268" s="24" t="n">
        <v>264</v>
      </c>
      <c r="B268" s="25" t="s">
        <v>187</v>
      </c>
      <c r="C268" s="25" t="s">
        <v>423</v>
      </c>
      <c r="D268" s="26" t="s">
        <v>854</v>
      </c>
      <c r="E268" s="25" t="s">
        <v>855</v>
      </c>
      <c r="F268" s="26" t="s">
        <v>856</v>
      </c>
      <c r="G268" s="24" t="str">
        <f aca="false">IF($D268="","",IF(MID($D268,5,1)="S","S(봄)",IF(MID($D268,5,1)="M","M(여름)",IF(MID($D268,5,1)="X","X(사계절)",MID($D268,5,1)))))</f>
        <v>M(여름)</v>
      </c>
      <c r="H268" s="25" t="s">
        <v>67</v>
      </c>
      <c r="I268" s="24" t="s">
        <v>404</v>
      </c>
      <c r="J268" s="27" t="s">
        <v>793</v>
      </c>
      <c r="K268" s="28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8" t="n">
        <f aca="false">IF($K268="","",$K268-기준정보!$C$5)</f>
        <v>46454</v>
      </c>
      <c r="M268" s="28" t="n">
        <f aca="false">IF($L268="","",$L268-기준정보!$C$6)</f>
        <v>46364</v>
      </c>
      <c r="N268" s="29" t="n">
        <f aca="false">IF($M268="","",$M268-기준정보!$C$4)</f>
        <v>122</v>
      </c>
      <c r="O268" s="27" t="s">
        <v>70</v>
      </c>
      <c r="P268" s="27" t="s">
        <v>71</v>
      </c>
      <c r="Q268" s="30"/>
      <c r="R268" s="26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S268" s="26" t="s">
        <v>231</v>
      </c>
      <c r="T268" s="25" t="s">
        <v>78</v>
      </c>
      <c r="U268" s="31" t="n">
        <v>1200</v>
      </c>
      <c r="V268" s="26" t="s">
        <v>793</v>
      </c>
      <c r="W268" s="26" t="str">
        <f aca="false">IF($K268="","출고일 미정",IF($O268="X","작지 미발행",IF($O268="부분","작지 일부 미발행",IF(AND($Q268&lt;&gt;"",$Q268&gt;$M268),"소재입고 마감("&amp;TEXT($M268,"MM/DD")&amp;") 초과",IF($O268="","발행여부 확인 필요",IF($Q268="","소재 입고일정 확인 필요","정상"))))))</f>
        <v>소재 입고일정 확인 필요</v>
      </c>
      <c r="X268" s="24" t="str">
        <f aca="false">IF($K268="","",IF(OR(LEFT($W268,2)="작지",LEFT($W268,4)="소재입고"),IF(LEFT($G268,1)="S","★ 납기위험(S코드)","◆ 지연주의"),IF($W268="정상","✓ 정상","? 확인필요")))</f>
        <v>? 확인필요</v>
      </c>
      <c r="Y268" s="27"/>
      <c r="Z268" s="32"/>
    </row>
    <row r="269" customFormat="false" ht="15" hidden="false" customHeight="false" outlineLevel="0" collapsed="false">
      <c r="A269" s="24" t="n">
        <v>265</v>
      </c>
      <c r="B269" s="25" t="s">
        <v>208</v>
      </c>
      <c r="C269" s="25" t="s">
        <v>213</v>
      </c>
      <c r="D269" s="26" t="s">
        <v>857</v>
      </c>
      <c r="E269" s="25" t="s">
        <v>542</v>
      </c>
      <c r="F269" s="26" t="s">
        <v>858</v>
      </c>
      <c r="G269" s="24" t="str">
        <f aca="false">IF($D269="","",IF(MID($D269,5,1)="S","S(봄)",IF(MID($D269,5,1)="M","M(여름)",IF(MID($D269,5,1)="X","X(사계절)",MID($D269,5,1)))))</f>
        <v>M(여름)</v>
      </c>
      <c r="H269" s="25" t="s">
        <v>67</v>
      </c>
      <c r="I269" s="24"/>
      <c r="J269" s="27" t="s">
        <v>793</v>
      </c>
      <c r="K269" s="28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8" t="n">
        <f aca="false">IF($K269="","",$K269-기준정보!$C$5)</f>
        <v>46454</v>
      </c>
      <c r="M269" s="28" t="n">
        <f aca="false">IF($L269="","",$L269-기준정보!$C$6)</f>
        <v>46364</v>
      </c>
      <c r="N269" s="29" t="n">
        <f aca="false">IF($M269="","",$M269-기준정보!$C$4)</f>
        <v>122</v>
      </c>
      <c r="O269" s="27" t="s">
        <v>70</v>
      </c>
      <c r="P269" s="27" t="s">
        <v>71</v>
      </c>
      <c r="Q269" s="30"/>
      <c r="R269" s="26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S269" s="26" t="s">
        <v>231</v>
      </c>
      <c r="T269" s="25" t="s">
        <v>78</v>
      </c>
      <c r="U269" s="31" t="n">
        <v>35000</v>
      </c>
      <c r="V269" s="26" t="s">
        <v>793</v>
      </c>
      <c r="W269" s="26" t="str">
        <f aca="false">IF($K269="","출고일 미정",IF($O269="X","작지 미발행",IF($O269="부분","작지 일부 미발행",IF(AND($Q269&lt;&gt;"",$Q269&gt;$M269),"소재입고 마감("&amp;TEXT($M269,"MM/DD")&amp;") 초과",IF($O269="","발행여부 확인 필요",IF($Q269="","소재 입고일정 확인 필요","정상"))))))</f>
        <v>소재 입고일정 확인 필요</v>
      </c>
      <c r="X269" s="24" t="str">
        <f aca="false">IF($K269="","",IF(OR(LEFT($W269,2)="작지",LEFT($W269,4)="소재입고"),IF(LEFT($G269,1)="S","★ 납기위험(S코드)","◆ 지연주의"),IF($W269="정상","✓ 정상","? 확인필요")))</f>
        <v>? 확인필요</v>
      </c>
      <c r="Y269" s="27"/>
      <c r="Z269" s="32"/>
    </row>
    <row r="270" customFormat="false" ht="15" hidden="false" customHeight="false" outlineLevel="0" collapsed="false">
      <c r="A270" s="24" t="n">
        <v>266</v>
      </c>
      <c r="B270" s="25" t="s">
        <v>208</v>
      </c>
      <c r="C270" s="25" t="s">
        <v>193</v>
      </c>
      <c r="D270" s="26" t="s">
        <v>859</v>
      </c>
      <c r="E270" s="25" t="s">
        <v>860</v>
      </c>
      <c r="F270" s="26" t="s">
        <v>861</v>
      </c>
      <c r="G270" s="24" t="str">
        <f aca="false">IF($D270="","",IF(MID($D270,5,1)="S","S(봄)",IF(MID($D270,5,1)="M","M(여름)",IF(MID($D270,5,1)="X","X(사계절)",MID($D270,5,1)))))</f>
        <v>M(여름)</v>
      </c>
      <c r="H270" s="25" t="s">
        <v>67</v>
      </c>
      <c r="I270" s="24"/>
      <c r="J270" s="27" t="s">
        <v>793</v>
      </c>
      <c r="K270" s="28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8" t="n">
        <f aca="false">IF($K270="","",$K270-기준정보!$C$5)</f>
        <v>46454</v>
      </c>
      <c r="M270" s="28" t="n">
        <f aca="false">IF($L270="","",$L270-기준정보!$C$6)</f>
        <v>46364</v>
      </c>
      <c r="N270" s="29" t="n">
        <f aca="false">IF($M270="","",$M270-기준정보!$C$4)</f>
        <v>122</v>
      </c>
      <c r="O270" s="27" t="s">
        <v>70</v>
      </c>
      <c r="P270" s="27" t="s">
        <v>71</v>
      </c>
      <c r="Q270" s="30"/>
      <c r="R270" s="26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S270" s="26" t="s">
        <v>231</v>
      </c>
      <c r="T270" s="25" t="s">
        <v>78</v>
      </c>
      <c r="U270" s="31" t="n">
        <v>3500</v>
      </c>
      <c r="V270" s="26" t="s">
        <v>793</v>
      </c>
      <c r="W270" s="26" t="str">
        <f aca="false">IF($K270="","출고일 미정",IF($O270="X","작지 미발행",IF($O270="부분","작지 일부 미발행",IF(AND($Q270&lt;&gt;"",$Q270&gt;$M270),"소재입고 마감("&amp;TEXT($M270,"MM/DD")&amp;") 초과",IF($O270="","발행여부 확인 필요",IF($Q270="","소재 입고일정 확인 필요","정상"))))))</f>
        <v>소재 입고일정 확인 필요</v>
      </c>
      <c r="X270" s="24" t="str">
        <f aca="false">IF($K270="","",IF(OR(LEFT($W270,2)="작지",LEFT($W270,4)="소재입고"),IF(LEFT($G270,1)="S","★ 납기위험(S코드)","◆ 지연주의"),IF($W270="정상","✓ 정상","? 확인필요")))</f>
        <v>? 확인필요</v>
      </c>
      <c r="Y270" s="27"/>
      <c r="Z270" s="32"/>
    </row>
    <row r="271" customFormat="false" ht="15" hidden="false" customHeight="false" outlineLevel="0" collapsed="false">
      <c r="A271" s="24" t="n">
        <v>267</v>
      </c>
      <c r="B271" s="25" t="s">
        <v>208</v>
      </c>
      <c r="C271" s="25" t="s">
        <v>213</v>
      </c>
      <c r="D271" s="26" t="s">
        <v>862</v>
      </c>
      <c r="E271" s="25" t="s">
        <v>863</v>
      </c>
      <c r="F271" s="26" t="s">
        <v>657</v>
      </c>
      <c r="G271" s="24" t="str">
        <f aca="false">IF($D271="","",IF(MID($D271,5,1)="S","S(봄)",IF(MID($D271,5,1)="M","M(여름)",IF(MID($D271,5,1)="X","X(사계절)",MID($D271,5,1)))))</f>
        <v>M(여름)</v>
      </c>
      <c r="H271" s="25" t="s">
        <v>67</v>
      </c>
      <c r="I271" s="24"/>
      <c r="J271" s="27" t="s">
        <v>793</v>
      </c>
      <c r="K271" s="28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8" t="n">
        <f aca="false">IF($K271="","",$K271-기준정보!$C$5)</f>
        <v>46454</v>
      </c>
      <c r="M271" s="28" t="n">
        <f aca="false">IF($L271="","",$L271-기준정보!$C$6)</f>
        <v>46364</v>
      </c>
      <c r="N271" s="29" t="n">
        <f aca="false">IF($M271="","",$M271-기준정보!$C$4)</f>
        <v>122</v>
      </c>
      <c r="O271" s="27" t="s">
        <v>70</v>
      </c>
      <c r="P271" s="27" t="s">
        <v>71</v>
      </c>
      <c r="Q271" s="30"/>
      <c r="R271" s="26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S271" s="26" t="s">
        <v>231</v>
      </c>
      <c r="T271" s="25" t="s">
        <v>78</v>
      </c>
      <c r="U271" s="31" t="n">
        <v>3000</v>
      </c>
      <c r="V271" s="26" t="s">
        <v>793</v>
      </c>
      <c r="W271" s="26" t="str">
        <f aca="false">IF($K271="","출고일 미정",IF($O271="X","작지 미발행",IF($O271="부분","작지 일부 미발행",IF(AND($Q271&lt;&gt;"",$Q271&gt;$M271),"소재입고 마감("&amp;TEXT($M271,"MM/DD")&amp;") 초과",IF($O271="","발행여부 확인 필요",IF($Q271="","소재 입고일정 확인 필요","정상"))))))</f>
        <v>소재 입고일정 확인 필요</v>
      </c>
      <c r="X271" s="24" t="str">
        <f aca="false">IF($K271="","",IF(OR(LEFT($W271,2)="작지",LEFT($W271,4)="소재입고"),IF(LEFT($G271,1)="S","★ 납기위험(S코드)","◆ 지연주의"),IF($W271="정상","✓ 정상","? 확인필요")))</f>
        <v>? 확인필요</v>
      </c>
      <c r="Y271" s="27"/>
      <c r="Z271" s="32"/>
    </row>
    <row r="272" customFormat="false" ht="15" hidden="false" customHeight="false" outlineLevel="0" collapsed="false">
      <c r="A272" s="24" t="n">
        <v>268</v>
      </c>
      <c r="B272" s="25" t="s">
        <v>208</v>
      </c>
      <c r="C272" s="25" t="s">
        <v>193</v>
      </c>
      <c r="D272" s="26" t="s">
        <v>864</v>
      </c>
      <c r="E272" s="25" t="s">
        <v>546</v>
      </c>
      <c r="F272" s="26" t="s">
        <v>544</v>
      </c>
      <c r="G272" s="24" t="str">
        <f aca="false">IF($D272="","",IF(MID($D272,5,1)="S","S(봄)",IF(MID($D272,5,1)="M","M(여름)",IF(MID($D272,5,1)="X","X(사계절)",MID($D272,5,1)))))</f>
        <v>M(여름)</v>
      </c>
      <c r="H272" s="25" t="s">
        <v>67</v>
      </c>
      <c r="I272" s="24"/>
      <c r="J272" s="27" t="s">
        <v>793</v>
      </c>
      <c r="K272" s="28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8" t="n">
        <f aca="false">IF($K272="","",$K272-기준정보!$C$5)</f>
        <v>46454</v>
      </c>
      <c r="M272" s="28" t="n">
        <f aca="false">IF($L272="","",$L272-기준정보!$C$6)</f>
        <v>46364</v>
      </c>
      <c r="N272" s="29" t="n">
        <f aca="false">IF($M272="","",$M272-기준정보!$C$4)</f>
        <v>122</v>
      </c>
      <c r="O272" s="27" t="s">
        <v>70</v>
      </c>
      <c r="P272" s="27" t="s">
        <v>71</v>
      </c>
      <c r="Q272" s="30"/>
      <c r="R272" s="26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S272" s="26" t="s">
        <v>231</v>
      </c>
      <c r="T272" s="25" t="s">
        <v>78</v>
      </c>
      <c r="U272" s="31" t="n">
        <v>2000</v>
      </c>
      <c r="V272" s="26" t="s">
        <v>793</v>
      </c>
      <c r="W272" s="26" t="str">
        <f aca="false">IF($K272="","출고일 미정",IF($O272="X","작지 미발행",IF($O272="부분","작지 일부 미발행",IF(AND($Q272&lt;&gt;"",$Q272&gt;$M272),"소재입고 마감("&amp;TEXT($M272,"MM/DD")&amp;") 초과",IF($O272="","발행여부 확인 필요",IF($Q272="","소재 입고일정 확인 필요","정상"))))))</f>
        <v>소재 입고일정 확인 필요</v>
      </c>
      <c r="X272" s="24" t="str">
        <f aca="false">IF($K272="","",IF(OR(LEFT($W272,2)="작지",LEFT($W272,4)="소재입고"),IF(LEFT($G272,1)="S","★ 납기위험(S코드)","◆ 지연주의"),IF($W272="정상","✓ 정상","? 확인필요")))</f>
        <v>? 확인필요</v>
      </c>
      <c r="Y272" s="27"/>
      <c r="Z272" s="32"/>
    </row>
    <row r="273" customFormat="false" ht="15" hidden="false" customHeight="false" outlineLevel="0" collapsed="false">
      <c r="A273" s="24" t="n">
        <v>269</v>
      </c>
      <c r="B273" s="25" t="s">
        <v>208</v>
      </c>
      <c r="C273" s="25" t="s">
        <v>213</v>
      </c>
      <c r="D273" s="26" t="s">
        <v>865</v>
      </c>
      <c r="E273" s="25" t="s">
        <v>866</v>
      </c>
      <c r="F273" s="26" t="s">
        <v>867</v>
      </c>
      <c r="G273" s="24" t="str">
        <f aca="false">IF($D273="","",IF(MID($D273,5,1)="S","S(봄)",IF(MID($D273,5,1)="M","M(여름)",IF(MID($D273,5,1)="X","X(사계절)",MID($D273,5,1)))))</f>
        <v>M(여름)</v>
      </c>
      <c r="H273" s="25" t="s">
        <v>67</v>
      </c>
      <c r="I273" s="24"/>
      <c r="J273" s="27" t="s">
        <v>793</v>
      </c>
      <c r="K273" s="28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8" t="n">
        <f aca="false">IF($K273="","",$K273-기준정보!$C$5)</f>
        <v>46454</v>
      </c>
      <c r="M273" s="28" t="n">
        <f aca="false">IF($L273="","",$L273-기준정보!$C$6)</f>
        <v>46364</v>
      </c>
      <c r="N273" s="29" t="n">
        <f aca="false">IF($M273="","",$M273-기준정보!$C$4)</f>
        <v>122</v>
      </c>
      <c r="O273" s="27" t="s">
        <v>70</v>
      </c>
      <c r="P273" s="27" t="s">
        <v>71</v>
      </c>
      <c r="Q273" s="30"/>
      <c r="R273" s="26" t="str">
        <f aca="false">IF($H273="","",IF(AND(ISNUMBER(SEARCH("CMT",$H273)),OR(ISNUMBER(SEARCH("완사입",$H273)),ISNUMBER(SEARCH("ODM",$H273)))),"본사/생산처 혼재",IF(ISNUMBER(SEARCH("CMT",$H273)),"본사(소재팀)","생산처")))</f>
        <v>생산처</v>
      </c>
      <c r="S273" s="25" t="s">
        <v>299</v>
      </c>
      <c r="T273" s="25" t="s">
        <v>73</v>
      </c>
      <c r="U273" s="31" t="n">
        <v>2800</v>
      </c>
      <c r="V273" s="26" t="s">
        <v>479</v>
      </c>
      <c r="W273" s="26" t="str">
        <f aca="false">IF($K273="","출고일 미정",IF($O273="X","작지 미발행",IF($O273="부분","작지 일부 미발행",IF(AND($Q273&lt;&gt;"",$Q273&gt;$M273),"소재입고 마감("&amp;TEXT($M273,"MM/DD")&amp;") 초과",IF($O273="","발행여부 확인 필요",IF($Q273="","소재 입고일정 확인 필요","정상"))))))</f>
        <v>소재 입고일정 확인 필요</v>
      </c>
      <c r="X273" s="24" t="str">
        <f aca="false">IF($K273="","",IF(OR(LEFT($W273,2)="작지",LEFT($W273,4)="소재입고"),IF(LEFT($G273,1)="S","★ 납기위험(S코드)","◆ 지연주의"),IF($W273="정상","✓ 정상","? 확인필요")))</f>
        <v>? 확인필요</v>
      </c>
      <c r="Y273" s="27"/>
      <c r="Z273" s="32"/>
    </row>
    <row r="274" customFormat="false" ht="15" hidden="false" customHeight="false" outlineLevel="0" collapsed="false">
      <c r="A274" s="24" t="n">
        <v>270</v>
      </c>
      <c r="B274" s="25" t="s">
        <v>208</v>
      </c>
      <c r="C274" s="25" t="s">
        <v>213</v>
      </c>
      <c r="D274" s="26" t="s">
        <v>868</v>
      </c>
      <c r="E274" s="25" t="s">
        <v>869</v>
      </c>
      <c r="F274" s="26" t="s">
        <v>657</v>
      </c>
      <c r="G274" s="24" t="str">
        <f aca="false">IF($D274="","",IF(MID($D274,5,1)="S","S(봄)",IF(MID($D274,5,1)="M","M(여름)",IF(MID($D274,5,1)="X","X(사계절)",MID($D274,5,1)))))</f>
        <v>M(여름)</v>
      </c>
      <c r="H274" s="25" t="s">
        <v>67</v>
      </c>
      <c r="I274" s="24"/>
      <c r="J274" s="27" t="s">
        <v>793</v>
      </c>
      <c r="K274" s="28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8" t="n">
        <f aca="false">IF($K274="","",$K274-기준정보!$C$5)</f>
        <v>46454</v>
      </c>
      <c r="M274" s="28" t="n">
        <f aca="false">IF($L274="","",$L274-기준정보!$C$6)</f>
        <v>46364</v>
      </c>
      <c r="N274" s="29" t="n">
        <f aca="false">IF($M274="","",$M274-기준정보!$C$4)</f>
        <v>122</v>
      </c>
      <c r="O274" s="27" t="s">
        <v>70</v>
      </c>
      <c r="P274" s="27" t="s">
        <v>71</v>
      </c>
      <c r="Q274" s="30"/>
      <c r="R274" s="26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S274" s="25" t="s">
        <v>299</v>
      </c>
      <c r="T274" s="25" t="s">
        <v>73</v>
      </c>
      <c r="U274" s="31" t="n">
        <v>14000</v>
      </c>
      <c r="V274" s="26"/>
      <c r="W274" s="26" t="str">
        <f aca="false">IF($K274="","출고일 미정",IF($O274="X","작지 미발행",IF($O274="부분","작지 일부 미발행",IF(AND($Q274&lt;&gt;"",$Q274&gt;$M274),"소재입고 마감("&amp;TEXT($M274,"MM/DD")&amp;") 초과",IF($O274="","발행여부 확인 필요",IF($Q274="","소재 입고일정 확인 필요","정상"))))))</f>
        <v>소재 입고일정 확인 필요</v>
      </c>
      <c r="X274" s="24" t="str">
        <f aca="false">IF($K274="","",IF(OR(LEFT($W274,2)="작지",LEFT($W274,4)="소재입고"),IF(LEFT($G274,1)="S","★ 납기위험(S코드)","◆ 지연주의"),IF($W274="정상","✓ 정상","? 확인필요")))</f>
        <v>? 확인필요</v>
      </c>
      <c r="Y274" s="27"/>
      <c r="Z274" s="32"/>
    </row>
    <row r="275" customFormat="false" ht="15" hidden="false" customHeight="false" outlineLevel="0" collapsed="false">
      <c r="A275" s="24" t="n">
        <v>271</v>
      </c>
      <c r="B275" s="25" t="s">
        <v>208</v>
      </c>
      <c r="C275" s="25" t="s">
        <v>213</v>
      </c>
      <c r="D275" s="26" t="s">
        <v>870</v>
      </c>
      <c r="E275" s="25" t="s">
        <v>871</v>
      </c>
      <c r="F275" s="26" t="s">
        <v>657</v>
      </c>
      <c r="G275" s="24" t="str">
        <f aca="false">IF($D275="","",IF(MID($D275,5,1)="S","S(봄)",IF(MID($D275,5,1)="M","M(여름)",IF(MID($D275,5,1)="X","X(사계절)",MID($D275,5,1)))))</f>
        <v>M(여름)</v>
      </c>
      <c r="H275" s="25" t="s">
        <v>67</v>
      </c>
      <c r="I275" s="24"/>
      <c r="J275" s="27" t="s">
        <v>793</v>
      </c>
      <c r="K275" s="28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8" t="n">
        <f aca="false">IF($K275="","",$K275-기준정보!$C$5)</f>
        <v>46454</v>
      </c>
      <c r="M275" s="28" t="n">
        <f aca="false">IF($L275="","",$L275-기준정보!$C$6)</f>
        <v>46364</v>
      </c>
      <c r="N275" s="29" t="n">
        <f aca="false">IF($M275="","",$M275-기준정보!$C$4)</f>
        <v>122</v>
      </c>
      <c r="O275" s="27" t="s">
        <v>70</v>
      </c>
      <c r="P275" s="27" t="s">
        <v>71</v>
      </c>
      <c r="Q275" s="30"/>
      <c r="R275" s="26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S275" s="25" t="s">
        <v>94</v>
      </c>
      <c r="T275" s="25" t="s">
        <v>73</v>
      </c>
      <c r="U275" s="31" t="n">
        <v>4000</v>
      </c>
      <c r="V275" s="26"/>
      <c r="W275" s="26" t="str">
        <f aca="false">IF($K275="","출고일 미정",IF($O275="X","작지 미발행",IF($O275="부분","작지 일부 미발행",IF(AND($Q275&lt;&gt;"",$Q275&gt;$M275),"소재입고 마감("&amp;TEXT($M275,"MM/DD")&amp;") 초과",IF($O275="","발행여부 확인 필요",IF($Q275="","소재 입고일정 확인 필요","정상"))))))</f>
        <v>소재 입고일정 확인 필요</v>
      </c>
      <c r="X275" s="24" t="str">
        <f aca="false">IF($K275="","",IF(OR(LEFT($W275,2)="작지",LEFT($W275,4)="소재입고"),IF(LEFT($G275,1)="S","★ 납기위험(S코드)","◆ 지연주의"),IF($W275="정상","✓ 정상","? 확인필요")))</f>
        <v>? 확인필요</v>
      </c>
      <c r="Y275" s="27"/>
      <c r="Z275" s="32"/>
    </row>
    <row r="276" customFormat="false" ht="15" hidden="false" customHeight="false" outlineLevel="0" collapsed="false">
      <c r="A276" s="24" t="n">
        <v>272</v>
      </c>
      <c r="B276" s="25" t="s">
        <v>208</v>
      </c>
      <c r="C276" s="25" t="s">
        <v>213</v>
      </c>
      <c r="D276" s="26" t="s">
        <v>872</v>
      </c>
      <c r="E276" s="25" t="s">
        <v>873</v>
      </c>
      <c r="F276" s="26" t="s">
        <v>226</v>
      </c>
      <c r="G276" s="24" t="str">
        <f aca="false">IF($D276="","",IF(MID($D276,5,1)="S","S(봄)",IF(MID($D276,5,1)="M","M(여름)",IF(MID($D276,5,1)="X","X(사계절)",MID($D276,5,1)))))</f>
        <v>M(여름)</v>
      </c>
      <c r="H276" s="25" t="s">
        <v>67</v>
      </c>
      <c r="I276" s="24"/>
      <c r="J276" s="27" t="s">
        <v>793</v>
      </c>
      <c r="K276" s="28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8" t="n">
        <f aca="false">IF($K276="","",$K276-기준정보!$C$5)</f>
        <v>46454</v>
      </c>
      <c r="M276" s="28" t="n">
        <f aca="false">IF($L276="","",$L276-기준정보!$C$6)</f>
        <v>46364</v>
      </c>
      <c r="N276" s="29" t="n">
        <f aca="false">IF($M276="","",$M276-기준정보!$C$4)</f>
        <v>122</v>
      </c>
      <c r="O276" s="27" t="s">
        <v>70</v>
      </c>
      <c r="P276" s="27" t="s">
        <v>71</v>
      </c>
      <c r="Q276" s="30"/>
      <c r="R276" s="26" t="str">
        <f aca="false">IF($H276="","",IF(AND(ISNUMBER(SEARCH("CMT",$H276)),OR(ISNUMBER(SEARCH("완사입",$H276)),ISNUMBER(SEARCH("ODM",$H276)))),"본사/생산처 혼재",IF(ISNUMBER(SEARCH("CMT",$H276)),"본사(소재팀)","생산처")))</f>
        <v>생산처</v>
      </c>
      <c r="S276" s="25" t="s">
        <v>94</v>
      </c>
      <c r="T276" s="25" t="s">
        <v>73</v>
      </c>
      <c r="U276" s="31" t="n">
        <v>5000</v>
      </c>
      <c r="V276" s="26"/>
      <c r="W276" s="26" t="str">
        <f aca="false">IF($K276="","출고일 미정",IF($O276="X","작지 미발행",IF($O276="부분","작지 일부 미발행",IF(AND($Q276&lt;&gt;"",$Q276&gt;$M276),"소재입고 마감("&amp;TEXT($M276,"MM/DD")&amp;") 초과",IF($O276="","발행여부 확인 필요",IF($Q276="","소재 입고일정 확인 필요","정상"))))))</f>
        <v>소재 입고일정 확인 필요</v>
      </c>
      <c r="X276" s="24" t="str">
        <f aca="false">IF($K276="","",IF(OR(LEFT($W276,2)="작지",LEFT($W276,4)="소재입고"),IF(LEFT($G276,1)="S","★ 납기위험(S코드)","◆ 지연주의"),IF($W276="정상","✓ 정상","? 확인필요")))</f>
        <v>? 확인필요</v>
      </c>
      <c r="Y276" s="27"/>
      <c r="Z276" s="32"/>
    </row>
    <row r="277" customFormat="false" ht="15" hidden="false" customHeight="false" outlineLevel="0" collapsed="false">
      <c r="A277" s="24" t="n">
        <v>273</v>
      </c>
      <c r="B277" s="25" t="s">
        <v>187</v>
      </c>
      <c r="C277" s="25" t="s">
        <v>423</v>
      </c>
      <c r="D277" s="26" t="s">
        <v>874</v>
      </c>
      <c r="E277" s="25" t="s">
        <v>875</v>
      </c>
      <c r="F277" s="26" t="s">
        <v>876</v>
      </c>
      <c r="G277" s="24" t="str">
        <f aca="false">IF($D277="","",IF(MID($D277,5,1)="S","S(봄)",IF(MID($D277,5,1)="M","M(여름)",IF(MID($D277,5,1)="X","X(사계절)",MID($D277,5,1)))))</f>
        <v>M(여름)</v>
      </c>
      <c r="H277" s="25" t="s">
        <v>67</v>
      </c>
      <c r="I277" s="24" t="s">
        <v>404</v>
      </c>
      <c r="J277" s="27" t="s">
        <v>793</v>
      </c>
      <c r="K277" s="28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8" t="n">
        <f aca="false">IF($K277="","",$K277-기준정보!$C$5)</f>
        <v>46454</v>
      </c>
      <c r="M277" s="28" t="n">
        <f aca="false">IF($L277="","",$L277-기준정보!$C$6)</f>
        <v>46364</v>
      </c>
      <c r="N277" s="29" t="n">
        <f aca="false">IF($M277="","",$M277-기준정보!$C$4)</f>
        <v>122</v>
      </c>
      <c r="O277" s="27" t="s">
        <v>70</v>
      </c>
      <c r="P277" s="27" t="s">
        <v>71</v>
      </c>
      <c r="Q277" s="30"/>
      <c r="R277" s="26" t="str">
        <f aca="false">IF($H277="","",IF(AND(ISNUMBER(SEARCH("CMT",$H277)),OR(ISNUMBER(SEARCH("완사입",$H277)),ISNUMBER(SEARCH("ODM",$H277)))),"본사/생산처 혼재",IF(ISNUMBER(SEARCH("CMT",$H277)),"본사(소재팀)","생산처")))</f>
        <v>생산처</v>
      </c>
      <c r="S277" s="26" t="s">
        <v>231</v>
      </c>
      <c r="T277" s="25" t="s">
        <v>78</v>
      </c>
      <c r="U277" s="31" t="n">
        <v>1800</v>
      </c>
      <c r="V277" s="26" t="s">
        <v>793</v>
      </c>
      <c r="W277" s="26" t="str">
        <f aca="false">IF($K277="","출고일 미정",IF($O277="X","작지 미발행",IF($O277="부분","작지 일부 미발행",IF(AND($Q277&lt;&gt;"",$Q277&gt;$M277),"소재입고 마감("&amp;TEXT($M277,"MM/DD")&amp;") 초과",IF($O277="","발행여부 확인 필요",IF($Q277="","소재 입고일정 확인 필요","정상"))))))</f>
        <v>소재 입고일정 확인 필요</v>
      </c>
      <c r="X277" s="24" t="str">
        <f aca="false">IF($K277="","",IF(OR(LEFT($W277,2)="작지",LEFT($W277,4)="소재입고"),IF(LEFT($G277,1)="S","★ 납기위험(S코드)","◆ 지연주의"),IF($W277="정상","✓ 정상","? 확인필요")))</f>
        <v>? 확인필요</v>
      </c>
      <c r="Y277" s="27"/>
      <c r="Z277" s="32"/>
    </row>
    <row r="278" customFormat="false" ht="15" hidden="false" customHeight="false" outlineLevel="0" collapsed="false">
      <c r="A278" s="24" t="n">
        <v>274</v>
      </c>
      <c r="B278" s="25" t="s">
        <v>187</v>
      </c>
      <c r="C278" s="25" t="s">
        <v>423</v>
      </c>
      <c r="D278" s="26" t="s">
        <v>877</v>
      </c>
      <c r="E278" s="25" t="s">
        <v>878</v>
      </c>
      <c r="F278" s="26" t="s">
        <v>843</v>
      </c>
      <c r="G278" s="24" t="str">
        <f aca="false">IF($D278="","",IF(MID($D278,5,1)="S","S(봄)",IF(MID($D278,5,1)="M","M(여름)",IF(MID($D278,5,1)="X","X(사계절)",MID($D278,5,1)))))</f>
        <v>M(여름)</v>
      </c>
      <c r="H278" s="26" t="s">
        <v>197</v>
      </c>
      <c r="I278" s="24" t="s">
        <v>404</v>
      </c>
      <c r="J278" s="27" t="s">
        <v>793</v>
      </c>
      <c r="K278" s="28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8" t="n">
        <f aca="false">IF($K278="","",$K278-기준정보!$C$5)</f>
        <v>46454</v>
      </c>
      <c r="M278" s="28" t="n">
        <f aca="false">IF($L278="","",$L278-기준정보!$C$6)</f>
        <v>46364</v>
      </c>
      <c r="N278" s="29" t="n">
        <f aca="false">IF($M278="","",$M278-기준정보!$C$4)</f>
        <v>122</v>
      </c>
      <c r="O278" s="27" t="s">
        <v>70</v>
      </c>
      <c r="P278" s="27" t="s">
        <v>71</v>
      </c>
      <c r="Q278" s="30"/>
      <c r="R278" s="26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S278" s="25" t="s">
        <v>72</v>
      </c>
      <c r="T278" s="25" t="s">
        <v>73</v>
      </c>
      <c r="U278" s="31" t="n">
        <v>1400</v>
      </c>
      <c r="V278" s="26" t="s">
        <v>793</v>
      </c>
      <c r="W278" s="26" t="str">
        <f aca="false">IF($K278="","출고일 미정",IF($O278="X","작지 미발행",IF($O278="부분","작지 일부 미발행",IF(AND($Q278&lt;&gt;"",$Q278&gt;$M278),"소재입고 마감("&amp;TEXT($M278,"MM/DD")&amp;") 초과",IF($O278="","발행여부 확인 필요",IF($Q278="","소재 입고일정 확인 필요","정상"))))))</f>
        <v>소재 입고일정 확인 필요</v>
      </c>
      <c r="X278" s="24" t="str">
        <f aca="false">IF($K278="","",IF(OR(LEFT($W278,2)="작지",LEFT($W278,4)="소재입고"),IF(LEFT($G278,1)="S","★ 납기위험(S코드)","◆ 지연주의"),IF($W278="정상","✓ 정상","? 확인필요")))</f>
        <v>? 확인필요</v>
      </c>
      <c r="Y278" s="27"/>
      <c r="Z278" s="32"/>
    </row>
    <row r="279" customFormat="false" ht="15" hidden="false" customHeight="false" outlineLevel="0" collapsed="false">
      <c r="A279" s="24" t="n">
        <v>275</v>
      </c>
      <c r="B279" s="25" t="s">
        <v>688</v>
      </c>
      <c r="C279" s="25" t="s">
        <v>483</v>
      </c>
      <c r="D279" s="26" t="s">
        <v>879</v>
      </c>
      <c r="E279" s="25" t="s">
        <v>880</v>
      </c>
      <c r="F279" s="26" t="s">
        <v>148</v>
      </c>
      <c r="G279" s="24" t="str">
        <f aca="false">IF($D279="","",IF(MID($D279,5,1)="S","S(봄)",IF(MID($D279,5,1)="M","M(여름)",IF(MID($D279,5,1)="X","X(사계절)",MID($D279,5,1)))))</f>
        <v>M(여름)</v>
      </c>
      <c r="H279" s="25" t="s">
        <v>67</v>
      </c>
      <c r="I279" s="24"/>
      <c r="J279" s="27" t="s">
        <v>793</v>
      </c>
      <c r="K279" s="28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8" t="n">
        <f aca="false">IF($K279="","",$K279-기준정보!$C$5)</f>
        <v>46454</v>
      </c>
      <c r="M279" s="28" t="n">
        <f aca="false">IF($L279="","",$L279-기준정보!$C$6)</f>
        <v>46364</v>
      </c>
      <c r="N279" s="29" t="n">
        <f aca="false">IF($M279="","",$M279-기준정보!$C$4)</f>
        <v>122</v>
      </c>
      <c r="O279" s="27" t="s">
        <v>71</v>
      </c>
      <c r="P279" s="27" t="s">
        <v>71</v>
      </c>
      <c r="Q279" s="30"/>
      <c r="R279" s="26" t="str">
        <f aca="false">IF($H279="","",IF(AND(ISNUMBER(SEARCH("CMT",$H279)),OR(ISNUMBER(SEARCH("완사입",$H279)),ISNUMBER(SEARCH("ODM",$H279)))),"본사/생산처 혼재",IF(ISNUMBER(SEARCH("CMT",$H279)),"본사(소재팀)","생산처")))</f>
        <v>생산처</v>
      </c>
      <c r="S279" s="26" t="s">
        <v>881</v>
      </c>
      <c r="T279" s="25" t="s">
        <v>73</v>
      </c>
      <c r="U279" s="31" t="n">
        <v>500</v>
      </c>
      <c r="V279" s="26"/>
      <c r="W279" s="26" t="str">
        <f aca="false">IF($K279="","출고일 미정",IF($O279="X","작지 미발행",IF($O279="부분","작지 일부 미발행",IF(AND($Q279&lt;&gt;"",$Q279&gt;$M279),"소재입고 마감("&amp;TEXT($M279,"MM/DD")&amp;") 초과",IF($O279="","발행여부 확인 필요",IF($Q279="","소재 입고일정 확인 필요","정상"))))))</f>
        <v>작지 미발행</v>
      </c>
      <c r="X279" s="24" t="str">
        <f aca="false">IF($K279="","",IF(OR(LEFT($W279,2)="작지",LEFT($W279,4)="소재입고"),IF(LEFT($G279,1)="S","★ 납기위험(S코드)","◆ 지연주의"),IF($W279="정상","✓ 정상","? 확인필요")))</f>
        <v>◆ 지연주의</v>
      </c>
      <c r="Y279" s="27"/>
      <c r="Z279" s="32"/>
    </row>
    <row r="280" customFormat="false" ht="15" hidden="false" customHeight="false" outlineLevel="0" collapsed="false">
      <c r="A280" s="24" t="n">
        <v>276</v>
      </c>
      <c r="B280" s="25" t="s">
        <v>688</v>
      </c>
      <c r="C280" s="25" t="s">
        <v>483</v>
      </c>
      <c r="D280" s="26" t="s">
        <v>882</v>
      </c>
      <c r="E280" s="25" t="s">
        <v>883</v>
      </c>
      <c r="F280" s="26" t="s">
        <v>884</v>
      </c>
      <c r="G280" s="24" t="str">
        <f aca="false">IF($D280="","",IF(MID($D280,5,1)="S","S(봄)",IF(MID($D280,5,1)="M","M(여름)",IF(MID($D280,5,1)="X","X(사계절)",MID($D280,5,1)))))</f>
        <v>M(여름)</v>
      </c>
      <c r="H280" s="25" t="s">
        <v>67</v>
      </c>
      <c r="I280" s="24"/>
      <c r="J280" s="27" t="s">
        <v>793</v>
      </c>
      <c r="K280" s="28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8" t="n">
        <f aca="false">IF($K280="","",$K280-기준정보!$C$5)</f>
        <v>46454</v>
      </c>
      <c r="M280" s="28" t="n">
        <f aca="false">IF($L280="","",$L280-기준정보!$C$6)</f>
        <v>46364</v>
      </c>
      <c r="N280" s="29" t="n">
        <f aca="false">IF($M280="","",$M280-기준정보!$C$4)</f>
        <v>122</v>
      </c>
      <c r="O280" s="27" t="s">
        <v>71</v>
      </c>
      <c r="P280" s="27" t="s">
        <v>71</v>
      </c>
      <c r="Q280" s="30"/>
      <c r="R280" s="26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S280" s="26" t="s">
        <v>881</v>
      </c>
      <c r="T280" s="25" t="s">
        <v>73</v>
      </c>
      <c r="U280" s="31" t="n">
        <v>300</v>
      </c>
      <c r="V280" s="26"/>
      <c r="W280" s="26" t="str">
        <f aca="false">IF($K280="","출고일 미정",IF($O280="X","작지 미발행",IF($O280="부분","작지 일부 미발행",IF(AND($Q280&lt;&gt;"",$Q280&gt;$M280),"소재입고 마감("&amp;TEXT($M280,"MM/DD")&amp;") 초과",IF($O280="","발행여부 확인 필요",IF($Q280="","소재 입고일정 확인 필요","정상"))))))</f>
        <v>작지 미발행</v>
      </c>
      <c r="X280" s="24" t="str">
        <f aca="false">IF($K280="","",IF(OR(LEFT($W280,2)="작지",LEFT($W280,4)="소재입고"),IF(LEFT($G280,1)="S","★ 납기위험(S코드)","◆ 지연주의"),IF($W280="정상","✓ 정상","? 확인필요")))</f>
        <v>◆ 지연주의</v>
      </c>
      <c r="Y280" s="27"/>
      <c r="Z280" s="32"/>
    </row>
    <row r="281" customFormat="false" ht="15" hidden="false" customHeight="false" outlineLevel="0" collapsed="false">
      <c r="A281" s="24" t="n">
        <v>277</v>
      </c>
      <c r="B281" s="25" t="s">
        <v>688</v>
      </c>
      <c r="C281" s="25" t="s">
        <v>483</v>
      </c>
      <c r="D281" s="26" t="s">
        <v>885</v>
      </c>
      <c r="E281" s="25" t="s">
        <v>886</v>
      </c>
      <c r="F281" s="26" t="s">
        <v>887</v>
      </c>
      <c r="G281" s="24" t="str">
        <f aca="false">IF($D281="","",IF(MID($D281,5,1)="S","S(봄)",IF(MID($D281,5,1)="M","M(여름)",IF(MID($D281,5,1)="X","X(사계절)",MID($D281,5,1)))))</f>
        <v>M(여름)</v>
      </c>
      <c r="H281" s="25" t="s">
        <v>67</v>
      </c>
      <c r="I281" s="24"/>
      <c r="J281" s="27" t="s">
        <v>793</v>
      </c>
      <c r="K281" s="28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8" t="n">
        <f aca="false">IF($K281="","",$K281-기준정보!$C$5)</f>
        <v>46454</v>
      </c>
      <c r="M281" s="28" t="n">
        <f aca="false">IF($L281="","",$L281-기준정보!$C$6)</f>
        <v>46364</v>
      </c>
      <c r="N281" s="29" t="n">
        <f aca="false">IF($M281="","",$M281-기준정보!$C$4)</f>
        <v>122</v>
      </c>
      <c r="O281" s="27" t="s">
        <v>71</v>
      </c>
      <c r="P281" s="27" t="s">
        <v>71</v>
      </c>
      <c r="Q281" s="30"/>
      <c r="R281" s="26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S281" s="25" t="s">
        <v>888</v>
      </c>
      <c r="T281" s="25" t="s">
        <v>889</v>
      </c>
      <c r="U281" s="31" t="n">
        <v>9900</v>
      </c>
      <c r="V281" s="26"/>
      <c r="W281" s="26" t="str">
        <f aca="false">IF($K281="","출고일 미정",IF($O281="X","작지 미발행",IF($O281="부분","작지 일부 미발행",IF(AND($Q281&lt;&gt;"",$Q281&gt;$M281),"소재입고 마감("&amp;TEXT($M281,"MM/DD")&amp;") 초과",IF($O281="","발행여부 확인 필요",IF($Q281="","소재 입고일정 확인 필요","정상"))))))</f>
        <v>작지 미발행</v>
      </c>
      <c r="X281" s="24" t="str">
        <f aca="false">IF($K281="","",IF(OR(LEFT($W281,2)="작지",LEFT($W281,4)="소재입고"),IF(LEFT($G281,1)="S","★ 납기위험(S코드)","◆ 지연주의"),IF($W281="정상","✓ 정상","? 확인필요")))</f>
        <v>◆ 지연주의</v>
      </c>
      <c r="Y281" s="27"/>
      <c r="Z281" s="32"/>
    </row>
    <row r="282" customFormat="false" ht="15" hidden="false" customHeight="false" outlineLevel="0" collapsed="false">
      <c r="A282" s="24" t="n">
        <v>278</v>
      </c>
      <c r="B282" s="25" t="s">
        <v>688</v>
      </c>
      <c r="C282" s="25" t="s">
        <v>483</v>
      </c>
      <c r="D282" s="26" t="s">
        <v>890</v>
      </c>
      <c r="E282" s="25" t="s">
        <v>891</v>
      </c>
      <c r="F282" s="26" t="s">
        <v>892</v>
      </c>
      <c r="G282" s="24" t="str">
        <f aca="false">IF($D282="","",IF(MID($D282,5,1)="S","S(봄)",IF(MID($D282,5,1)="M","M(여름)",IF(MID($D282,5,1)="X","X(사계절)",MID($D282,5,1)))))</f>
        <v>M(여름)</v>
      </c>
      <c r="H282" s="25" t="s">
        <v>67</v>
      </c>
      <c r="I282" s="24"/>
      <c r="J282" s="27" t="s">
        <v>793</v>
      </c>
      <c r="K282" s="28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8" t="n">
        <f aca="false">IF($K282="","",$K282-기준정보!$C$5)</f>
        <v>46454</v>
      </c>
      <c r="M282" s="28" t="n">
        <f aca="false">IF($L282="","",$L282-기준정보!$C$6)</f>
        <v>46364</v>
      </c>
      <c r="N282" s="29" t="n">
        <f aca="false">IF($M282="","",$M282-기준정보!$C$4)</f>
        <v>122</v>
      </c>
      <c r="O282" s="27" t="s">
        <v>71</v>
      </c>
      <c r="P282" s="27" t="s">
        <v>71</v>
      </c>
      <c r="Q282" s="30"/>
      <c r="R282" s="26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S282" s="25" t="s">
        <v>888</v>
      </c>
      <c r="T282" s="25" t="s">
        <v>119</v>
      </c>
      <c r="U282" s="31" t="n">
        <v>10500</v>
      </c>
      <c r="V282" s="26"/>
      <c r="W282" s="26" t="str">
        <f aca="false">IF($K282="","출고일 미정",IF($O282="X","작지 미발행",IF($O282="부분","작지 일부 미발행",IF(AND($Q282&lt;&gt;"",$Q282&gt;$M282),"소재입고 마감("&amp;TEXT($M282,"MM/DD")&amp;") 초과",IF($O282="","발행여부 확인 필요",IF($Q282="","소재 입고일정 확인 필요","정상"))))))</f>
        <v>작지 미발행</v>
      </c>
      <c r="X282" s="24" t="str">
        <f aca="false">IF($K282="","",IF(OR(LEFT($W282,2)="작지",LEFT($W282,4)="소재입고"),IF(LEFT($G282,1)="S","★ 납기위험(S코드)","◆ 지연주의"),IF($W282="정상","✓ 정상","? 확인필요")))</f>
        <v>◆ 지연주의</v>
      </c>
      <c r="Y282" s="27"/>
      <c r="Z282" s="32"/>
    </row>
    <row r="283" customFormat="false" ht="15" hidden="false" customHeight="false" outlineLevel="0" collapsed="false">
      <c r="A283" s="24" t="n">
        <v>279</v>
      </c>
      <c r="B283" s="25" t="s">
        <v>688</v>
      </c>
      <c r="C283" s="25" t="s">
        <v>483</v>
      </c>
      <c r="D283" s="26" t="s">
        <v>893</v>
      </c>
      <c r="E283" s="25" t="s">
        <v>894</v>
      </c>
      <c r="F283" s="26" t="s">
        <v>895</v>
      </c>
      <c r="G283" s="24" t="str">
        <f aca="false">IF($D283="","",IF(MID($D283,5,1)="S","S(봄)",IF(MID($D283,5,1)="M","M(여름)",IF(MID($D283,5,1)="X","X(사계절)",MID($D283,5,1)))))</f>
        <v>M(여름)</v>
      </c>
      <c r="H283" s="25" t="s">
        <v>67</v>
      </c>
      <c r="I283" s="24"/>
      <c r="J283" s="27" t="s">
        <v>793</v>
      </c>
      <c r="K283" s="28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8" t="n">
        <f aca="false">IF($K283="","",$K283-기준정보!$C$5)</f>
        <v>46454</v>
      </c>
      <c r="M283" s="28" t="n">
        <f aca="false">IF($L283="","",$L283-기준정보!$C$6)</f>
        <v>46364</v>
      </c>
      <c r="N283" s="29" t="n">
        <f aca="false">IF($M283="","",$M283-기준정보!$C$4)</f>
        <v>122</v>
      </c>
      <c r="O283" s="27" t="s">
        <v>71</v>
      </c>
      <c r="P283" s="27" t="s">
        <v>71</v>
      </c>
      <c r="Q283" s="30"/>
      <c r="R283" s="26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S283" s="25" t="s">
        <v>888</v>
      </c>
      <c r="T283" s="25" t="s">
        <v>73</v>
      </c>
      <c r="U283" s="31" t="n">
        <v>5000</v>
      </c>
      <c r="V283" s="26"/>
      <c r="W283" s="26" t="str">
        <f aca="false">IF($K283="","출고일 미정",IF($O283="X","작지 미발행",IF($O283="부분","작지 일부 미발행",IF(AND($Q283&lt;&gt;"",$Q283&gt;$M283),"소재입고 마감("&amp;TEXT($M283,"MM/DD")&amp;") 초과",IF($O283="","발행여부 확인 필요",IF($Q283="","소재 입고일정 확인 필요","정상"))))))</f>
        <v>작지 미발행</v>
      </c>
      <c r="X283" s="24" t="str">
        <f aca="false">IF($K283="","",IF(OR(LEFT($W283,2)="작지",LEFT($W283,4)="소재입고"),IF(LEFT($G283,1)="S","★ 납기위험(S코드)","◆ 지연주의"),IF($W283="정상","✓ 정상","? 확인필요")))</f>
        <v>◆ 지연주의</v>
      </c>
      <c r="Y283" s="27"/>
      <c r="Z283" s="32"/>
    </row>
    <row r="284" customFormat="false" ht="15" hidden="false" customHeight="false" outlineLevel="0" collapsed="false">
      <c r="A284" s="24" t="n">
        <v>280</v>
      </c>
      <c r="B284" s="25" t="s">
        <v>688</v>
      </c>
      <c r="C284" s="25" t="s">
        <v>689</v>
      </c>
      <c r="D284" s="26" t="s">
        <v>896</v>
      </c>
      <c r="E284" s="25" t="s">
        <v>897</v>
      </c>
      <c r="F284" s="26" t="s">
        <v>898</v>
      </c>
      <c r="G284" s="24" t="str">
        <f aca="false">IF($D284="","",IF(MID($D284,5,1)="S","S(봄)",IF(MID($D284,5,1)="M","M(여름)",IF(MID($D284,5,1)="X","X(사계절)",MID($D284,5,1)))))</f>
        <v>M(여름)</v>
      </c>
      <c r="H284" s="25" t="s">
        <v>67</v>
      </c>
      <c r="I284" s="24"/>
      <c r="J284" s="27" t="s">
        <v>793</v>
      </c>
      <c r="K284" s="28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8" t="n">
        <f aca="false">IF($K284="","",$K284-기준정보!$C$5)</f>
        <v>46454</v>
      </c>
      <c r="M284" s="28" t="n">
        <f aca="false">IF($L284="","",$L284-기준정보!$C$6)</f>
        <v>46364</v>
      </c>
      <c r="N284" s="29" t="n">
        <f aca="false">IF($M284="","",$M284-기준정보!$C$4)</f>
        <v>122</v>
      </c>
      <c r="O284" s="27" t="s">
        <v>71</v>
      </c>
      <c r="P284" s="27" t="s">
        <v>71</v>
      </c>
      <c r="Q284" s="30"/>
      <c r="R284" s="26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S284" s="26" t="s">
        <v>881</v>
      </c>
      <c r="T284" s="25" t="s">
        <v>73</v>
      </c>
      <c r="U284" s="31" t="n">
        <v>3500</v>
      </c>
      <c r="V284" s="26"/>
      <c r="W284" s="26" t="str">
        <f aca="false">IF($K284="","출고일 미정",IF($O284="X","작지 미발행",IF($O284="부분","작지 일부 미발행",IF(AND($Q284&lt;&gt;"",$Q284&gt;$M284),"소재입고 마감("&amp;TEXT($M284,"MM/DD")&amp;") 초과",IF($O284="","발행여부 확인 필요",IF($Q284="","소재 입고일정 확인 필요","정상"))))))</f>
        <v>작지 미발행</v>
      </c>
      <c r="X284" s="24" t="str">
        <f aca="false">IF($K284="","",IF(OR(LEFT($W284,2)="작지",LEFT($W284,4)="소재입고"),IF(LEFT($G284,1)="S","★ 납기위험(S코드)","◆ 지연주의"),IF($W284="정상","✓ 정상","? 확인필요")))</f>
        <v>◆ 지연주의</v>
      </c>
      <c r="Y284" s="27"/>
      <c r="Z284" s="32"/>
    </row>
    <row r="285" customFormat="false" ht="15" hidden="false" customHeight="false" outlineLevel="0" collapsed="false">
      <c r="A285" s="24" t="n">
        <v>281</v>
      </c>
      <c r="B285" s="25" t="s">
        <v>688</v>
      </c>
      <c r="C285" s="25" t="s">
        <v>689</v>
      </c>
      <c r="D285" s="26" t="s">
        <v>899</v>
      </c>
      <c r="E285" s="25" t="s">
        <v>900</v>
      </c>
      <c r="F285" s="26" t="s">
        <v>884</v>
      </c>
      <c r="G285" s="24" t="str">
        <f aca="false">IF($D285="","",IF(MID($D285,5,1)="S","S(봄)",IF(MID($D285,5,1)="M","M(여름)",IF(MID($D285,5,1)="X","X(사계절)",MID($D285,5,1)))))</f>
        <v>M(여름)</v>
      </c>
      <c r="H285" s="25" t="s">
        <v>67</v>
      </c>
      <c r="I285" s="24" t="s">
        <v>404</v>
      </c>
      <c r="J285" s="27" t="s">
        <v>793</v>
      </c>
      <c r="K285" s="28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8" t="n">
        <f aca="false">IF($K285="","",$K285-기준정보!$C$5)</f>
        <v>46454</v>
      </c>
      <c r="M285" s="28" t="n">
        <f aca="false">IF($L285="","",$L285-기준정보!$C$6)</f>
        <v>46364</v>
      </c>
      <c r="N285" s="29" t="n">
        <f aca="false">IF($M285="","",$M285-기준정보!$C$4)</f>
        <v>122</v>
      </c>
      <c r="O285" s="27" t="s">
        <v>71</v>
      </c>
      <c r="P285" s="27" t="s">
        <v>71</v>
      </c>
      <c r="Q285" s="30"/>
      <c r="R285" s="26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S285" s="26" t="s">
        <v>881</v>
      </c>
      <c r="T285" s="25" t="s">
        <v>73</v>
      </c>
      <c r="U285" s="31" t="n">
        <v>500</v>
      </c>
      <c r="V285" s="26"/>
      <c r="W285" s="26" t="str">
        <f aca="false">IF($K285="","출고일 미정",IF($O285="X","작지 미발행",IF($O285="부분","작지 일부 미발행",IF(AND($Q285&lt;&gt;"",$Q285&gt;$M285),"소재입고 마감("&amp;TEXT($M285,"MM/DD")&amp;") 초과",IF($O285="","발행여부 확인 필요",IF($Q285="","소재 입고일정 확인 필요","정상"))))))</f>
        <v>작지 미발행</v>
      </c>
      <c r="X285" s="24" t="str">
        <f aca="false">IF($K285="","",IF(OR(LEFT($W285,2)="작지",LEFT($W285,4)="소재입고"),IF(LEFT($G285,1)="S","★ 납기위험(S코드)","◆ 지연주의"),IF($W285="정상","✓ 정상","? 확인필요")))</f>
        <v>◆ 지연주의</v>
      </c>
      <c r="Y285" s="27"/>
      <c r="Z285" s="32"/>
    </row>
    <row r="286" customFormat="false" ht="15" hidden="false" customHeight="false" outlineLevel="0" collapsed="false">
      <c r="A286" s="24" t="n">
        <v>282</v>
      </c>
      <c r="B286" s="25" t="s">
        <v>688</v>
      </c>
      <c r="C286" s="25" t="s">
        <v>689</v>
      </c>
      <c r="D286" s="26" t="s">
        <v>901</v>
      </c>
      <c r="E286" s="25" t="s">
        <v>902</v>
      </c>
      <c r="F286" s="26" t="s">
        <v>903</v>
      </c>
      <c r="G286" s="24" t="str">
        <f aca="false">IF($D286="","",IF(MID($D286,5,1)="S","S(봄)",IF(MID($D286,5,1)="M","M(여름)",IF(MID($D286,5,1)="X","X(사계절)",MID($D286,5,1)))))</f>
        <v>M(여름)</v>
      </c>
      <c r="H286" s="25" t="s">
        <v>67</v>
      </c>
      <c r="I286" s="24" t="s">
        <v>404</v>
      </c>
      <c r="J286" s="27" t="s">
        <v>793</v>
      </c>
      <c r="K286" s="28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8" t="n">
        <f aca="false">IF($K286="","",$K286-기준정보!$C$5)</f>
        <v>46454</v>
      </c>
      <c r="M286" s="28" t="n">
        <f aca="false">IF($L286="","",$L286-기준정보!$C$6)</f>
        <v>46364</v>
      </c>
      <c r="N286" s="29" t="n">
        <f aca="false">IF($M286="","",$M286-기준정보!$C$4)</f>
        <v>122</v>
      </c>
      <c r="O286" s="27" t="s">
        <v>71</v>
      </c>
      <c r="P286" s="27" t="s">
        <v>71</v>
      </c>
      <c r="Q286" s="30"/>
      <c r="R286" s="26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S286" s="26" t="s">
        <v>881</v>
      </c>
      <c r="T286" s="25" t="s">
        <v>73</v>
      </c>
      <c r="U286" s="31" t="n">
        <v>900</v>
      </c>
      <c r="V286" s="26"/>
      <c r="W286" s="26" t="str">
        <f aca="false">IF($K286="","출고일 미정",IF($O286="X","작지 미발행",IF($O286="부분","작지 일부 미발행",IF(AND($Q286&lt;&gt;"",$Q286&gt;$M286),"소재입고 마감("&amp;TEXT($M286,"MM/DD")&amp;") 초과",IF($O286="","발행여부 확인 필요",IF($Q286="","소재 입고일정 확인 필요","정상"))))))</f>
        <v>작지 미발행</v>
      </c>
      <c r="X286" s="24" t="str">
        <f aca="false">IF($K286="","",IF(OR(LEFT($W286,2)="작지",LEFT($W286,4)="소재입고"),IF(LEFT($G286,1)="S","★ 납기위험(S코드)","◆ 지연주의"),IF($W286="정상","✓ 정상","? 확인필요")))</f>
        <v>◆ 지연주의</v>
      </c>
      <c r="Y286" s="27"/>
      <c r="Z286" s="32"/>
    </row>
    <row r="287" customFormat="false" ht="15" hidden="false" customHeight="false" outlineLevel="0" collapsed="false">
      <c r="A287" s="24" t="n">
        <v>283</v>
      </c>
      <c r="B287" s="25" t="s">
        <v>688</v>
      </c>
      <c r="C287" s="25" t="s">
        <v>689</v>
      </c>
      <c r="D287" s="26" t="s">
        <v>904</v>
      </c>
      <c r="E287" s="25" t="s">
        <v>905</v>
      </c>
      <c r="F287" s="26" t="s">
        <v>906</v>
      </c>
      <c r="G287" s="24" t="str">
        <f aca="false">IF($D287="","",IF(MID($D287,5,1)="S","S(봄)",IF(MID($D287,5,1)="M","M(여름)",IF(MID($D287,5,1)="X","X(사계절)",MID($D287,5,1)))))</f>
        <v>M(여름)</v>
      </c>
      <c r="H287" s="25" t="s">
        <v>67</v>
      </c>
      <c r="I287" s="24"/>
      <c r="J287" s="27" t="s">
        <v>793</v>
      </c>
      <c r="K287" s="28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8" t="n">
        <f aca="false">IF($K287="","",$K287-기준정보!$C$5)</f>
        <v>46454</v>
      </c>
      <c r="M287" s="28" t="n">
        <f aca="false">IF($L287="","",$L287-기준정보!$C$6)</f>
        <v>46364</v>
      </c>
      <c r="N287" s="29" t="n">
        <f aca="false">IF($M287="","",$M287-기준정보!$C$4)</f>
        <v>122</v>
      </c>
      <c r="O287" s="27" t="s">
        <v>71</v>
      </c>
      <c r="P287" s="27"/>
      <c r="Q287" s="30"/>
      <c r="R287" s="26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S287" s="26" t="s">
        <v>881</v>
      </c>
      <c r="T287" s="25" t="s">
        <v>73</v>
      </c>
      <c r="U287" s="31" t="n">
        <v>1500</v>
      </c>
      <c r="V287" s="26"/>
      <c r="W287" s="26" t="str">
        <f aca="false">IF($K287="","출고일 미정",IF($O287="X","작지 미발행",IF($O287="부분","작지 일부 미발행",IF(AND($Q287&lt;&gt;"",$Q287&gt;$M287),"소재입고 마감("&amp;TEXT($M287,"MM/DD")&amp;") 초과",IF($O287="","발행여부 확인 필요",IF($Q287="","소재 입고일정 확인 필요","정상"))))))</f>
        <v>작지 미발행</v>
      </c>
      <c r="X287" s="24" t="str">
        <f aca="false">IF($K287="","",IF(OR(LEFT($W287,2)="작지",LEFT($W287,4)="소재입고"),IF(LEFT($G287,1)="S","★ 납기위험(S코드)","◆ 지연주의"),IF($W287="정상","✓ 정상","? 확인필요")))</f>
        <v>◆ 지연주의</v>
      </c>
      <c r="Y287" s="27"/>
      <c r="Z287" s="32"/>
    </row>
    <row r="288" customFormat="false" ht="15" hidden="false" customHeight="false" outlineLevel="0" collapsed="false">
      <c r="A288" s="24" t="n">
        <v>284</v>
      </c>
      <c r="B288" s="25" t="s">
        <v>688</v>
      </c>
      <c r="C288" s="25" t="s">
        <v>689</v>
      </c>
      <c r="D288" s="26" t="s">
        <v>907</v>
      </c>
      <c r="E288" s="25" t="s">
        <v>908</v>
      </c>
      <c r="F288" s="26" t="s">
        <v>909</v>
      </c>
      <c r="G288" s="24" t="str">
        <f aca="false">IF($D288="","",IF(MID($D288,5,1)="S","S(봄)",IF(MID($D288,5,1)="M","M(여름)",IF(MID($D288,5,1)="X","X(사계절)",MID($D288,5,1)))))</f>
        <v>M(여름)</v>
      </c>
      <c r="H288" s="25" t="s">
        <v>67</v>
      </c>
      <c r="I288" s="24"/>
      <c r="J288" s="27" t="s">
        <v>793</v>
      </c>
      <c r="K288" s="28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8" t="n">
        <f aca="false">IF($K288="","",$K288-기준정보!$C$5)</f>
        <v>46454</v>
      </c>
      <c r="M288" s="28" t="n">
        <f aca="false">IF($L288="","",$L288-기준정보!$C$6)</f>
        <v>46364</v>
      </c>
      <c r="N288" s="29" t="n">
        <f aca="false">IF($M288="","",$M288-기준정보!$C$4)</f>
        <v>122</v>
      </c>
      <c r="O288" s="27" t="s">
        <v>71</v>
      </c>
      <c r="P288" s="27" t="s">
        <v>70</v>
      </c>
      <c r="Q288" s="30"/>
      <c r="R288" s="26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S288" s="25" t="s">
        <v>692</v>
      </c>
      <c r="T288" s="25" t="s">
        <v>154</v>
      </c>
      <c r="U288" s="31" t="n">
        <v>6000</v>
      </c>
      <c r="V288" s="26"/>
      <c r="W288" s="26" t="str">
        <f aca="false">IF($K288="","출고일 미정",IF($O288="X","작지 미발행",IF($O288="부분","작지 일부 미발행",IF(AND($Q288&lt;&gt;"",$Q288&gt;$M288),"소재입고 마감("&amp;TEXT($M288,"MM/DD")&amp;") 초과",IF($O288="","발행여부 확인 필요",IF($Q288="","소재 입고일정 확인 필요","정상"))))))</f>
        <v>작지 미발행</v>
      </c>
      <c r="X288" s="24" t="str">
        <f aca="false">IF($K288="","",IF(OR(LEFT($W288,2)="작지",LEFT($W288,4)="소재입고"),IF(LEFT($G288,1)="S","★ 납기위험(S코드)","◆ 지연주의"),IF($W288="정상","✓ 정상","? 확인필요")))</f>
        <v>◆ 지연주의</v>
      </c>
      <c r="Y288" s="27"/>
      <c r="Z288" s="32"/>
    </row>
    <row r="289" customFormat="false" ht="15" hidden="false" customHeight="false" outlineLevel="0" collapsed="false">
      <c r="A289" s="24" t="n">
        <v>285</v>
      </c>
      <c r="B289" s="25" t="s">
        <v>688</v>
      </c>
      <c r="C289" s="25" t="s">
        <v>689</v>
      </c>
      <c r="D289" s="26" t="s">
        <v>910</v>
      </c>
      <c r="E289" s="25" t="s">
        <v>911</v>
      </c>
      <c r="F289" s="26" t="s">
        <v>912</v>
      </c>
      <c r="G289" s="24" t="str">
        <f aca="false">IF($D289="","",IF(MID($D289,5,1)="S","S(봄)",IF(MID($D289,5,1)="M","M(여름)",IF(MID($D289,5,1)="X","X(사계절)",MID($D289,5,1)))))</f>
        <v>M(여름)</v>
      </c>
      <c r="H289" s="25" t="s">
        <v>67</v>
      </c>
      <c r="I289" s="24"/>
      <c r="J289" s="27" t="s">
        <v>793</v>
      </c>
      <c r="K289" s="28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8" t="n">
        <f aca="false">IF($K289="","",$K289-기준정보!$C$5)</f>
        <v>46454</v>
      </c>
      <c r="M289" s="28" t="n">
        <f aca="false">IF($L289="","",$L289-기준정보!$C$6)</f>
        <v>46364</v>
      </c>
      <c r="N289" s="29" t="n">
        <f aca="false">IF($M289="","",$M289-기준정보!$C$4)</f>
        <v>122</v>
      </c>
      <c r="O289" s="27" t="s">
        <v>71</v>
      </c>
      <c r="P289" s="27"/>
      <c r="Q289" s="30"/>
      <c r="R289" s="26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S289" s="26" t="s">
        <v>881</v>
      </c>
      <c r="T289" s="25" t="s">
        <v>73</v>
      </c>
      <c r="U289" s="31" t="n">
        <v>7500</v>
      </c>
      <c r="V289" s="26"/>
      <c r="W289" s="26" t="str">
        <f aca="false">IF($K289="","출고일 미정",IF($O289="X","작지 미발행",IF($O289="부분","작지 일부 미발행",IF(AND($Q289&lt;&gt;"",$Q289&gt;$M289),"소재입고 마감("&amp;TEXT($M289,"MM/DD")&amp;") 초과",IF($O289="","발행여부 확인 필요",IF($Q289="","소재 입고일정 확인 필요","정상"))))))</f>
        <v>작지 미발행</v>
      </c>
      <c r="X289" s="24" t="str">
        <f aca="false">IF($K289="","",IF(OR(LEFT($W289,2)="작지",LEFT($W289,4)="소재입고"),IF(LEFT($G289,1)="S","★ 납기위험(S코드)","◆ 지연주의"),IF($W289="정상","✓ 정상","? 확인필요")))</f>
        <v>◆ 지연주의</v>
      </c>
      <c r="Y289" s="27"/>
      <c r="Z289" s="32"/>
    </row>
    <row r="290" customFormat="false" ht="15" hidden="false" customHeight="false" outlineLevel="0" collapsed="false">
      <c r="A290" s="24" t="n">
        <v>286</v>
      </c>
      <c r="B290" s="25" t="s">
        <v>255</v>
      </c>
      <c r="C290" s="25" t="s">
        <v>256</v>
      </c>
      <c r="D290" s="26" t="s">
        <v>913</v>
      </c>
      <c r="E290" s="25" t="s">
        <v>914</v>
      </c>
      <c r="F290" s="26" t="s">
        <v>526</v>
      </c>
      <c r="G290" s="24" t="str">
        <f aca="false">IF($D290="","",IF(MID($D290,5,1)="S","S(봄)",IF(MID($D290,5,1)="M","M(여름)",IF(MID($D290,5,1)="X","X(사계절)",MID($D290,5,1)))))</f>
        <v>M(여름)</v>
      </c>
      <c r="H290" s="26" t="s">
        <v>197</v>
      </c>
      <c r="I290" s="24" t="s">
        <v>494</v>
      </c>
      <c r="J290" s="27" t="s">
        <v>793</v>
      </c>
      <c r="K290" s="28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8" t="n">
        <f aca="false">IF($K290="","",$K290-기준정보!$C$5)</f>
        <v>46454</v>
      </c>
      <c r="M290" s="28" t="n">
        <f aca="false">IF($L290="","",$L290-기준정보!$C$6)</f>
        <v>46364</v>
      </c>
      <c r="N290" s="29" t="n">
        <f aca="false">IF($M290="","",$M290-기준정보!$C$4)</f>
        <v>122</v>
      </c>
      <c r="O290" s="27" t="s">
        <v>70</v>
      </c>
      <c r="P290" s="27" t="s">
        <v>71</v>
      </c>
      <c r="Q290" s="30"/>
      <c r="R290" s="26" t="str">
        <f aca="false">IF($H290="","",IF(AND(ISNUMBER(SEARCH("CMT",$H290)),OR(ISNUMBER(SEARCH("완사입",$H290)),ISNUMBER(SEARCH("ODM",$H290)))),"본사/생산처 혼재",IF(ISNUMBER(SEARCH("CMT",$H290)),"본사(소재팀)","생산처")))</f>
        <v>본사(소재팀)</v>
      </c>
      <c r="S290" s="25" t="s">
        <v>87</v>
      </c>
      <c r="T290" s="25" t="s">
        <v>73</v>
      </c>
      <c r="U290" s="31" t="n">
        <v>6000</v>
      </c>
      <c r="V290" s="26"/>
      <c r="W290" s="26" t="str">
        <f aca="false">IF($K290="","출고일 미정",IF($O290="X","작지 미발행",IF($O290="부분","작지 일부 미발행",IF(AND($Q290&lt;&gt;"",$Q290&gt;$M290),"소재입고 마감("&amp;TEXT($M290,"MM/DD")&amp;") 초과",IF($O290="","발행여부 확인 필요",IF($Q290="","소재 입고일정 확인 필요","정상"))))))</f>
        <v>소재 입고일정 확인 필요</v>
      </c>
      <c r="X290" s="24" t="str">
        <f aca="false">IF($K290="","",IF(OR(LEFT($W290,2)="작지",LEFT($W290,4)="소재입고"),IF(LEFT($G290,1)="S","★ 납기위험(S코드)","◆ 지연주의"),IF($W290="정상","✓ 정상","? 확인필요")))</f>
        <v>? 확인필요</v>
      </c>
      <c r="Y290" s="27"/>
      <c r="Z290" s="32"/>
    </row>
    <row r="291" customFormat="false" ht="15" hidden="false" customHeight="false" outlineLevel="0" collapsed="false">
      <c r="A291" s="24" t="n">
        <v>287</v>
      </c>
      <c r="B291" s="25" t="s">
        <v>255</v>
      </c>
      <c r="C291" s="25" t="s">
        <v>256</v>
      </c>
      <c r="D291" s="26" t="s">
        <v>915</v>
      </c>
      <c r="E291" s="25" t="s">
        <v>916</v>
      </c>
      <c r="F291" s="26" t="s">
        <v>917</v>
      </c>
      <c r="G291" s="24" t="str">
        <f aca="false">IF($D291="","",IF(MID($D291,5,1)="S","S(봄)",IF(MID($D291,5,1)="M","M(여름)",IF(MID($D291,5,1)="X","X(사계절)",MID($D291,5,1)))))</f>
        <v>M(여름)</v>
      </c>
      <c r="H291" s="26" t="s">
        <v>197</v>
      </c>
      <c r="I291" s="24" t="s">
        <v>494</v>
      </c>
      <c r="J291" s="27" t="s">
        <v>793</v>
      </c>
      <c r="K291" s="28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8" t="n">
        <f aca="false">IF($K291="","",$K291-기준정보!$C$5)</f>
        <v>46454</v>
      </c>
      <c r="M291" s="28" t="n">
        <f aca="false">IF($L291="","",$L291-기준정보!$C$6)</f>
        <v>46364</v>
      </c>
      <c r="N291" s="29" t="n">
        <f aca="false">IF($M291="","",$M291-기준정보!$C$4)</f>
        <v>122</v>
      </c>
      <c r="O291" s="27" t="s">
        <v>70</v>
      </c>
      <c r="P291" s="27" t="s">
        <v>71</v>
      </c>
      <c r="Q291" s="30"/>
      <c r="R291" s="26" t="str">
        <f aca="false">IF($H291="","",IF(AND(ISNUMBER(SEARCH("CMT",$H291)),OR(ISNUMBER(SEARCH("완사입",$H291)),ISNUMBER(SEARCH("ODM",$H291)))),"본사/생산처 혼재",IF(ISNUMBER(SEARCH("CMT",$H291)),"본사(소재팀)","생산처")))</f>
        <v>본사(소재팀)</v>
      </c>
      <c r="S291" s="26" t="s">
        <v>223</v>
      </c>
      <c r="T291" s="25" t="s">
        <v>73</v>
      </c>
      <c r="U291" s="31" t="n">
        <v>2500</v>
      </c>
      <c r="V291" s="26"/>
      <c r="W291" s="26" t="str">
        <f aca="false">IF($K291="","출고일 미정",IF($O291="X","작지 미발행",IF($O291="부분","작지 일부 미발행",IF(AND($Q291&lt;&gt;"",$Q291&gt;$M291),"소재입고 마감("&amp;TEXT($M291,"MM/DD")&amp;") 초과",IF($O291="","발행여부 확인 필요",IF($Q291="","소재 입고일정 확인 필요","정상"))))))</f>
        <v>소재 입고일정 확인 필요</v>
      </c>
      <c r="X291" s="24" t="str">
        <f aca="false">IF($K291="","",IF(OR(LEFT($W291,2)="작지",LEFT($W291,4)="소재입고"),IF(LEFT($G291,1)="S","★ 납기위험(S코드)","◆ 지연주의"),IF($W291="정상","✓ 정상","? 확인필요")))</f>
        <v>? 확인필요</v>
      </c>
      <c r="Y291" s="27"/>
      <c r="Z291" s="32"/>
    </row>
    <row r="292" customFormat="false" ht="15" hidden="false" customHeight="false" outlineLevel="0" collapsed="false">
      <c r="A292" s="24" t="n">
        <v>288</v>
      </c>
      <c r="B292" s="25" t="s">
        <v>255</v>
      </c>
      <c r="C292" s="25" t="s">
        <v>256</v>
      </c>
      <c r="D292" s="26" t="s">
        <v>918</v>
      </c>
      <c r="E292" s="25" t="s">
        <v>919</v>
      </c>
      <c r="F292" s="26" t="s">
        <v>745</v>
      </c>
      <c r="G292" s="24" t="str">
        <f aca="false">IF($D292="","",IF(MID($D292,5,1)="S","S(봄)",IF(MID($D292,5,1)="M","M(여름)",IF(MID($D292,5,1)="X","X(사계절)",MID($D292,5,1)))))</f>
        <v>M(여름)</v>
      </c>
      <c r="H292" s="26" t="s">
        <v>197</v>
      </c>
      <c r="I292" s="24" t="s">
        <v>708</v>
      </c>
      <c r="J292" s="27" t="s">
        <v>793</v>
      </c>
      <c r="K292" s="28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8" t="n">
        <f aca="false">IF($K292="","",$K292-기준정보!$C$5)</f>
        <v>46454</v>
      </c>
      <c r="M292" s="28" t="n">
        <f aca="false">IF($L292="","",$L292-기준정보!$C$6)</f>
        <v>46364</v>
      </c>
      <c r="N292" s="29" t="n">
        <f aca="false">IF($M292="","",$M292-기준정보!$C$4)</f>
        <v>122</v>
      </c>
      <c r="O292" s="27" t="s">
        <v>70</v>
      </c>
      <c r="P292" s="27" t="s">
        <v>71</v>
      </c>
      <c r="Q292" s="30"/>
      <c r="R292" s="26" t="str">
        <f aca="false">IF($H292="","",IF(AND(ISNUMBER(SEARCH("CMT",$H292)),OR(ISNUMBER(SEARCH("완사입",$H292)),ISNUMBER(SEARCH("ODM",$H292)))),"본사/생산처 혼재",IF(ISNUMBER(SEARCH("CMT",$H292)),"본사(소재팀)","생산처")))</f>
        <v>본사(소재팀)</v>
      </c>
      <c r="S292" s="25" t="s">
        <v>87</v>
      </c>
      <c r="T292" s="25" t="s">
        <v>73</v>
      </c>
      <c r="U292" s="31" t="n">
        <v>2000</v>
      </c>
      <c r="V292" s="26"/>
      <c r="W292" s="26" t="str">
        <f aca="false">IF($K292="","출고일 미정",IF($O292="X","작지 미발행",IF($O292="부분","작지 일부 미발행",IF(AND($Q292&lt;&gt;"",$Q292&gt;$M292),"소재입고 마감("&amp;TEXT($M292,"MM/DD")&amp;") 초과",IF($O292="","발행여부 확인 필요",IF($Q292="","소재 입고일정 확인 필요","정상"))))))</f>
        <v>소재 입고일정 확인 필요</v>
      </c>
      <c r="X292" s="24" t="str">
        <f aca="false">IF($K292="","",IF(OR(LEFT($W292,2)="작지",LEFT($W292,4)="소재입고"),IF(LEFT($G292,1)="S","★ 납기위험(S코드)","◆ 지연주의"),IF($W292="정상","✓ 정상","? 확인필요")))</f>
        <v>? 확인필요</v>
      </c>
      <c r="Y292" s="27"/>
      <c r="Z292" s="32"/>
    </row>
    <row r="293" customFormat="false" ht="15" hidden="false" customHeight="false" outlineLevel="0" collapsed="false">
      <c r="A293" s="24" t="n">
        <v>289</v>
      </c>
      <c r="B293" s="25" t="s">
        <v>255</v>
      </c>
      <c r="C293" s="25" t="s">
        <v>256</v>
      </c>
      <c r="D293" s="26" t="s">
        <v>920</v>
      </c>
      <c r="E293" s="25" t="s">
        <v>921</v>
      </c>
      <c r="F293" s="26" t="s">
        <v>107</v>
      </c>
      <c r="G293" s="24" t="str">
        <f aca="false">IF($D293="","",IF(MID($D293,5,1)="S","S(봄)",IF(MID($D293,5,1)="M","M(여름)",IF(MID($D293,5,1)="X","X(사계절)",MID($D293,5,1)))))</f>
        <v>M(여름)</v>
      </c>
      <c r="H293" s="26" t="s">
        <v>197</v>
      </c>
      <c r="I293" s="24" t="s">
        <v>497</v>
      </c>
      <c r="J293" s="27" t="s">
        <v>793</v>
      </c>
      <c r="K293" s="28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8" t="n">
        <f aca="false">IF($K293="","",$K293-기준정보!$C$5)</f>
        <v>46454</v>
      </c>
      <c r="M293" s="28" t="n">
        <f aca="false">IF($L293="","",$L293-기준정보!$C$6)</f>
        <v>46364</v>
      </c>
      <c r="N293" s="29" t="n">
        <f aca="false">IF($M293="","",$M293-기준정보!$C$4)</f>
        <v>122</v>
      </c>
      <c r="O293" s="27" t="s">
        <v>70</v>
      </c>
      <c r="P293" s="27" t="s">
        <v>71</v>
      </c>
      <c r="Q293" s="30"/>
      <c r="R293" s="26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S293" s="25" t="s">
        <v>87</v>
      </c>
      <c r="T293" s="25" t="s">
        <v>73</v>
      </c>
      <c r="U293" s="31" t="n">
        <v>1600</v>
      </c>
      <c r="V293" s="26"/>
      <c r="W293" s="26" t="str">
        <f aca="false">IF($K293="","출고일 미정",IF($O293="X","작지 미발행",IF($O293="부분","작지 일부 미발행",IF(AND($Q293&lt;&gt;"",$Q293&gt;$M293),"소재입고 마감("&amp;TEXT($M293,"MM/DD")&amp;") 초과",IF($O293="","발행여부 확인 필요",IF($Q293="","소재 입고일정 확인 필요","정상"))))))</f>
        <v>소재 입고일정 확인 필요</v>
      </c>
      <c r="X293" s="24" t="str">
        <f aca="false">IF($K293="","",IF(OR(LEFT($W293,2)="작지",LEFT($W293,4)="소재입고"),IF(LEFT($G293,1)="S","★ 납기위험(S코드)","◆ 지연주의"),IF($W293="정상","✓ 정상","? 확인필요")))</f>
        <v>? 확인필요</v>
      </c>
      <c r="Y293" s="27"/>
      <c r="Z293" s="32"/>
    </row>
    <row r="294" customFormat="false" ht="15" hidden="false" customHeight="false" outlineLevel="0" collapsed="false">
      <c r="A294" s="24" t="n">
        <v>290</v>
      </c>
      <c r="B294" s="25" t="s">
        <v>255</v>
      </c>
      <c r="C294" s="25" t="s">
        <v>256</v>
      </c>
      <c r="D294" s="26" t="s">
        <v>922</v>
      </c>
      <c r="E294" s="25" t="s">
        <v>923</v>
      </c>
      <c r="F294" s="26" t="s">
        <v>924</v>
      </c>
      <c r="G294" s="24" t="str">
        <f aca="false">IF($D294="","",IF(MID($D294,5,1)="S","S(봄)",IF(MID($D294,5,1)="M","M(여름)",IF(MID($D294,5,1)="X","X(사계절)",MID($D294,5,1)))))</f>
        <v>M(여름)</v>
      </c>
      <c r="H294" s="26" t="s">
        <v>197</v>
      </c>
      <c r="I294" s="24" t="s">
        <v>494</v>
      </c>
      <c r="J294" s="27" t="s">
        <v>793</v>
      </c>
      <c r="K294" s="28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8" t="n">
        <f aca="false">IF($K294="","",$K294-기준정보!$C$5)</f>
        <v>46454</v>
      </c>
      <c r="M294" s="28" t="n">
        <f aca="false">IF($L294="","",$L294-기준정보!$C$6)</f>
        <v>46364</v>
      </c>
      <c r="N294" s="29" t="n">
        <f aca="false">IF($M294="","",$M294-기준정보!$C$4)</f>
        <v>122</v>
      </c>
      <c r="O294" s="27" t="s">
        <v>70</v>
      </c>
      <c r="P294" s="27" t="s">
        <v>71</v>
      </c>
      <c r="Q294" s="30"/>
      <c r="R294" s="26" t="str">
        <f aca="false">IF($H294="","",IF(AND(ISNUMBER(SEARCH("CMT",$H294)),OR(ISNUMBER(SEARCH("완사입",$H294)),ISNUMBER(SEARCH("ODM",$H294)))),"본사/생산처 혼재",IF(ISNUMBER(SEARCH("CMT",$H294)),"본사(소재팀)","생산처")))</f>
        <v>본사(소재팀)</v>
      </c>
      <c r="S294" s="26" t="s">
        <v>223</v>
      </c>
      <c r="T294" s="25" t="s">
        <v>73</v>
      </c>
      <c r="U294" s="31" t="n">
        <v>14000</v>
      </c>
      <c r="V294" s="26"/>
      <c r="W294" s="26" t="str">
        <f aca="false">IF($K294="","출고일 미정",IF($O294="X","작지 미발행",IF($O294="부분","작지 일부 미발행",IF(AND($Q294&lt;&gt;"",$Q294&gt;$M294),"소재입고 마감("&amp;TEXT($M294,"MM/DD")&amp;") 초과",IF($O294="","발행여부 확인 필요",IF($Q294="","소재 입고일정 확인 필요","정상"))))))</f>
        <v>소재 입고일정 확인 필요</v>
      </c>
      <c r="X294" s="24" t="str">
        <f aca="false">IF($K294="","",IF(OR(LEFT($W294,2)="작지",LEFT($W294,4)="소재입고"),IF(LEFT($G294,1)="S","★ 납기위험(S코드)","◆ 지연주의"),IF($W294="정상","✓ 정상","? 확인필요")))</f>
        <v>? 확인필요</v>
      </c>
      <c r="Y294" s="27"/>
      <c r="Z294" s="32"/>
    </row>
    <row r="295" customFormat="false" ht="15" hidden="false" customHeight="false" outlineLevel="0" collapsed="false">
      <c r="A295" s="24" t="n">
        <v>291</v>
      </c>
      <c r="B295" s="25" t="s">
        <v>255</v>
      </c>
      <c r="C295" s="25" t="s">
        <v>256</v>
      </c>
      <c r="D295" s="26" t="s">
        <v>925</v>
      </c>
      <c r="E295" s="25" t="s">
        <v>926</v>
      </c>
      <c r="F295" s="26" t="s">
        <v>927</v>
      </c>
      <c r="G295" s="24" t="str">
        <f aca="false">IF($D295="","",IF(MID($D295,5,1)="S","S(봄)",IF(MID($D295,5,1)="M","M(여름)",IF(MID($D295,5,1)="X","X(사계절)",MID($D295,5,1)))))</f>
        <v>M(여름)</v>
      </c>
      <c r="H295" s="26" t="s">
        <v>197</v>
      </c>
      <c r="I295" s="24" t="s">
        <v>494</v>
      </c>
      <c r="J295" s="27" t="s">
        <v>793</v>
      </c>
      <c r="K295" s="28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8" t="n">
        <f aca="false">IF($K295="","",$K295-기준정보!$C$5)</f>
        <v>46454</v>
      </c>
      <c r="M295" s="28" t="n">
        <f aca="false">IF($L295="","",$L295-기준정보!$C$6)</f>
        <v>46364</v>
      </c>
      <c r="N295" s="29" t="n">
        <f aca="false">IF($M295="","",$M295-기준정보!$C$4)</f>
        <v>122</v>
      </c>
      <c r="O295" s="27" t="s">
        <v>70</v>
      </c>
      <c r="P295" s="27" t="s">
        <v>71</v>
      </c>
      <c r="Q295" s="30"/>
      <c r="R295" s="26" t="str">
        <f aca="false">IF($H295="","",IF(AND(ISNUMBER(SEARCH("CMT",$H295)),OR(ISNUMBER(SEARCH("완사입",$H295)),ISNUMBER(SEARCH("ODM",$H295)))),"본사/생산처 혼재",IF(ISNUMBER(SEARCH("CMT",$H295)),"본사(소재팀)","생산처")))</f>
        <v>본사(소재팀)</v>
      </c>
      <c r="S295" s="26" t="s">
        <v>223</v>
      </c>
      <c r="T295" s="25" t="s">
        <v>73</v>
      </c>
      <c r="U295" s="31" t="n">
        <v>5500</v>
      </c>
      <c r="V295" s="26"/>
      <c r="W295" s="26" t="str">
        <f aca="false">IF($K295="","출고일 미정",IF($O295="X","작지 미발행",IF($O295="부분","작지 일부 미발행",IF(AND($Q295&lt;&gt;"",$Q295&gt;$M295),"소재입고 마감("&amp;TEXT($M295,"MM/DD")&amp;") 초과",IF($O295="","발행여부 확인 필요",IF($Q295="","소재 입고일정 확인 필요","정상"))))))</f>
        <v>소재 입고일정 확인 필요</v>
      </c>
      <c r="X295" s="24" t="str">
        <f aca="false">IF($K295="","",IF(OR(LEFT($W295,2)="작지",LEFT($W295,4)="소재입고"),IF(LEFT($G295,1)="S","★ 납기위험(S코드)","◆ 지연주의"),IF($W295="정상","✓ 정상","? 확인필요")))</f>
        <v>? 확인필요</v>
      </c>
      <c r="Y295" s="27"/>
      <c r="Z295" s="32"/>
    </row>
    <row r="296" customFormat="false" ht="15" hidden="false" customHeight="false" outlineLevel="0" collapsed="false">
      <c r="A296" s="24" t="n">
        <v>292</v>
      </c>
      <c r="B296" s="25" t="s">
        <v>255</v>
      </c>
      <c r="C296" s="25" t="s">
        <v>250</v>
      </c>
      <c r="D296" s="26" t="s">
        <v>928</v>
      </c>
      <c r="E296" s="25" t="s">
        <v>929</v>
      </c>
      <c r="F296" s="26" t="s">
        <v>930</v>
      </c>
      <c r="G296" s="24" t="str">
        <f aca="false">IF($D296="","",IF(MID($D296,5,1)="S","S(봄)",IF(MID($D296,5,1)="M","M(여름)",IF(MID($D296,5,1)="X","X(사계절)",MID($D296,5,1)))))</f>
        <v>M(여름)</v>
      </c>
      <c r="H296" s="25" t="s">
        <v>67</v>
      </c>
      <c r="I296" s="24" t="s">
        <v>494</v>
      </c>
      <c r="J296" s="27" t="s">
        <v>793</v>
      </c>
      <c r="K296" s="28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8" t="n">
        <f aca="false">IF($K296="","",$K296-기준정보!$C$5)</f>
        <v>46454</v>
      </c>
      <c r="M296" s="28" t="n">
        <f aca="false">IF($L296="","",$L296-기준정보!$C$6)</f>
        <v>46364</v>
      </c>
      <c r="N296" s="29" t="n">
        <f aca="false">IF($M296="","",$M296-기준정보!$C$4)</f>
        <v>122</v>
      </c>
      <c r="O296" s="27" t="s">
        <v>70</v>
      </c>
      <c r="P296" s="27" t="s">
        <v>71</v>
      </c>
      <c r="Q296" s="30"/>
      <c r="R296" s="26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S296" s="25" t="s">
        <v>227</v>
      </c>
      <c r="T296" s="25" t="s">
        <v>73</v>
      </c>
      <c r="U296" s="31" t="n">
        <v>2800</v>
      </c>
      <c r="V296" s="26"/>
      <c r="W296" s="26" t="str">
        <f aca="false">IF($K296="","출고일 미정",IF($O296="X","작지 미발행",IF($O296="부분","작지 일부 미발행",IF(AND($Q296&lt;&gt;"",$Q296&gt;$M296),"소재입고 마감("&amp;TEXT($M296,"MM/DD")&amp;") 초과",IF($O296="","발행여부 확인 필요",IF($Q296="","소재 입고일정 확인 필요","정상"))))))</f>
        <v>소재 입고일정 확인 필요</v>
      </c>
      <c r="X296" s="24" t="str">
        <f aca="false">IF($K296="","",IF(OR(LEFT($W296,2)="작지",LEFT($W296,4)="소재입고"),IF(LEFT($G296,1)="S","★ 납기위험(S코드)","◆ 지연주의"),IF($W296="정상","✓ 정상","? 확인필요")))</f>
        <v>? 확인필요</v>
      </c>
      <c r="Y296" s="27"/>
      <c r="Z296" s="32"/>
    </row>
    <row r="297" customFormat="false" ht="15" hidden="false" customHeight="false" outlineLevel="0" collapsed="false">
      <c r="A297" s="24" t="n">
        <v>293</v>
      </c>
      <c r="B297" s="25" t="s">
        <v>255</v>
      </c>
      <c r="C297" s="25" t="s">
        <v>113</v>
      </c>
      <c r="D297" s="26" t="s">
        <v>931</v>
      </c>
      <c r="E297" s="25" t="s">
        <v>932</v>
      </c>
      <c r="F297" s="26" t="s">
        <v>933</v>
      </c>
      <c r="G297" s="24" t="str">
        <f aca="false">IF($D297="","",IF(MID($D297,5,1)="S","S(봄)",IF(MID($D297,5,1)="M","M(여름)",IF(MID($D297,5,1)="X","X(사계절)",MID($D297,5,1)))))</f>
        <v>M(여름)</v>
      </c>
      <c r="H297" s="25" t="s">
        <v>67</v>
      </c>
      <c r="I297" s="24" t="s">
        <v>494</v>
      </c>
      <c r="J297" s="27" t="s">
        <v>793</v>
      </c>
      <c r="K297" s="28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8" t="n">
        <f aca="false">IF($K297="","",$K297-기준정보!$C$5)</f>
        <v>46454</v>
      </c>
      <c r="M297" s="28" t="n">
        <f aca="false">IF($L297="","",$L297-기준정보!$C$6)</f>
        <v>46364</v>
      </c>
      <c r="N297" s="29" t="n">
        <f aca="false">IF($M297="","",$M297-기준정보!$C$4)</f>
        <v>122</v>
      </c>
      <c r="O297" s="27" t="s">
        <v>70</v>
      </c>
      <c r="P297" s="27"/>
      <c r="Q297" s="30"/>
      <c r="R297" s="26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S297" s="26" t="s">
        <v>231</v>
      </c>
      <c r="T297" s="25" t="s">
        <v>73</v>
      </c>
      <c r="U297" s="31" t="n">
        <v>6000</v>
      </c>
      <c r="V297" s="26"/>
      <c r="W297" s="26" t="str">
        <f aca="false">IF($K297="","출고일 미정",IF($O297="X","작지 미발행",IF($O297="부분","작지 일부 미발행",IF(AND($Q297&lt;&gt;"",$Q297&gt;$M297),"소재입고 마감("&amp;TEXT($M297,"MM/DD")&amp;") 초과",IF($O297="","발행여부 확인 필요",IF($Q297="","소재 입고일정 확인 필요","정상"))))))</f>
        <v>소재 입고일정 확인 필요</v>
      </c>
      <c r="X297" s="24" t="str">
        <f aca="false">IF($K297="","",IF(OR(LEFT($W297,2)="작지",LEFT($W297,4)="소재입고"),IF(LEFT($G297,1)="S","★ 납기위험(S코드)","◆ 지연주의"),IF($W297="정상","✓ 정상","? 확인필요")))</f>
        <v>? 확인필요</v>
      </c>
      <c r="Y297" s="27"/>
      <c r="Z297" s="32"/>
    </row>
    <row r="298" customFormat="false" ht="15" hidden="false" customHeight="false" outlineLevel="0" collapsed="false">
      <c r="A298" s="24" t="n">
        <v>294</v>
      </c>
      <c r="B298" s="25" t="s">
        <v>112</v>
      </c>
      <c r="C298" s="25" t="s">
        <v>113</v>
      </c>
      <c r="D298" s="26" t="s">
        <v>934</v>
      </c>
      <c r="E298" s="25" t="s">
        <v>935</v>
      </c>
      <c r="F298" s="26" t="s">
        <v>826</v>
      </c>
      <c r="G298" s="24" t="str">
        <f aca="false">IF($D298="","",IF(MID($D298,5,1)="S","S(봄)",IF(MID($D298,5,1)="M","M(여름)",IF(MID($D298,5,1)="X","X(사계절)",MID($D298,5,1)))))</f>
        <v>M(여름)</v>
      </c>
      <c r="H298" s="25" t="s">
        <v>67</v>
      </c>
      <c r="I298" s="24"/>
      <c r="J298" s="27" t="s">
        <v>793</v>
      </c>
      <c r="K298" s="28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8" t="n">
        <f aca="false">IF($K298="","",$K298-기준정보!$C$5)</f>
        <v>46454</v>
      </c>
      <c r="M298" s="28" t="n">
        <f aca="false">IF($L298="","",$L298-기준정보!$C$6)</f>
        <v>46364</v>
      </c>
      <c r="N298" s="29" t="n">
        <f aca="false">IF($M298="","",$M298-기준정보!$C$4)</f>
        <v>122</v>
      </c>
      <c r="O298" s="27" t="s">
        <v>70</v>
      </c>
      <c r="P298" s="27" t="s">
        <v>71</v>
      </c>
      <c r="Q298" s="30"/>
      <c r="R298" s="26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S298" s="26" t="s">
        <v>231</v>
      </c>
      <c r="T298" s="25" t="s">
        <v>78</v>
      </c>
      <c r="U298" s="31" t="n">
        <v>10000</v>
      </c>
      <c r="V298" s="26" t="s">
        <v>793</v>
      </c>
      <c r="W298" s="26" t="str">
        <f aca="false">IF($K298="","출고일 미정",IF($O298="X","작지 미발행",IF($O298="부분","작지 일부 미발행",IF(AND($Q298&lt;&gt;"",$Q298&gt;$M298),"소재입고 마감("&amp;TEXT($M298,"MM/DD")&amp;") 초과",IF($O298="","발행여부 확인 필요",IF($Q298="","소재 입고일정 확인 필요","정상"))))))</f>
        <v>소재 입고일정 확인 필요</v>
      </c>
      <c r="X298" s="24" t="str">
        <f aca="false">IF($K298="","",IF(OR(LEFT($W298,2)="작지",LEFT($W298,4)="소재입고"),IF(LEFT($G298,1)="S","★ 납기위험(S코드)","◆ 지연주의"),IF($W298="정상","✓ 정상","? 확인필요")))</f>
        <v>? 확인필요</v>
      </c>
      <c r="Y298" s="27"/>
      <c r="Z298" s="32"/>
    </row>
    <row r="299" customFormat="false" ht="15" hidden="false" customHeight="false" outlineLevel="0" collapsed="false">
      <c r="A299" s="24" t="n">
        <v>295</v>
      </c>
      <c r="B299" s="25" t="s">
        <v>255</v>
      </c>
      <c r="C299" s="25" t="s">
        <v>250</v>
      </c>
      <c r="D299" s="26" t="s">
        <v>936</v>
      </c>
      <c r="E299" s="25" t="s">
        <v>937</v>
      </c>
      <c r="F299" s="26" t="s">
        <v>909</v>
      </c>
      <c r="G299" s="24" t="str">
        <f aca="false">IF($D299="","",IF(MID($D299,5,1)="S","S(봄)",IF(MID($D299,5,1)="M","M(여름)",IF(MID($D299,5,1)="X","X(사계절)",MID($D299,5,1)))))</f>
        <v>M(여름)</v>
      </c>
      <c r="H299" s="25" t="s">
        <v>67</v>
      </c>
      <c r="I299" s="24" t="s">
        <v>494</v>
      </c>
      <c r="J299" s="27" t="s">
        <v>793</v>
      </c>
      <c r="K299" s="28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8" t="n">
        <f aca="false">IF($K299="","",$K299-기준정보!$C$5)</f>
        <v>46454</v>
      </c>
      <c r="M299" s="28" t="n">
        <f aca="false">IF($L299="","",$L299-기준정보!$C$6)</f>
        <v>46364</v>
      </c>
      <c r="N299" s="29" t="n">
        <f aca="false">IF($M299="","",$M299-기준정보!$C$4)</f>
        <v>122</v>
      </c>
      <c r="O299" s="27" t="s">
        <v>70</v>
      </c>
      <c r="P299" s="27" t="s">
        <v>71</v>
      </c>
      <c r="Q299" s="30"/>
      <c r="R299" s="26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S299" s="26" t="s">
        <v>231</v>
      </c>
      <c r="T299" s="25" t="s">
        <v>73</v>
      </c>
      <c r="U299" s="31" t="n">
        <v>7700</v>
      </c>
      <c r="V299" s="26"/>
      <c r="W299" s="26" t="str">
        <f aca="false">IF($K299="","출고일 미정",IF($O299="X","작지 미발행",IF($O299="부분","작지 일부 미발행",IF(AND($Q299&lt;&gt;"",$Q299&gt;$M299),"소재입고 마감("&amp;TEXT($M299,"MM/DD")&amp;") 초과",IF($O299="","발행여부 확인 필요",IF($Q299="","소재 입고일정 확인 필요","정상"))))))</f>
        <v>소재 입고일정 확인 필요</v>
      </c>
      <c r="X299" s="24" t="str">
        <f aca="false">IF($K299="","",IF(OR(LEFT($W299,2)="작지",LEFT($W299,4)="소재입고"),IF(LEFT($G299,1)="S","★ 납기위험(S코드)","◆ 지연주의"),IF($W299="정상","✓ 정상","? 확인필요")))</f>
        <v>? 확인필요</v>
      </c>
      <c r="Y299" s="27"/>
      <c r="Z299" s="32"/>
    </row>
    <row r="300" customFormat="false" ht="15" hidden="false" customHeight="false" outlineLevel="0" collapsed="false">
      <c r="A300" s="24" t="n">
        <v>296</v>
      </c>
      <c r="B300" s="25" t="s">
        <v>255</v>
      </c>
      <c r="C300" s="25" t="s">
        <v>250</v>
      </c>
      <c r="D300" s="26" t="s">
        <v>938</v>
      </c>
      <c r="E300" s="25" t="s">
        <v>939</v>
      </c>
      <c r="F300" s="26" t="s">
        <v>940</v>
      </c>
      <c r="G300" s="24" t="str">
        <f aca="false">IF($D300="","",IF(MID($D300,5,1)="S","S(봄)",IF(MID($D300,5,1)="M","M(여름)",IF(MID($D300,5,1)="X","X(사계절)",MID($D300,5,1)))))</f>
        <v>M(여름)</v>
      </c>
      <c r="H300" s="26" t="s">
        <v>197</v>
      </c>
      <c r="I300" s="24" t="s">
        <v>494</v>
      </c>
      <c r="J300" s="27" t="s">
        <v>793</v>
      </c>
      <c r="K300" s="28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8" t="n">
        <f aca="false">IF($K300="","",$K300-기준정보!$C$5)</f>
        <v>46454</v>
      </c>
      <c r="M300" s="28" t="n">
        <f aca="false">IF($L300="","",$L300-기준정보!$C$6)</f>
        <v>46364</v>
      </c>
      <c r="N300" s="29" t="n">
        <f aca="false">IF($M300="","",$M300-기준정보!$C$4)</f>
        <v>122</v>
      </c>
      <c r="O300" s="27" t="s">
        <v>70</v>
      </c>
      <c r="P300" s="27" t="s">
        <v>71</v>
      </c>
      <c r="Q300" s="30"/>
      <c r="R300" s="26" t="str">
        <f aca="false">IF($H300="","",IF(AND(ISNUMBER(SEARCH("CMT",$H300)),OR(ISNUMBER(SEARCH("완사입",$H300)),ISNUMBER(SEARCH("ODM",$H300)))),"본사/생산처 혼재",IF(ISNUMBER(SEARCH("CMT",$H300)),"본사(소재팀)","생산처")))</f>
        <v>본사(소재팀)</v>
      </c>
      <c r="S300" s="26" t="s">
        <v>231</v>
      </c>
      <c r="T300" s="25" t="s">
        <v>78</v>
      </c>
      <c r="U300" s="31" t="n">
        <v>2300</v>
      </c>
      <c r="V300" s="26"/>
      <c r="W300" s="26" t="str">
        <f aca="false">IF($K300="","출고일 미정",IF($O300="X","작지 미발행",IF($O300="부분","작지 일부 미발행",IF(AND($Q300&lt;&gt;"",$Q300&gt;$M300),"소재입고 마감("&amp;TEXT($M300,"MM/DD")&amp;") 초과",IF($O300="","발행여부 확인 필요",IF($Q300="","소재 입고일정 확인 필요","정상"))))))</f>
        <v>소재 입고일정 확인 필요</v>
      </c>
      <c r="X300" s="24" t="str">
        <f aca="false">IF($K300="","",IF(OR(LEFT($W300,2)="작지",LEFT($W300,4)="소재입고"),IF(LEFT($G300,1)="S","★ 납기위험(S코드)","◆ 지연주의"),IF($W300="정상","✓ 정상","? 확인필요")))</f>
        <v>? 확인필요</v>
      </c>
      <c r="Y300" s="27"/>
      <c r="Z300" s="32"/>
    </row>
    <row r="301" customFormat="false" ht="15" hidden="false" customHeight="false" outlineLevel="0" collapsed="false">
      <c r="A301" s="24" t="n">
        <v>297</v>
      </c>
      <c r="B301" s="25" t="s">
        <v>241</v>
      </c>
      <c r="C301" s="25" t="s">
        <v>250</v>
      </c>
      <c r="D301" s="26" t="s">
        <v>941</v>
      </c>
      <c r="E301" s="25" t="s">
        <v>942</v>
      </c>
      <c r="F301" s="26" t="s">
        <v>943</v>
      </c>
      <c r="G301" s="24" t="str">
        <f aca="false">IF($D301="","",IF(MID($D301,5,1)="S","S(봄)",IF(MID($D301,5,1)="M","M(여름)",IF(MID($D301,5,1)="X","X(사계절)",MID($D301,5,1)))))</f>
        <v>M(여름)</v>
      </c>
      <c r="H301" s="26" t="s">
        <v>197</v>
      </c>
      <c r="I301" s="24"/>
      <c r="J301" s="27" t="s">
        <v>793</v>
      </c>
      <c r="K301" s="28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8" t="n">
        <f aca="false">IF($K301="","",$K301-기준정보!$C$5)</f>
        <v>46454</v>
      </c>
      <c r="M301" s="28" t="n">
        <f aca="false">IF($L301="","",$L301-기준정보!$C$6)</f>
        <v>46364</v>
      </c>
      <c r="N301" s="29" t="n">
        <f aca="false">IF($M301="","",$M301-기준정보!$C$4)</f>
        <v>122</v>
      </c>
      <c r="O301" s="27" t="s">
        <v>70</v>
      </c>
      <c r="P301" s="27" t="s">
        <v>71</v>
      </c>
      <c r="Q301" s="30"/>
      <c r="R301" s="26" t="str">
        <f aca="false">IF($H301="","",IF(AND(ISNUMBER(SEARCH("CMT",$H301)),OR(ISNUMBER(SEARCH("완사입",$H301)),ISNUMBER(SEARCH("ODM",$H301)))),"본사/생산처 혼재",IF(ISNUMBER(SEARCH("CMT",$H301)),"본사(소재팀)","생산처")))</f>
        <v>본사(소재팀)</v>
      </c>
      <c r="S301" s="26" t="s">
        <v>223</v>
      </c>
      <c r="T301" s="25" t="s">
        <v>73</v>
      </c>
      <c r="U301" s="31" t="n">
        <v>3500</v>
      </c>
      <c r="V301" s="26" t="s">
        <v>793</v>
      </c>
      <c r="W301" s="26" t="str">
        <f aca="false">IF($K301="","출고일 미정",IF($O301="X","작지 미발행",IF($O301="부분","작지 일부 미발행",IF(AND($Q301&lt;&gt;"",$Q301&gt;$M301),"소재입고 마감("&amp;TEXT($M301,"MM/DD")&amp;") 초과",IF($O301="","발행여부 확인 필요",IF($Q301="","소재 입고일정 확인 필요","정상"))))))</f>
        <v>소재 입고일정 확인 필요</v>
      </c>
      <c r="X301" s="24" t="str">
        <f aca="false">IF($K301="","",IF(OR(LEFT($W301,2)="작지",LEFT($W301,4)="소재입고"),IF(LEFT($G301,1)="S","★ 납기위험(S코드)","◆ 지연주의"),IF($W301="정상","✓ 정상","? 확인필요")))</f>
        <v>? 확인필요</v>
      </c>
      <c r="Y301" s="27"/>
      <c r="Z301" s="32"/>
    </row>
    <row r="302" customFormat="false" ht="15" hidden="false" customHeight="false" outlineLevel="0" collapsed="false">
      <c r="A302" s="24" t="n">
        <v>298</v>
      </c>
      <c r="B302" s="25" t="s">
        <v>241</v>
      </c>
      <c r="C302" s="25" t="s">
        <v>250</v>
      </c>
      <c r="D302" s="26" t="s">
        <v>944</v>
      </c>
      <c r="E302" s="25" t="s">
        <v>945</v>
      </c>
      <c r="F302" s="26" t="s">
        <v>946</v>
      </c>
      <c r="G302" s="24" t="str">
        <f aca="false">IF($D302="","",IF(MID($D302,5,1)="S","S(봄)",IF(MID($D302,5,1)="M","M(여름)",IF(MID($D302,5,1)="X","X(사계절)",MID($D302,5,1)))))</f>
        <v>M(여름)</v>
      </c>
      <c r="H302" s="26" t="s">
        <v>197</v>
      </c>
      <c r="I302" s="24"/>
      <c r="J302" s="27" t="s">
        <v>793</v>
      </c>
      <c r="K302" s="28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8" t="n">
        <f aca="false">IF($K302="","",$K302-기준정보!$C$5)</f>
        <v>46454</v>
      </c>
      <c r="M302" s="28" t="n">
        <f aca="false">IF($L302="","",$L302-기준정보!$C$6)</f>
        <v>46364</v>
      </c>
      <c r="N302" s="29" t="n">
        <f aca="false">IF($M302="","",$M302-기준정보!$C$4)</f>
        <v>122</v>
      </c>
      <c r="O302" s="27" t="s">
        <v>70</v>
      </c>
      <c r="P302" s="27" t="s">
        <v>71</v>
      </c>
      <c r="Q302" s="30"/>
      <c r="R302" s="26" t="str">
        <f aca="false">IF($H302="","",IF(AND(ISNUMBER(SEARCH("CMT",$H302)),OR(ISNUMBER(SEARCH("완사입",$H302)),ISNUMBER(SEARCH("ODM",$H302)))),"본사/생산처 혼재",IF(ISNUMBER(SEARCH("CMT",$H302)),"본사(소재팀)","생산처")))</f>
        <v>본사(소재팀)</v>
      </c>
      <c r="S302" s="26" t="s">
        <v>223</v>
      </c>
      <c r="T302" s="25" t="s">
        <v>73</v>
      </c>
      <c r="U302" s="31" t="n">
        <v>1600</v>
      </c>
      <c r="V302" s="26" t="s">
        <v>793</v>
      </c>
      <c r="W302" s="26" t="str">
        <f aca="false">IF($K302="","출고일 미정",IF($O302="X","작지 미발행",IF($O302="부분","작지 일부 미발행",IF(AND($Q302&lt;&gt;"",$Q302&gt;$M302),"소재입고 마감("&amp;TEXT($M302,"MM/DD")&amp;") 초과",IF($O302="","발행여부 확인 필요",IF($Q302="","소재 입고일정 확인 필요","정상"))))))</f>
        <v>소재 입고일정 확인 필요</v>
      </c>
      <c r="X302" s="24" t="str">
        <f aca="false">IF($K302="","",IF(OR(LEFT($W302,2)="작지",LEFT($W302,4)="소재입고"),IF(LEFT($G302,1)="S","★ 납기위험(S코드)","◆ 지연주의"),IF($W302="정상","✓ 정상","? 확인필요")))</f>
        <v>? 확인필요</v>
      </c>
      <c r="Y302" s="27"/>
      <c r="Z302" s="32"/>
    </row>
    <row r="303" customFormat="false" ht="15" hidden="false" customHeight="false" outlineLevel="0" collapsed="false">
      <c r="A303" s="24" t="n">
        <v>299</v>
      </c>
      <c r="B303" s="25" t="s">
        <v>241</v>
      </c>
      <c r="C303" s="25" t="s">
        <v>250</v>
      </c>
      <c r="D303" s="26" t="s">
        <v>947</v>
      </c>
      <c r="E303" s="25" t="s">
        <v>948</v>
      </c>
      <c r="F303" s="26" t="s">
        <v>943</v>
      </c>
      <c r="G303" s="24" t="str">
        <f aca="false">IF($D303="","",IF(MID($D303,5,1)="S","S(봄)",IF(MID($D303,5,1)="M","M(여름)",IF(MID($D303,5,1)="X","X(사계절)",MID($D303,5,1)))))</f>
        <v>M(여름)</v>
      </c>
      <c r="H303" s="26" t="s">
        <v>197</v>
      </c>
      <c r="I303" s="24"/>
      <c r="J303" s="27" t="s">
        <v>793</v>
      </c>
      <c r="K303" s="28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8" t="n">
        <f aca="false">IF($K303="","",$K303-기준정보!$C$5)</f>
        <v>46454</v>
      </c>
      <c r="M303" s="28" t="n">
        <f aca="false">IF($L303="","",$L303-기준정보!$C$6)</f>
        <v>46364</v>
      </c>
      <c r="N303" s="29" t="n">
        <f aca="false">IF($M303="","",$M303-기준정보!$C$4)</f>
        <v>122</v>
      </c>
      <c r="O303" s="27" t="s">
        <v>70</v>
      </c>
      <c r="P303" s="27" t="s">
        <v>71</v>
      </c>
      <c r="Q303" s="30"/>
      <c r="R303" s="26" t="str">
        <f aca="false">IF($H303="","",IF(AND(ISNUMBER(SEARCH("CMT",$H303)),OR(ISNUMBER(SEARCH("완사입",$H303)),ISNUMBER(SEARCH("ODM",$H303)))),"본사/생산처 혼재",IF(ISNUMBER(SEARCH("CMT",$H303)),"본사(소재팀)","생산처")))</f>
        <v>본사(소재팀)</v>
      </c>
      <c r="S303" s="26" t="s">
        <v>137</v>
      </c>
      <c r="T303" s="25" t="s">
        <v>73</v>
      </c>
      <c r="U303" s="31" t="n">
        <v>2000</v>
      </c>
      <c r="V303" s="26" t="s">
        <v>793</v>
      </c>
      <c r="W303" s="26" t="str">
        <f aca="false">IF($K303="","출고일 미정",IF($O303="X","작지 미발행",IF($O303="부분","작지 일부 미발행",IF(AND($Q303&lt;&gt;"",$Q303&gt;$M303),"소재입고 마감("&amp;TEXT($M303,"MM/DD")&amp;") 초과",IF($O303="","발행여부 확인 필요",IF($Q303="","소재 입고일정 확인 필요","정상"))))))</f>
        <v>소재 입고일정 확인 필요</v>
      </c>
      <c r="X303" s="24" t="str">
        <f aca="false">IF($K303="","",IF(OR(LEFT($W303,2)="작지",LEFT($W303,4)="소재입고"),IF(LEFT($G303,1)="S","★ 납기위험(S코드)","◆ 지연주의"),IF($W303="정상","✓ 정상","? 확인필요")))</f>
        <v>? 확인필요</v>
      </c>
      <c r="Y303" s="27"/>
      <c r="Z303" s="32"/>
    </row>
    <row r="304" customFormat="false" ht="15" hidden="false" customHeight="false" outlineLevel="0" collapsed="false">
      <c r="A304" s="24" t="n">
        <v>300</v>
      </c>
      <c r="B304" s="25" t="s">
        <v>241</v>
      </c>
      <c r="C304" s="25" t="s">
        <v>250</v>
      </c>
      <c r="D304" s="26" t="s">
        <v>949</v>
      </c>
      <c r="E304" s="25" t="s">
        <v>950</v>
      </c>
      <c r="F304" s="26" t="s">
        <v>290</v>
      </c>
      <c r="G304" s="24" t="str">
        <f aca="false">IF($D304="","",IF(MID($D304,5,1)="S","S(봄)",IF(MID($D304,5,1)="M","M(여름)",IF(MID($D304,5,1)="X","X(사계절)",MID($D304,5,1)))))</f>
        <v>M(여름)</v>
      </c>
      <c r="H304" s="26" t="s">
        <v>197</v>
      </c>
      <c r="I304" s="24"/>
      <c r="J304" s="27" t="s">
        <v>793</v>
      </c>
      <c r="K304" s="28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8" t="n">
        <f aca="false">IF($K304="","",$K304-기준정보!$C$5)</f>
        <v>46454</v>
      </c>
      <c r="M304" s="28" t="n">
        <f aca="false">IF($L304="","",$L304-기준정보!$C$6)</f>
        <v>46364</v>
      </c>
      <c r="N304" s="29" t="n">
        <f aca="false">IF($M304="","",$M304-기준정보!$C$4)</f>
        <v>122</v>
      </c>
      <c r="O304" s="27" t="s">
        <v>70</v>
      </c>
      <c r="P304" s="27" t="s">
        <v>71</v>
      </c>
      <c r="Q304" s="30"/>
      <c r="R304" s="26" t="str">
        <f aca="false">IF($H304="","",IF(AND(ISNUMBER(SEARCH("CMT",$H304)),OR(ISNUMBER(SEARCH("완사입",$H304)),ISNUMBER(SEARCH("ODM",$H304)))),"본사/생산처 혼재",IF(ISNUMBER(SEARCH("CMT",$H304)),"본사(소재팀)","생산처")))</f>
        <v>본사(소재팀)</v>
      </c>
      <c r="S304" s="26" t="s">
        <v>137</v>
      </c>
      <c r="T304" s="25" t="s">
        <v>73</v>
      </c>
      <c r="U304" s="31" t="n">
        <v>3000</v>
      </c>
      <c r="V304" s="26" t="s">
        <v>793</v>
      </c>
      <c r="W304" s="26" t="str">
        <f aca="false">IF($K304="","출고일 미정",IF($O304="X","작지 미발행",IF($O304="부분","작지 일부 미발행",IF(AND($Q304&lt;&gt;"",$Q304&gt;$M304),"소재입고 마감("&amp;TEXT($M304,"MM/DD")&amp;") 초과",IF($O304="","발행여부 확인 필요",IF($Q304="","소재 입고일정 확인 필요","정상"))))))</f>
        <v>소재 입고일정 확인 필요</v>
      </c>
      <c r="X304" s="24" t="str">
        <f aca="false">IF($K304="","",IF(OR(LEFT($W304,2)="작지",LEFT($W304,4)="소재입고"),IF(LEFT($G304,1)="S","★ 납기위험(S코드)","◆ 지연주의"),IF($W304="정상","✓ 정상","? 확인필요")))</f>
        <v>? 확인필요</v>
      </c>
      <c r="Y304" s="27"/>
      <c r="Z304" s="32"/>
    </row>
    <row r="305" customFormat="false" ht="15" hidden="false" customHeight="false" outlineLevel="0" collapsed="false">
      <c r="A305" s="24" t="n">
        <v>301</v>
      </c>
      <c r="B305" s="25" t="s">
        <v>241</v>
      </c>
      <c r="C305" s="25" t="s">
        <v>250</v>
      </c>
      <c r="D305" s="26" t="s">
        <v>951</v>
      </c>
      <c r="E305" s="25" t="s">
        <v>952</v>
      </c>
      <c r="F305" s="26" t="s">
        <v>953</v>
      </c>
      <c r="G305" s="24" t="str">
        <f aca="false">IF($D305="","",IF(MID($D305,5,1)="S","S(봄)",IF(MID($D305,5,1)="M","M(여름)",IF(MID($D305,5,1)="X","X(사계절)",MID($D305,5,1)))))</f>
        <v>M(여름)</v>
      </c>
      <c r="H305" s="26" t="s">
        <v>197</v>
      </c>
      <c r="I305" s="24"/>
      <c r="J305" s="27" t="s">
        <v>793</v>
      </c>
      <c r="K305" s="28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8" t="n">
        <f aca="false">IF($K305="","",$K305-기준정보!$C$5)</f>
        <v>46454</v>
      </c>
      <c r="M305" s="28" t="n">
        <f aca="false">IF($L305="","",$L305-기준정보!$C$6)</f>
        <v>46364</v>
      </c>
      <c r="N305" s="29" t="n">
        <f aca="false">IF($M305="","",$M305-기준정보!$C$4)</f>
        <v>122</v>
      </c>
      <c r="O305" s="27" t="s">
        <v>70</v>
      </c>
      <c r="P305" s="27" t="s">
        <v>71</v>
      </c>
      <c r="Q305" s="30"/>
      <c r="R305" s="26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S305" s="26" t="s">
        <v>223</v>
      </c>
      <c r="T305" s="25" t="s">
        <v>73</v>
      </c>
      <c r="U305" s="31" t="n">
        <v>5500</v>
      </c>
      <c r="V305" s="26" t="s">
        <v>793</v>
      </c>
      <c r="W305" s="26" t="str">
        <f aca="false">IF($K305="","출고일 미정",IF($O305="X","작지 미발행",IF($O305="부분","작지 일부 미발행",IF(AND($Q305&lt;&gt;"",$Q305&gt;$M305),"소재입고 마감("&amp;TEXT($M305,"MM/DD")&amp;") 초과",IF($O305="","발행여부 확인 필요",IF($Q305="","소재 입고일정 확인 필요","정상"))))))</f>
        <v>소재 입고일정 확인 필요</v>
      </c>
      <c r="X305" s="24" t="str">
        <f aca="false">IF($K305="","",IF(OR(LEFT($W305,2)="작지",LEFT($W305,4)="소재입고"),IF(LEFT($G305,1)="S","★ 납기위험(S코드)","◆ 지연주의"),IF($W305="정상","✓ 정상","? 확인필요")))</f>
        <v>? 확인필요</v>
      </c>
      <c r="Y305" s="27"/>
      <c r="Z305" s="32"/>
    </row>
    <row r="306" customFormat="false" ht="15" hidden="false" customHeight="false" outlineLevel="0" collapsed="false">
      <c r="A306" s="24" t="n">
        <v>302</v>
      </c>
      <c r="B306" s="25" t="s">
        <v>241</v>
      </c>
      <c r="C306" s="25" t="s">
        <v>250</v>
      </c>
      <c r="D306" s="26" t="s">
        <v>954</v>
      </c>
      <c r="E306" s="25" t="s">
        <v>955</v>
      </c>
      <c r="F306" s="26" t="s">
        <v>956</v>
      </c>
      <c r="G306" s="24" t="str">
        <f aca="false">IF($D306="","",IF(MID($D306,5,1)="S","S(봄)",IF(MID($D306,5,1)="M","M(여름)",IF(MID($D306,5,1)="X","X(사계절)",MID($D306,5,1)))))</f>
        <v>M(여름)</v>
      </c>
      <c r="H306" s="26" t="s">
        <v>197</v>
      </c>
      <c r="I306" s="24"/>
      <c r="J306" s="27" t="s">
        <v>793</v>
      </c>
      <c r="K306" s="28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8" t="n">
        <f aca="false">IF($K306="","",$K306-기준정보!$C$5)</f>
        <v>46454</v>
      </c>
      <c r="M306" s="28" t="n">
        <f aca="false">IF($L306="","",$L306-기준정보!$C$6)</f>
        <v>46364</v>
      </c>
      <c r="N306" s="29" t="n">
        <f aca="false">IF($M306="","",$M306-기준정보!$C$4)</f>
        <v>122</v>
      </c>
      <c r="O306" s="27" t="s">
        <v>70</v>
      </c>
      <c r="P306" s="27" t="s">
        <v>71</v>
      </c>
      <c r="Q306" s="30"/>
      <c r="R306" s="26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S306" s="26" t="s">
        <v>223</v>
      </c>
      <c r="T306" s="25" t="s">
        <v>73</v>
      </c>
      <c r="U306" s="31" t="n">
        <v>5200</v>
      </c>
      <c r="V306" s="26" t="s">
        <v>793</v>
      </c>
      <c r="W306" s="26" t="str">
        <f aca="false">IF($K306="","출고일 미정",IF($O306="X","작지 미발행",IF($O306="부분","작지 일부 미발행",IF(AND($Q306&lt;&gt;"",$Q306&gt;$M306),"소재입고 마감("&amp;TEXT($M306,"MM/DD")&amp;") 초과",IF($O306="","발행여부 확인 필요",IF($Q306="","소재 입고일정 확인 필요","정상"))))))</f>
        <v>소재 입고일정 확인 필요</v>
      </c>
      <c r="X306" s="24" t="str">
        <f aca="false">IF($K306="","",IF(OR(LEFT($W306,2)="작지",LEFT($W306,4)="소재입고"),IF(LEFT($G306,1)="S","★ 납기위험(S코드)","◆ 지연주의"),IF($W306="정상","✓ 정상","? 확인필요")))</f>
        <v>? 확인필요</v>
      </c>
      <c r="Y306" s="27"/>
      <c r="Z306" s="32"/>
    </row>
    <row r="307" customFormat="false" ht="15" hidden="false" customHeight="false" outlineLevel="0" collapsed="false">
      <c r="A307" s="24" t="n">
        <v>303</v>
      </c>
      <c r="B307" s="25" t="s">
        <v>241</v>
      </c>
      <c r="C307" s="25" t="s">
        <v>250</v>
      </c>
      <c r="D307" s="26" t="s">
        <v>957</v>
      </c>
      <c r="E307" s="25" t="s">
        <v>958</v>
      </c>
      <c r="F307" s="26" t="s">
        <v>959</v>
      </c>
      <c r="G307" s="24" t="str">
        <f aca="false">IF($D307="","",IF(MID($D307,5,1)="S","S(봄)",IF(MID($D307,5,1)="M","M(여름)",IF(MID($D307,5,1)="X","X(사계절)",MID($D307,5,1)))))</f>
        <v>M(여름)</v>
      </c>
      <c r="H307" s="25" t="s">
        <v>67</v>
      </c>
      <c r="I307" s="24"/>
      <c r="J307" s="27" t="s">
        <v>793</v>
      </c>
      <c r="K307" s="28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8" t="n">
        <f aca="false">IF($K307="","",$K307-기준정보!$C$5)</f>
        <v>46454</v>
      </c>
      <c r="M307" s="28" t="n">
        <f aca="false">IF($L307="","",$L307-기준정보!$C$6)</f>
        <v>46364</v>
      </c>
      <c r="N307" s="29" t="n">
        <f aca="false">IF($M307="","",$M307-기준정보!$C$4)</f>
        <v>122</v>
      </c>
      <c r="O307" s="27" t="s">
        <v>70</v>
      </c>
      <c r="P307" s="27" t="s">
        <v>71</v>
      </c>
      <c r="Q307" s="30"/>
      <c r="R307" s="26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S307" s="25" t="s">
        <v>227</v>
      </c>
      <c r="T307" s="25" t="s">
        <v>73</v>
      </c>
      <c r="U307" s="31" t="n">
        <v>2100</v>
      </c>
      <c r="V307" s="26" t="s">
        <v>793</v>
      </c>
      <c r="W307" s="26" t="str">
        <f aca="false">IF($K307="","출고일 미정",IF($O307="X","작지 미발행",IF($O307="부분","작지 일부 미발행",IF(AND($Q307&lt;&gt;"",$Q307&gt;$M307),"소재입고 마감("&amp;TEXT($M307,"MM/DD")&amp;") 초과",IF($O307="","발행여부 확인 필요",IF($Q307="","소재 입고일정 확인 필요","정상"))))))</f>
        <v>소재 입고일정 확인 필요</v>
      </c>
      <c r="X307" s="24" t="str">
        <f aca="false">IF($K307="","",IF(OR(LEFT($W307,2)="작지",LEFT($W307,4)="소재입고"),IF(LEFT($G307,1)="S","★ 납기위험(S코드)","◆ 지연주의"),IF($W307="정상","✓ 정상","? 확인필요")))</f>
        <v>? 확인필요</v>
      </c>
      <c r="Y307" s="27"/>
      <c r="Z307" s="32"/>
    </row>
    <row r="308" customFormat="false" ht="15" hidden="false" customHeight="false" outlineLevel="0" collapsed="false">
      <c r="A308" s="24" t="n">
        <v>304</v>
      </c>
      <c r="B308" s="25" t="s">
        <v>255</v>
      </c>
      <c r="C308" s="25" t="s">
        <v>113</v>
      </c>
      <c r="D308" s="26" t="s">
        <v>960</v>
      </c>
      <c r="E308" s="25" t="s">
        <v>961</v>
      </c>
      <c r="F308" s="26" t="s">
        <v>933</v>
      </c>
      <c r="G308" s="24" t="str">
        <f aca="false">IF($D308="","",IF(MID($D308,5,1)="S","S(봄)",IF(MID($D308,5,1)="M","M(여름)",IF(MID($D308,5,1)="X","X(사계절)",MID($D308,5,1)))))</f>
        <v>M(여름)</v>
      </c>
      <c r="H308" s="25" t="s">
        <v>67</v>
      </c>
      <c r="I308" s="24" t="s">
        <v>494</v>
      </c>
      <c r="J308" s="27" t="s">
        <v>793</v>
      </c>
      <c r="K308" s="28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8" t="n">
        <f aca="false">IF($K308="","",$K308-기준정보!$C$5)</f>
        <v>46454</v>
      </c>
      <c r="M308" s="28" t="n">
        <f aca="false">IF($L308="","",$L308-기준정보!$C$6)</f>
        <v>46364</v>
      </c>
      <c r="N308" s="29" t="n">
        <f aca="false">IF($M308="","",$M308-기준정보!$C$4)</f>
        <v>122</v>
      </c>
      <c r="O308" s="27" t="s">
        <v>70</v>
      </c>
      <c r="P308" s="27"/>
      <c r="Q308" s="30"/>
      <c r="R308" s="26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S308" s="26" t="s">
        <v>231</v>
      </c>
      <c r="T308" s="25" t="s">
        <v>73</v>
      </c>
      <c r="U308" s="31" t="n">
        <v>3000</v>
      </c>
      <c r="V308" s="26"/>
      <c r="W308" s="26" t="str">
        <f aca="false">IF($K308="","출고일 미정",IF($O308="X","작지 미발행",IF($O308="부분","작지 일부 미발행",IF(AND($Q308&lt;&gt;"",$Q308&gt;$M308),"소재입고 마감("&amp;TEXT($M308,"MM/DD")&amp;") 초과",IF($O308="","발행여부 확인 필요",IF($Q308="","소재 입고일정 확인 필요","정상"))))))</f>
        <v>소재 입고일정 확인 필요</v>
      </c>
      <c r="X308" s="24" t="str">
        <f aca="false">IF($K308="","",IF(OR(LEFT($W308,2)="작지",LEFT($W308,4)="소재입고"),IF(LEFT($G308,1)="S","★ 납기위험(S코드)","◆ 지연주의"),IF($W308="정상","✓ 정상","? 확인필요")))</f>
        <v>? 확인필요</v>
      </c>
      <c r="Y308" s="27"/>
      <c r="Z308" s="32"/>
    </row>
    <row r="309" customFormat="false" ht="15" hidden="false" customHeight="false" outlineLevel="0" collapsed="false">
      <c r="A309" s="24" t="n">
        <v>305</v>
      </c>
      <c r="B309" s="25" t="s">
        <v>112</v>
      </c>
      <c r="C309" s="25" t="s">
        <v>113</v>
      </c>
      <c r="D309" s="26" t="s">
        <v>962</v>
      </c>
      <c r="E309" s="25" t="s">
        <v>963</v>
      </c>
      <c r="F309" s="26" t="s">
        <v>93</v>
      </c>
      <c r="G309" s="24" t="str">
        <f aca="false">IF($D309="","",IF(MID($D309,5,1)="S","S(봄)",IF(MID($D309,5,1)="M","M(여름)",IF(MID($D309,5,1)="X","X(사계절)",MID($D309,5,1)))))</f>
        <v>M(여름)</v>
      </c>
      <c r="H309" s="25" t="s">
        <v>67</v>
      </c>
      <c r="I309" s="24"/>
      <c r="J309" s="27" t="s">
        <v>793</v>
      </c>
      <c r="K309" s="28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8" t="n">
        <f aca="false">IF($K309="","",$K309-기준정보!$C$5)</f>
        <v>46454</v>
      </c>
      <c r="M309" s="28" t="n">
        <f aca="false">IF($L309="","",$L309-기준정보!$C$6)</f>
        <v>46364</v>
      </c>
      <c r="N309" s="29" t="n">
        <f aca="false">IF($M309="","",$M309-기준정보!$C$4)</f>
        <v>122</v>
      </c>
      <c r="O309" s="27" t="s">
        <v>70</v>
      </c>
      <c r="P309" s="27" t="s">
        <v>71</v>
      </c>
      <c r="Q309" s="30"/>
      <c r="R309" s="26" t="str">
        <f aca="false">IF($H309="","",IF(AND(ISNUMBER(SEARCH("CMT",$H309)),OR(ISNUMBER(SEARCH("완사입",$H309)),ISNUMBER(SEARCH("ODM",$H309)))),"본사/생산처 혼재",IF(ISNUMBER(SEARCH("CMT",$H309)),"본사(소재팀)","생산처")))</f>
        <v>생산처</v>
      </c>
      <c r="S309" s="25" t="s">
        <v>299</v>
      </c>
      <c r="T309" s="25" t="s">
        <v>73</v>
      </c>
      <c r="U309" s="31" t="n">
        <v>1800</v>
      </c>
      <c r="V309" s="26" t="s">
        <v>964</v>
      </c>
      <c r="W309" s="26" t="str">
        <f aca="false">IF($K309="","출고일 미정",IF($O309="X","작지 미발행",IF($O309="부분","작지 일부 미발행",IF(AND($Q309&lt;&gt;"",$Q309&gt;$M309),"소재입고 마감("&amp;TEXT($M309,"MM/DD")&amp;") 초과",IF($O309="","발행여부 확인 필요",IF($Q309="","소재 입고일정 확인 필요","정상"))))))</f>
        <v>소재 입고일정 확인 필요</v>
      </c>
      <c r="X309" s="24" t="str">
        <f aca="false">IF($K309="","",IF(OR(LEFT($W309,2)="작지",LEFT($W309,4)="소재입고"),IF(LEFT($G309,1)="S","★ 납기위험(S코드)","◆ 지연주의"),IF($W309="정상","✓ 정상","? 확인필요")))</f>
        <v>? 확인필요</v>
      </c>
      <c r="Y309" s="27"/>
      <c r="Z309" s="32"/>
    </row>
    <row r="310" customFormat="false" ht="15" hidden="false" customHeight="false" outlineLevel="0" collapsed="false">
      <c r="A310" s="24" t="n">
        <v>306</v>
      </c>
      <c r="B310" s="25" t="s">
        <v>112</v>
      </c>
      <c r="C310" s="25" t="s">
        <v>113</v>
      </c>
      <c r="D310" s="26" t="s">
        <v>965</v>
      </c>
      <c r="E310" s="25" t="s">
        <v>966</v>
      </c>
      <c r="F310" s="26" t="s">
        <v>967</v>
      </c>
      <c r="G310" s="24" t="str">
        <f aca="false">IF($D310="","",IF(MID($D310,5,1)="S","S(봄)",IF(MID($D310,5,1)="M","M(여름)",IF(MID($D310,5,1)="X","X(사계절)",MID($D310,5,1)))))</f>
        <v>M(여름)</v>
      </c>
      <c r="H310" s="25" t="s">
        <v>67</v>
      </c>
      <c r="I310" s="24"/>
      <c r="J310" s="27" t="s">
        <v>793</v>
      </c>
      <c r="K310" s="28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8" t="n">
        <f aca="false">IF($K310="","",$K310-기준정보!$C$5)</f>
        <v>46454</v>
      </c>
      <c r="M310" s="28" t="n">
        <f aca="false">IF($L310="","",$L310-기준정보!$C$6)</f>
        <v>46364</v>
      </c>
      <c r="N310" s="29" t="n">
        <f aca="false">IF($M310="","",$M310-기준정보!$C$4)</f>
        <v>122</v>
      </c>
      <c r="O310" s="27" t="s">
        <v>70</v>
      </c>
      <c r="P310" s="27" t="s">
        <v>71</v>
      </c>
      <c r="Q310" s="30"/>
      <c r="R310" s="26" t="str">
        <f aca="false">IF($H310="","",IF(AND(ISNUMBER(SEARCH("CMT",$H310)),OR(ISNUMBER(SEARCH("완사입",$H310)),ISNUMBER(SEARCH("ODM",$H310)))),"본사/생산처 혼재",IF(ISNUMBER(SEARCH("CMT",$H310)),"본사(소재팀)","생산처")))</f>
        <v>생산처</v>
      </c>
      <c r="S310" s="26" t="s">
        <v>231</v>
      </c>
      <c r="T310" s="25" t="s">
        <v>78</v>
      </c>
      <c r="U310" s="31" t="n">
        <v>1600</v>
      </c>
      <c r="V310" s="26" t="s">
        <v>964</v>
      </c>
      <c r="W310" s="26" t="str">
        <f aca="false">IF($K310="","출고일 미정",IF($O310="X","작지 미발행",IF($O310="부분","작지 일부 미발행",IF(AND($Q310&lt;&gt;"",$Q310&gt;$M310),"소재입고 마감("&amp;TEXT($M310,"MM/DD")&amp;") 초과",IF($O310="","발행여부 확인 필요",IF($Q310="","소재 입고일정 확인 필요","정상"))))))</f>
        <v>소재 입고일정 확인 필요</v>
      </c>
      <c r="X310" s="24" t="str">
        <f aca="false">IF($K310="","",IF(OR(LEFT($W310,2)="작지",LEFT($W310,4)="소재입고"),IF(LEFT($G310,1)="S","★ 납기위험(S코드)","◆ 지연주의"),IF($W310="정상","✓ 정상","? 확인필요")))</f>
        <v>? 확인필요</v>
      </c>
      <c r="Y310" s="27"/>
      <c r="Z310" s="32"/>
    </row>
    <row r="311" customFormat="false" ht="15" hidden="false" customHeight="false" outlineLevel="0" collapsed="false">
      <c r="A311" s="24" t="n">
        <v>307</v>
      </c>
      <c r="B311" s="25" t="s">
        <v>241</v>
      </c>
      <c r="C311" s="25" t="s">
        <v>113</v>
      </c>
      <c r="D311" s="26" t="s">
        <v>968</v>
      </c>
      <c r="E311" s="25" t="s">
        <v>969</v>
      </c>
      <c r="F311" s="26" t="s">
        <v>290</v>
      </c>
      <c r="G311" s="24" t="str">
        <f aca="false">IF($D311="","",IF(MID($D311,5,1)="S","S(봄)",IF(MID($D311,5,1)="M","M(여름)",IF(MID($D311,5,1)="X","X(사계절)",MID($D311,5,1)))))</f>
        <v>M(여름)</v>
      </c>
      <c r="H311" s="25" t="s">
        <v>67</v>
      </c>
      <c r="I311" s="24"/>
      <c r="J311" s="27" t="s">
        <v>793</v>
      </c>
      <c r="K311" s="28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8" t="n">
        <f aca="false">IF($K311="","",$K311-기준정보!$C$5)</f>
        <v>46454</v>
      </c>
      <c r="M311" s="28" t="n">
        <f aca="false">IF($L311="","",$L311-기준정보!$C$6)</f>
        <v>46364</v>
      </c>
      <c r="N311" s="29" t="n">
        <f aca="false">IF($M311="","",$M311-기준정보!$C$4)</f>
        <v>122</v>
      </c>
      <c r="O311" s="27" t="s">
        <v>70</v>
      </c>
      <c r="P311" s="27" t="s">
        <v>71</v>
      </c>
      <c r="Q311" s="30"/>
      <c r="R311" s="26" t="str">
        <f aca="false">IF($H311="","",IF(AND(ISNUMBER(SEARCH("CMT",$H311)),OR(ISNUMBER(SEARCH("완사입",$H311)),ISNUMBER(SEARCH("ODM",$H311)))),"본사/생산처 혼재",IF(ISNUMBER(SEARCH("CMT",$H311)),"본사(소재팀)","생산처")))</f>
        <v>생산처</v>
      </c>
      <c r="S311" s="26" t="s">
        <v>231</v>
      </c>
      <c r="T311" s="25" t="s">
        <v>78</v>
      </c>
      <c r="U311" s="31" t="n">
        <v>2100</v>
      </c>
      <c r="V311" s="26" t="s">
        <v>793</v>
      </c>
      <c r="W311" s="26" t="str">
        <f aca="false">IF($K311="","출고일 미정",IF($O311="X","작지 미발행",IF($O311="부분","작지 일부 미발행",IF(AND($Q311&lt;&gt;"",$Q311&gt;$M311),"소재입고 마감("&amp;TEXT($M311,"MM/DD")&amp;") 초과",IF($O311="","발행여부 확인 필요",IF($Q311="","소재 입고일정 확인 필요","정상"))))))</f>
        <v>소재 입고일정 확인 필요</v>
      </c>
      <c r="X311" s="24" t="str">
        <f aca="false">IF($K311="","",IF(OR(LEFT($W311,2)="작지",LEFT($W311,4)="소재입고"),IF(LEFT($G311,1)="S","★ 납기위험(S코드)","◆ 지연주의"),IF($W311="정상","✓ 정상","? 확인필요")))</f>
        <v>? 확인필요</v>
      </c>
      <c r="Y311" s="27"/>
      <c r="Z311" s="32"/>
    </row>
    <row r="312" customFormat="false" ht="15" hidden="false" customHeight="false" outlineLevel="0" collapsed="false">
      <c r="A312" s="24" t="n">
        <v>308</v>
      </c>
      <c r="B312" s="25" t="s">
        <v>241</v>
      </c>
      <c r="C312" s="25" t="s">
        <v>113</v>
      </c>
      <c r="D312" s="26" t="s">
        <v>970</v>
      </c>
      <c r="E312" s="25" t="s">
        <v>971</v>
      </c>
      <c r="F312" s="26" t="s">
        <v>953</v>
      </c>
      <c r="G312" s="24" t="str">
        <f aca="false">IF($D312="","",IF(MID($D312,5,1)="S","S(봄)",IF(MID($D312,5,1)="M","M(여름)",IF(MID($D312,5,1)="X","X(사계절)",MID($D312,5,1)))))</f>
        <v>M(여름)</v>
      </c>
      <c r="H312" s="25" t="s">
        <v>67</v>
      </c>
      <c r="I312" s="24"/>
      <c r="J312" s="27" t="s">
        <v>793</v>
      </c>
      <c r="K312" s="28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8" t="n">
        <f aca="false">IF($K312="","",$K312-기준정보!$C$5)</f>
        <v>46454</v>
      </c>
      <c r="M312" s="28" t="n">
        <f aca="false">IF($L312="","",$L312-기준정보!$C$6)</f>
        <v>46364</v>
      </c>
      <c r="N312" s="29" t="n">
        <f aca="false">IF($M312="","",$M312-기준정보!$C$4)</f>
        <v>122</v>
      </c>
      <c r="O312" s="27" t="s">
        <v>70</v>
      </c>
      <c r="P312" s="27" t="s">
        <v>71</v>
      </c>
      <c r="Q312" s="30"/>
      <c r="R312" s="26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S312" s="26" t="s">
        <v>231</v>
      </c>
      <c r="T312" s="25" t="s">
        <v>78</v>
      </c>
      <c r="U312" s="31" t="n">
        <v>6600</v>
      </c>
      <c r="V312" s="26" t="s">
        <v>793</v>
      </c>
      <c r="W312" s="26" t="str">
        <f aca="false">IF($K312="","출고일 미정",IF($O312="X","작지 미발행",IF($O312="부분","작지 일부 미발행",IF(AND($Q312&lt;&gt;"",$Q312&gt;$M312),"소재입고 마감("&amp;TEXT($M312,"MM/DD")&amp;") 초과",IF($O312="","발행여부 확인 필요",IF($Q312="","소재 입고일정 확인 필요","정상"))))))</f>
        <v>소재 입고일정 확인 필요</v>
      </c>
      <c r="X312" s="24" t="str">
        <f aca="false">IF($K312="","",IF(OR(LEFT($W312,2)="작지",LEFT($W312,4)="소재입고"),IF(LEFT($G312,1)="S","★ 납기위험(S코드)","◆ 지연주의"),IF($W312="정상","✓ 정상","? 확인필요")))</f>
        <v>? 확인필요</v>
      </c>
      <c r="Y312" s="27"/>
      <c r="Z312" s="32"/>
    </row>
    <row r="313" customFormat="false" ht="15" hidden="false" customHeight="false" outlineLevel="0" collapsed="false">
      <c r="A313" s="24" t="n">
        <v>309</v>
      </c>
      <c r="B313" s="25" t="s">
        <v>241</v>
      </c>
      <c r="C313" s="25" t="s">
        <v>113</v>
      </c>
      <c r="D313" s="26" t="s">
        <v>972</v>
      </c>
      <c r="E313" s="25" t="s">
        <v>973</v>
      </c>
      <c r="F313" s="26" t="s">
        <v>974</v>
      </c>
      <c r="G313" s="24" t="str">
        <f aca="false">IF($D313="","",IF(MID($D313,5,1)="S","S(봄)",IF(MID($D313,5,1)="M","M(여름)",IF(MID($D313,5,1)="X","X(사계절)",MID($D313,5,1)))))</f>
        <v>M(여름)</v>
      </c>
      <c r="H313" s="25" t="s">
        <v>67</v>
      </c>
      <c r="I313" s="24"/>
      <c r="J313" s="27" t="s">
        <v>793</v>
      </c>
      <c r="K313" s="28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8" t="n">
        <f aca="false">IF($K313="","",$K313-기준정보!$C$5)</f>
        <v>46454</v>
      </c>
      <c r="M313" s="28" t="n">
        <f aca="false">IF($L313="","",$L313-기준정보!$C$6)</f>
        <v>46364</v>
      </c>
      <c r="N313" s="29" t="n">
        <f aca="false">IF($M313="","",$M313-기준정보!$C$4)</f>
        <v>122</v>
      </c>
      <c r="O313" s="27" t="s">
        <v>70</v>
      </c>
      <c r="P313" s="27" t="s">
        <v>71</v>
      </c>
      <c r="Q313" s="30"/>
      <c r="R313" s="26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S313" s="26" t="s">
        <v>231</v>
      </c>
      <c r="T313" s="25" t="s">
        <v>73</v>
      </c>
      <c r="U313" s="31" t="n">
        <v>10500</v>
      </c>
      <c r="V313" s="26" t="s">
        <v>793</v>
      </c>
      <c r="W313" s="26" t="str">
        <f aca="false">IF($K313="","출고일 미정",IF($O313="X","작지 미발행",IF($O313="부분","작지 일부 미발행",IF(AND($Q313&lt;&gt;"",$Q313&gt;$M313),"소재입고 마감("&amp;TEXT($M313,"MM/DD")&amp;") 초과",IF($O313="","발행여부 확인 필요",IF($Q313="","소재 입고일정 확인 필요","정상"))))))</f>
        <v>소재 입고일정 확인 필요</v>
      </c>
      <c r="X313" s="24" t="str">
        <f aca="false">IF($K313="","",IF(OR(LEFT($W313,2)="작지",LEFT($W313,4)="소재입고"),IF(LEFT($G313,1)="S","★ 납기위험(S코드)","◆ 지연주의"),IF($W313="정상","✓ 정상","? 확인필요")))</f>
        <v>? 확인필요</v>
      </c>
      <c r="Y313" s="27"/>
      <c r="Z313" s="32"/>
    </row>
    <row r="314" customFormat="false" ht="15" hidden="false" customHeight="false" outlineLevel="0" collapsed="false">
      <c r="A314" s="24" t="n">
        <v>310</v>
      </c>
      <c r="B314" s="25" t="s">
        <v>241</v>
      </c>
      <c r="C314" s="25" t="s">
        <v>113</v>
      </c>
      <c r="D314" s="26" t="s">
        <v>975</v>
      </c>
      <c r="E314" s="25" t="s">
        <v>976</v>
      </c>
      <c r="F314" s="26" t="s">
        <v>943</v>
      </c>
      <c r="G314" s="24" t="str">
        <f aca="false">IF($D314="","",IF(MID($D314,5,1)="S","S(봄)",IF(MID($D314,5,1)="M","M(여름)",IF(MID($D314,5,1)="X","X(사계절)",MID($D314,5,1)))))</f>
        <v>M(여름)</v>
      </c>
      <c r="H314" s="25" t="s">
        <v>67</v>
      </c>
      <c r="I314" s="24"/>
      <c r="J314" s="27" t="s">
        <v>793</v>
      </c>
      <c r="K314" s="28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8" t="n">
        <f aca="false">IF($K314="","",$K314-기준정보!$C$5)</f>
        <v>46454</v>
      </c>
      <c r="M314" s="28" t="n">
        <f aca="false">IF($L314="","",$L314-기준정보!$C$6)</f>
        <v>46364</v>
      </c>
      <c r="N314" s="29" t="n">
        <f aca="false">IF($M314="","",$M314-기준정보!$C$4)</f>
        <v>122</v>
      </c>
      <c r="O314" s="27" t="s">
        <v>70</v>
      </c>
      <c r="P314" s="27" t="s">
        <v>71</v>
      </c>
      <c r="Q314" s="30"/>
      <c r="R314" s="26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S314" s="26" t="s">
        <v>231</v>
      </c>
      <c r="T314" s="25" t="s">
        <v>73</v>
      </c>
      <c r="U314" s="31" t="n">
        <v>2600</v>
      </c>
      <c r="V314" s="26" t="s">
        <v>793</v>
      </c>
      <c r="W314" s="26" t="str">
        <f aca="false">IF($K314="","출고일 미정",IF($O314="X","작지 미발행",IF($O314="부분","작지 일부 미발행",IF(AND($Q314&lt;&gt;"",$Q314&gt;$M314),"소재입고 마감("&amp;TEXT($M314,"MM/DD")&amp;") 초과",IF($O314="","발행여부 확인 필요",IF($Q314="","소재 입고일정 확인 필요","정상"))))))</f>
        <v>소재 입고일정 확인 필요</v>
      </c>
      <c r="X314" s="24" t="str">
        <f aca="false">IF($K314="","",IF(OR(LEFT($W314,2)="작지",LEFT($W314,4)="소재입고"),IF(LEFT($G314,1)="S","★ 납기위험(S코드)","◆ 지연주의"),IF($W314="정상","✓ 정상","? 확인필요")))</f>
        <v>? 확인필요</v>
      </c>
      <c r="Y314" s="27"/>
      <c r="Z314" s="32"/>
    </row>
    <row r="315" customFormat="false" ht="15" hidden="false" customHeight="false" outlineLevel="0" collapsed="false">
      <c r="A315" s="24" t="n">
        <v>311</v>
      </c>
      <c r="B315" s="25" t="s">
        <v>212</v>
      </c>
      <c r="C315" s="25" t="s">
        <v>213</v>
      </c>
      <c r="D315" s="26" t="s">
        <v>977</v>
      </c>
      <c r="E315" s="25" t="s">
        <v>978</v>
      </c>
      <c r="F315" s="26" t="s">
        <v>657</v>
      </c>
      <c r="G315" s="24" t="str">
        <f aca="false">IF($D315="","",IF(MID($D315,5,1)="S","S(봄)",IF(MID($D315,5,1)="M","M(여름)",IF(MID($D315,5,1)="X","X(사계절)",MID($D315,5,1)))))</f>
        <v>M(여름)</v>
      </c>
      <c r="H315" s="25" t="s">
        <v>67</v>
      </c>
      <c r="I315" s="24" t="s">
        <v>404</v>
      </c>
      <c r="J315" s="27" t="s">
        <v>405</v>
      </c>
      <c r="K315" s="28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8" t="n">
        <f aca="false">IF($K315="","",$K315-기준정보!$C$5)</f>
        <v>46464</v>
      </c>
      <c r="M315" s="28" t="n">
        <f aca="false">IF($L315="","",$L315-기준정보!$C$6)</f>
        <v>46374</v>
      </c>
      <c r="N315" s="29" t="n">
        <f aca="false">IF($M315="","",$M315-기준정보!$C$4)</f>
        <v>132</v>
      </c>
      <c r="O315" s="27" t="s">
        <v>70</v>
      </c>
      <c r="P315" s="27" t="s">
        <v>71</v>
      </c>
      <c r="Q315" s="30"/>
      <c r="R315" s="26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S315" s="26" t="s">
        <v>137</v>
      </c>
      <c r="T315" s="25" t="s">
        <v>73</v>
      </c>
      <c r="U315" s="31" t="n">
        <v>1660</v>
      </c>
      <c r="V315" s="26" t="s">
        <v>405</v>
      </c>
      <c r="W315" s="26" t="str">
        <f aca="false">IF($K315="","출고일 미정",IF($O315="X","작지 미발행",IF($O315="부분","작지 일부 미발행",IF(AND($Q315&lt;&gt;"",$Q315&gt;$M315),"소재입고 마감("&amp;TEXT($M315,"MM/DD")&amp;") 초과",IF($O315="","발행여부 확인 필요",IF($Q315="","소재 입고일정 확인 필요","정상"))))))</f>
        <v>소재 입고일정 확인 필요</v>
      </c>
      <c r="X315" s="24" t="str">
        <f aca="false">IF($K315="","",IF(OR(LEFT($W315,2)="작지",LEFT($W315,4)="소재입고"),IF(LEFT($G315,1)="S","★ 납기위험(S코드)","◆ 지연주의"),IF($W315="정상","✓ 정상","? 확인필요")))</f>
        <v>? 확인필요</v>
      </c>
      <c r="Y315" s="27"/>
      <c r="Z315" s="32"/>
    </row>
    <row r="316" customFormat="false" ht="15" hidden="false" customHeight="false" outlineLevel="0" collapsed="false">
      <c r="A316" s="24" t="n">
        <v>312</v>
      </c>
      <c r="B316" s="25" t="s">
        <v>212</v>
      </c>
      <c r="C316" s="25" t="s">
        <v>213</v>
      </c>
      <c r="D316" s="26" t="s">
        <v>979</v>
      </c>
      <c r="E316" s="25" t="s">
        <v>980</v>
      </c>
      <c r="F316" s="26" t="s">
        <v>226</v>
      </c>
      <c r="G316" s="24" t="str">
        <f aca="false">IF($D316="","",IF(MID($D316,5,1)="S","S(봄)",IF(MID($D316,5,1)="M","M(여름)",IF(MID($D316,5,1)="X","X(사계절)",MID($D316,5,1)))))</f>
        <v>M(여름)</v>
      </c>
      <c r="H316" s="25" t="s">
        <v>67</v>
      </c>
      <c r="I316" s="24" t="s">
        <v>404</v>
      </c>
      <c r="J316" s="27" t="s">
        <v>405</v>
      </c>
      <c r="K316" s="28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8" t="n">
        <f aca="false">IF($K316="","",$K316-기준정보!$C$5)</f>
        <v>46464</v>
      </c>
      <c r="M316" s="28" t="n">
        <f aca="false">IF($L316="","",$L316-기준정보!$C$6)</f>
        <v>46374</v>
      </c>
      <c r="N316" s="29" t="n">
        <f aca="false">IF($M316="","",$M316-기준정보!$C$4)</f>
        <v>132</v>
      </c>
      <c r="O316" s="27" t="s">
        <v>70</v>
      </c>
      <c r="P316" s="27" t="s">
        <v>71</v>
      </c>
      <c r="Q316" s="30"/>
      <c r="R316" s="26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S316" s="26" t="s">
        <v>223</v>
      </c>
      <c r="T316" s="25" t="s">
        <v>73</v>
      </c>
      <c r="U316" s="31" t="n">
        <v>2000</v>
      </c>
      <c r="V316" s="26" t="s">
        <v>405</v>
      </c>
      <c r="W316" s="26" t="str">
        <f aca="false">IF($K316="","출고일 미정",IF($O316="X","작지 미발행",IF($O316="부분","작지 일부 미발행",IF(AND($Q316&lt;&gt;"",$Q316&gt;$M316),"소재입고 마감("&amp;TEXT($M316,"MM/DD")&amp;") 초과",IF($O316="","발행여부 확인 필요",IF($Q316="","소재 입고일정 확인 필요","정상"))))))</f>
        <v>소재 입고일정 확인 필요</v>
      </c>
      <c r="X316" s="24" t="str">
        <f aca="false">IF($K316="","",IF(OR(LEFT($W316,2)="작지",LEFT($W316,4)="소재입고"),IF(LEFT($G316,1)="S","★ 납기위험(S코드)","◆ 지연주의"),IF($W316="정상","✓ 정상","? 확인필요")))</f>
        <v>? 확인필요</v>
      </c>
      <c r="Y316" s="27"/>
      <c r="Z316" s="32"/>
    </row>
    <row r="317" customFormat="false" ht="15" hidden="false" customHeight="false" outlineLevel="0" collapsed="false">
      <c r="A317" s="24" t="n">
        <v>313</v>
      </c>
      <c r="B317" s="25" t="s">
        <v>212</v>
      </c>
      <c r="C317" s="25" t="s">
        <v>213</v>
      </c>
      <c r="D317" s="26" t="s">
        <v>981</v>
      </c>
      <c r="E317" s="25" t="s">
        <v>982</v>
      </c>
      <c r="F317" s="26" t="s">
        <v>226</v>
      </c>
      <c r="G317" s="24" t="str">
        <f aca="false">IF($D317="","",IF(MID($D317,5,1)="S","S(봄)",IF(MID($D317,5,1)="M","M(여름)",IF(MID($D317,5,1)="X","X(사계절)",MID($D317,5,1)))))</f>
        <v>M(여름)</v>
      </c>
      <c r="H317" s="25" t="s">
        <v>67</v>
      </c>
      <c r="I317" s="24" t="s">
        <v>404</v>
      </c>
      <c r="J317" s="27" t="s">
        <v>405</v>
      </c>
      <c r="K317" s="28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8" t="n">
        <f aca="false">IF($K317="","",$K317-기준정보!$C$5)</f>
        <v>46464</v>
      </c>
      <c r="M317" s="28" t="n">
        <f aca="false">IF($L317="","",$L317-기준정보!$C$6)</f>
        <v>46374</v>
      </c>
      <c r="N317" s="29" t="n">
        <f aca="false">IF($M317="","",$M317-기준정보!$C$4)</f>
        <v>132</v>
      </c>
      <c r="O317" s="27" t="s">
        <v>70</v>
      </c>
      <c r="P317" s="27" t="s">
        <v>71</v>
      </c>
      <c r="Q317" s="30"/>
      <c r="R317" s="26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S317" s="26" t="s">
        <v>223</v>
      </c>
      <c r="T317" s="25" t="s">
        <v>73</v>
      </c>
      <c r="U317" s="31" t="n">
        <v>1960</v>
      </c>
      <c r="V317" s="26" t="s">
        <v>405</v>
      </c>
      <c r="W317" s="26" t="str">
        <f aca="false">IF($K317="","출고일 미정",IF($O317="X","작지 미발행",IF($O317="부분","작지 일부 미발행",IF(AND($Q317&lt;&gt;"",$Q317&gt;$M317),"소재입고 마감("&amp;TEXT($M317,"MM/DD")&amp;") 초과",IF($O317="","발행여부 확인 필요",IF($Q317="","소재 입고일정 확인 필요","정상"))))))</f>
        <v>소재 입고일정 확인 필요</v>
      </c>
      <c r="X317" s="24" t="str">
        <f aca="false">IF($K317="","",IF(OR(LEFT($W317,2)="작지",LEFT($W317,4)="소재입고"),IF(LEFT($G317,1)="S","★ 납기위험(S코드)","◆ 지연주의"),IF($W317="정상","✓ 정상","? 확인필요")))</f>
        <v>? 확인필요</v>
      </c>
      <c r="Y317" s="27"/>
      <c r="Z317" s="32"/>
    </row>
    <row r="318" customFormat="false" ht="15" hidden="false" customHeight="false" outlineLevel="0" collapsed="false">
      <c r="A318" s="24" t="n">
        <v>314</v>
      </c>
      <c r="B318" s="25" t="s">
        <v>208</v>
      </c>
      <c r="C318" s="25" t="s">
        <v>213</v>
      </c>
      <c r="D318" s="26" t="s">
        <v>983</v>
      </c>
      <c r="E318" s="25" t="s">
        <v>984</v>
      </c>
      <c r="F318" s="26" t="s">
        <v>226</v>
      </c>
      <c r="G318" s="24" t="str">
        <f aca="false">IF($D318="","",IF(MID($D318,5,1)="S","S(봄)",IF(MID($D318,5,1)="M","M(여름)",IF(MID($D318,5,1)="X","X(사계절)",MID($D318,5,1)))))</f>
        <v>M(여름)</v>
      </c>
      <c r="H318" s="25" t="s">
        <v>67</v>
      </c>
      <c r="I318" s="24"/>
      <c r="J318" s="27" t="s">
        <v>405</v>
      </c>
      <c r="K318" s="28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8" t="n">
        <f aca="false">IF($K318="","",$K318-기준정보!$C$5)</f>
        <v>46464</v>
      </c>
      <c r="M318" s="28" t="n">
        <f aca="false">IF($L318="","",$L318-기준정보!$C$6)</f>
        <v>46374</v>
      </c>
      <c r="N318" s="29" t="n">
        <f aca="false">IF($M318="","",$M318-기준정보!$C$4)</f>
        <v>132</v>
      </c>
      <c r="O318" s="27" t="s">
        <v>70</v>
      </c>
      <c r="P318" s="27" t="s">
        <v>71</v>
      </c>
      <c r="Q318" s="30"/>
      <c r="R318" s="26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S318" s="25" t="s">
        <v>299</v>
      </c>
      <c r="T318" s="25" t="s">
        <v>73</v>
      </c>
      <c r="U318" s="31" t="n">
        <v>1000</v>
      </c>
      <c r="V318" s="26"/>
      <c r="W318" s="26" t="str">
        <f aca="false">IF($K318="","출고일 미정",IF($O318="X","작지 미발행",IF($O318="부분","작지 일부 미발행",IF(AND($Q318&lt;&gt;"",$Q318&gt;$M318),"소재입고 마감("&amp;TEXT($M318,"MM/DD")&amp;") 초과",IF($O318="","발행여부 확인 필요",IF($Q318="","소재 입고일정 확인 필요","정상"))))))</f>
        <v>소재 입고일정 확인 필요</v>
      </c>
      <c r="X318" s="24" t="str">
        <f aca="false">IF($K318="","",IF(OR(LEFT($W318,2)="작지",LEFT($W318,4)="소재입고"),IF(LEFT($G318,1)="S","★ 납기위험(S코드)","◆ 지연주의"),IF($W318="정상","✓ 정상","? 확인필요")))</f>
        <v>? 확인필요</v>
      </c>
      <c r="Y318" s="27"/>
      <c r="Z318" s="32"/>
    </row>
    <row r="319" customFormat="false" ht="15" hidden="false" customHeight="false" outlineLevel="0" collapsed="false">
      <c r="A319" s="24" t="n">
        <v>315</v>
      </c>
      <c r="B319" s="25" t="s">
        <v>130</v>
      </c>
      <c r="C319" s="25" t="s">
        <v>131</v>
      </c>
      <c r="D319" s="26" t="s">
        <v>985</v>
      </c>
      <c r="E319" s="26" t="s">
        <v>986</v>
      </c>
      <c r="F319" s="26" t="s">
        <v>148</v>
      </c>
      <c r="G319" s="24" t="str">
        <f aca="false">IF($D319="","",IF(MID($D319,5,1)="S","S(봄)",IF(MID($D319,5,1)="M","M(여름)",IF(MID($D319,5,1)="X","X(사계절)",MID($D319,5,1)))))</f>
        <v>M(여름)</v>
      </c>
      <c r="H319" s="25" t="s">
        <v>67</v>
      </c>
      <c r="I319" s="24" t="s">
        <v>422</v>
      </c>
      <c r="J319" s="27" t="s">
        <v>987</v>
      </c>
      <c r="K319" s="28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8" t="n">
        <f aca="false">IF($K319="","",$K319-기준정보!$C$5)</f>
        <v>46471</v>
      </c>
      <c r="M319" s="28" t="n">
        <f aca="false">IF($L319="","",$L319-기준정보!$C$6)</f>
        <v>46381</v>
      </c>
      <c r="N319" s="29" t="n">
        <f aca="false">IF($M319="","",$M319-기준정보!$C$4)</f>
        <v>139</v>
      </c>
      <c r="O319" s="27" t="s">
        <v>71</v>
      </c>
      <c r="P319" s="27" t="s">
        <v>71</v>
      </c>
      <c r="Q319" s="30"/>
      <c r="R319" s="26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S319" s="26" t="s">
        <v>231</v>
      </c>
      <c r="T319" s="25" t="s">
        <v>73</v>
      </c>
      <c r="U319" s="31" t="n">
        <v>0</v>
      </c>
      <c r="V319" s="26"/>
      <c r="W319" s="26" t="str">
        <f aca="false">IF($K319="","출고일 미정",IF($O319="X","작지 미발행",IF($O319="부분","작지 일부 미발행",IF(AND($Q319&lt;&gt;"",$Q319&gt;$M319),"소재입고 마감("&amp;TEXT($M319,"MM/DD")&amp;") 초과",IF($O319="","발행여부 확인 필요",IF($Q319="","소재 입고일정 확인 필요","정상"))))))</f>
        <v>작지 미발행</v>
      </c>
      <c r="X319" s="24" t="str">
        <f aca="false">IF($K319="","",IF(OR(LEFT($W319,2)="작지",LEFT($W319,4)="소재입고"),IF(LEFT($G319,1)="S","★ 납기위험(S코드)","◆ 지연주의"),IF($W319="정상","✓ 정상","? 확인필요")))</f>
        <v>◆ 지연주의</v>
      </c>
      <c r="Y319" s="27"/>
      <c r="Z319" s="32"/>
    </row>
    <row r="320" customFormat="false" ht="15" hidden="false" customHeight="false" outlineLevel="0" collapsed="false">
      <c r="A320" s="24" t="n">
        <v>316</v>
      </c>
      <c r="B320" s="25" t="s">
        <v>130</v>
      </c>
      <c r="C320" s="25" t="s">
        <v>131</v>
      </c>
      <c r="D320" s="26" t="s">
        <v>988</v>
      </c>
      <c r="E320" s="26" t="s">
        <v>989</v>
      </c>
      <c r="F320" s="26" t="s">
        <v>164</v>
      </c>
      <c r="G320" s="24" t="str">
        <f aca="false">IF($D320="","",IF(MID($D320,5,1)="S","S(봄)",IF(MID($D320,5,1)="M","M(여름)",IF(MID($D320,5,1)="X","X(사계절)",MID($D320,5,1)))))</f>
        <v>M(여름)</v>
      </c>
      <c r="H320" s="25" t="s">
        <v>67</v>
      </c>
      <c r="I320" s="24" t="s">
        <v>422</v>
      </c>
      <c r="J320" s="27" t="s">
        <v>987</v>
      </c>
      <c r="K320" s="28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8" t="n">
        <f aca="false">IF($K320="","",$K320-기준정보!$C$5)</f>
        <v>46471</v>
      </c>
      <c r="M320" s="28" t="n">
        <f aca="false">IF($L320="","",$L320-기준정보!$C$6)</f>
        <v>46381</v>
      </c>
      <c r="N320" s="29" t="n">
        <f aca="false">IF($M320="","",$M320-기준정보!$C$4)</f>
        <v>139</v>
      </c>
      <c r="O320" s="27" t="s">
        <v>71</v>
      </c>
      <c r="P320" s="27" t="s">
        <v>71</v>
      </c>
      <c r="Q320" s="30"/>
      <c r="R320" s="26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S320" s="26" t="s">
        <v>223</v>
      </c>
      <c r="T320" s="25" t="s">
        <v>73</v>
      </c>
      <c r="U320" s="31" t="n">
        <v>0</v>
      </c>
      <c r="V320" s="26"/>
      <c r="W320" s="26" t="str">
        <f aca="false">IF($K320="","출고일 미정",IF($O320="X","작지 미발행",IF($O320="부분","작지 일부 미발행",IF(AND($Q320&lt;&gt;"",$Q320&gt;$M320),"소재입고 마감("&amp;TEXT($M320,"MM/DD")&amp;") 초과",IF($O320="","발행여부 확인 필요",IF($Q320="","소재 입고일정 확인 필요","정상"))))))</f>
        <v>작지 미발행</v>
      </c>
      <c r="X320" s="24" t="str">
        <f aca="false">IF($K320="","",IF(OR(LEFT($W320,2)="작지",LEFT($W320,4)="소재입고"),IF(LEFT($G320,1)="S","★ 납기위험(S코드)","◆ 지연주의"),IF($W320="정상","✓ 정상","? 확인필요")))</f>
        <v>◆ 지연주의</v>
      </c>
      <c r="Y320" s="27"/>
      <c r="Z320" s="32"/>
    </row>
    <row r="321" customFormat="false" ht="15" hidden="false" customHeight="false" outlineLevel="0" collapsed="false">
      <c r="A321" s="24" t="n">
        <v>317</v>
      </c>
      <c r="B321" s="25" t="s">
        <v>130</v>
      </c>
      <c r="C321" s="25" t="s">
        <v>140</v>
      </c>
      <c r="D321" s="26" t="s">
        <v>990</v>
      </c>
      <c r="E321" s="26" t="s">
        <v>991</v>
      </c>
      <c r="F321" s="26" t="s">
        <v>992</v>
      </c>
      <c r="G321" s="24" t="str">
        <f aca="false">IF($D321="","",IF(MID($D321,5,1)="S","S(봄)",IF(MID($D321,5,1)="M","M(여름)",IF(MID($D321,5,1)="X","X(사계절)",MID($D321,5,1)))))</f>
        <v>M(여름)</v>
      </c>
      <c r="H321" s="25" t="s">
        <v>67</v>
      </c>
      <c r="I321" s="24" t="s">
        <v>422</v>
      </c>
      <c r="J321" s="27" t="s">
        <v>987</v>
      </c>
      <c r="K321" s="28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8" t="n">
        <f aca="false">IF($K321="","",$K321-기준정보!$C$5)</f>
        <v>46471</v>
      </c>
      <c r="M321" s="28" t="n">
        <f aca="false">IF($L321="","",$L321-기준정보!$C$6)</f>
        <v>46381</v>
      </c>
      <c r="N321" s="29" t="n">
        <f aca="false">IF($M321="","",$M321-기준정보!$C$4)</f>
        <v>139</v>
      </c>
      <c r="O321" s="27" t="s">
        <v>71</v>
      </c>
      <c r="P321" s="27" t="s">
        <v>71</v>
      </c>
      <c r="Q321" s="30"/>
      <c r="R321" s="26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S321" s="25" t="s">
        <v>77</v>
      </c>
      <c r="T321" s="25" t="s">
        <v>73</v>
      </c>
      <c r="U321" s="31" t="n">
        <v>0</v>
      </c>
      <c r="V321" s="26"/>
      <c r="W321" s="26" t="str">
        <f aca="false">IF($K321="","출고일 미정",IF($O321="X","작지 미발행",IF($O321="부분","작지 일부 미발행",IF(AND($Q321&lt;&gt;"",$Q321&gt;$M321),"소재입고 마감("&amp;TEXT($M321,"MM/DD")&amp;") 초과",IF($O321="","발행여부 확인 필요",IF($Q321="","소재 입고일정 확인 필요","정상"))))))</f>
        <v>작지 미발행</v>
      </c>
      <c r="X321" s="24" t="str">
        <f aca="false">IF($K321="","",IF(OR(LEFT($W321,2)="작지",LEFT($W321,4)="소재입고"),IF(LEFT($G321,1)="S","★ 납기위험(S코드)","◆ 지연주의"),IF($W321="정상","✓ 정상","? 확인필요")))</f>
        <v>◆ 지연주의</v>
      </c>
      <c r="Y321" s="27"/>
      <c r="Z321" s="32"/>
    </row>
    <row r="322" customFormat="false" ht="15" hidden="false" customHeight="false" outlineLevel="0" collapsed="false">
      <c r="A322" s="24" t="n">
        <v>318</v>
      </c>
      <c r="B322" s="25" t="s">
        <v>130</v>
      </c>
      <c r="C322" s="25" t="s">
        <v>993</v>
      </c>
      <c r="D322" s="26" t="s">
        <v>994</v>
      </c>
      <c r="E322" s="26" t="s">
        <v>995</v>
      </c>
      <c r="F322" s="26" t="s">
        <v>164</v>
      </c>
      <c r="G322" s="24" t="str">
        <f aca="false">IF($D322="","",IF(MID($D322,5,1)="S","S(봄)",IF(MID($D322,5,1)="M","M(여름)",IF(MID($D322,5,1)="X","X(사계절)",MID($D322,5,1)))))</f>
        <v>M(여름)</v>
      </c>
      <c r="H322" s="25" t="s">
        <v>67</v>
      </c>
      <c r="I322" s="24" t="s">
        <v>422</v>
      </c>
      <c r="J322" s="27" t="s">
        <v>987</v>
      </c>
      <c r="K322" s="28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8" t="n">
        <f aca="false">IF($K322="","",$K322-기준정보!$C$5)</f>
        <v>46471</v>
      </c>
      <c r="M322" s="28" t="n">
        <f aca="false">IF($L322="","",$L322-기준정보!$C$6)</f>
        <v>46381</v>
      </c>
      <c r="N322" s="29" t="n">
        <f aca="false">IF($M322="","",$M322-기준정보!$C$4)</f>
        <v>139</v>
      </c>
      <c r="O322" s="27" t="s">
        <v>71</v>
      </c>
      <c r="P322" s="27" t="s">
        <v>71</v>
      </c>
      <c r="Q322" s="30"/>
      <c r="R322" s="26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S322" s="26" t="s">
        <v>223</v>
      </c>
      <c r="T322" s="25" t="s">
        <v>73</v>
      </c>
      <c r="U322" s="31" t="n">
        <v>0</v>
      </c>
      <c r="V322" s="26"/>
      <c r="W322" s="26" t="str">
        <f aca="false">IF($K322="","출고일 미정",IF($O322="X","작지 미발행",IF($O322="부분","작지 일부 미발행",IF(AND($Q322&lt;&gt;"",$Q322&gt;$M322),"소재입고 마감("&amp;TEXT($M322,"MM/DD")&amp;") 초과",IF($O322="","발행여부 확인 필요",IF($Q322="","소재 입고일정 확인 필요","정상"))))))</f>
        <v>작지 미발행</v>
      </c>
      <c r="X322" s="24" t="str">
        <f aca="false">IF($K322="","",IF(OR(LEFT($W322,2)="작지",LEFT($W322,4)="소재입고"),IF(LEFT($G322,1)="S","★ 납기위험(S코드)","◆ 지연주의"),IF($W322="정상","✓ 정상","? 확인필요")))</f>
        <v>◆ 지연주의</v>
      </c>
      <c r="Y322" s="27"/>
      <c r="Z322" s="32"/>
    </row>
    <row r="323" customFormat="false" ht="15" hidden="false" customHeight="false" outlineLevel="0" collapsed="false">
      <c r="A323" s="24" t="n">
        <v>319</v>
      </c>
      <c r="B323" s="25" t="s">
        <v>130</v>
      </c>
      <c r="C323" s="25" t="s">
        <v>140</v>
      </c>
      <c r="D323" s="26" t="s">
        <v>996</v>
      </c>
      <c r="E323" s="26" t="s">
        <v>997</v>
      </c>
      <c r="F323" s="26" t="s">
        <v>998</v>
      </c>
      <c r="G323" s="24" t="str">
        <f aca="false">IF($D323="","",IF(MID($D323,5,1)="S","S(봄)",IF(MID($D323,5,1)="M","M(여름)",IF(MID($D323,5,1)="X","X(사계절)",MID($D323,5,1)))))</f>
        <v>M(여름)</v>
      </c>
      <c r="H323" s="25" t="s">
        <v>67</v>
      </c>
      <c r="I323" s="24" t="s">
        <v>422</v>
      </c>
      <c r="J323" s="27" t="s">
        <v>987</v>
      </c>
      <c r="K323" s="28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8" t="n">
        <f aca="false">IF($K323="","",$K323-기준정보!$C$5)</f>
        <v>46471</v>
      </c>
      <c r="M323" s="28" t="n">
        <f aca="false">IF($L323="","",$L323-기준정보!$C$6)</f>
        <v>46381</v>
      </c>
      <c r="N323" s="29" t="n">
        <f aca="false">IF($M323="","",$M323-기준정보!$C$4)</f>
        <v>139</v>
      </c>
      <c r="O323" s="27" t="s">
        <v>71</v>
      </c>
      <c r="P323" s="27" t="s">
        <v>71</v>
      </c>
      <c r="Q323" s="30"/>
      <c r="R323" s="26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S323" s="25" t="s">
        <v>183</v>
      </c>
      <c r="T323" s="25" t="s">
        <v>119</v>
      </c>
      <c r="U323" s="31" t="n">
        <v>0</v>
      </c>
      <c r="V323" s="26"/>
      <c r="W323" s="26" t="str">
        <f aca="false">IF($K323="","출고일 미정",IF($O323="X","작지 미발행",IF($O323="부분","작지 일부 미발행",IF(AND($Q323&lt;&gt;"",$Q323&gt;$M323),"소재입고 마감("&amp;TEXT($M323,"MM/DD")&amp;") 초과",IF($O323="","발행여부 확인 필요",IF($Q323="","소재 입고일정 확인 필요","정상"))))))</f>
        <v>작지 미발행</v>
      </c>
      <c r="X323" s="24" t="str">
        <f aca="false">IF($K323="","",IF(OR(LEFT($W323,2)="작지",LEFT($W323,4)="소재입고"),IF(LEFT($G323,1)="S","★ 납기위험(S코드)","◆ 지연주의"),IF($W323="정상","✓ 정상","? 확인필요")))</f>
        <v>◆ 지연주의</v>
      </c>
      <c r="Y323" s="27"/>
      <c r="Z323" s="32"/>
    </row>
    <row r="324" customFormat="false" ht="15" hidden="false" customHeight="false" outlineLevel="0" collapsed="false">
      <c r="A324" s="24" t="n">
        <v>320</v>
      </c>
      <c r="B324" s="25" t="s">
        <v>130</v>
      </c>
      <c r="C324" s="25" t="s">
        <v>140</v>
      </c>
      <c r="D324" s="26" t="s">
        <v>999</v>
      </c>
      <c r="E324" s="26" t="s">
        <v>1000</v>
      </c>
      <c r="F324" s="26" t="s">
        <v>148</v>
      </c>
      <c r="G324" s="24" t="str">
        <f aca="false">IF($D324="","",IF(MID($D324,5,1)="S","S(봄)",IF(MID($D324,5,1)="M","M(여름)",IF(MID($D324,5,1)="X","X(사계절)",MID($D324,5,1)))))</f>
        <v>M(여름)</v>
      </c>
      <c r="H324" s="25" t="s">
        <v>67</v>
      </c>
      <c r="I324" s="24" t="s">
        <v>422</v>
      </c>
      <c r="J324" s="27" t="s">
        <v>987</v>
      </c>
      <c r="K324" s="28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8" t="n">
        <f aca="false">IF($K324="","",$K324-기준정보!$C$5)</f>
        <v>46471</v>
      </c>
      <c r="M324" s="28" t="n">
        <f aca="false">IF($L324="","",$L324-기준정보!$C$6)</f>
        <v>46381</v>
      </c>
      <c r="N324" s="29" t="n">
        <f aca="false">IF($M324="","",$M324-기준정보!$C$4)</f>
        <v>139</v>
      </c>
      <c r="O324" s="27" t="s">
        <v>71</v>
      </c>
      <c r="P324" s="27" t="s">
        <v>71</v>
      </c>
      <c r="Q324" s="30"/>
      <c r="R324" s="26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S324" s="26" t="s">
        <v>1001</v>
      </c>
      <c r="T324" s="25" t="s">
        <v>73</v>
      </c>
      <c r="U324" s="31" t="n">
        <v>0</v>
      </c>
      <c r="V324" s="26"/>
      <c r="W324" s="26" t="str">
        <f aca="false">IF($K324="","출고일 미정",IF($O324="X","작지 미발행",IF($O324="부분","작지 일부 미발행",IF(AND($Q324&lt;&gt;"",$Q324&gt;$M324),"소재입고 마감("&amp;TEXT($M324,"MM/DD")&amp;") 초과",IF($O324="","발행여부 확인 필요",IF($Q324="","소재 입고일정 확인 필요","정상"))))))</f>
        <v>작지 미발행</v>
      </c>
      <c r="X324" s="24" t="str">
        <f aca="false">IF($K324="","",IF(OR(LEFT($W324,2)="작지",LEFT($W324,4)="소재입고"),IF(LEFT($G324,1)="S","★ 납기위험(S코드)","◆ 지연주의"),IF($W324="정상","✓ 정상","? 확인필요")))</f>
        <v>◆ 지연주의</v>
      </c>
      <c r="Y324" s="27"/>
      <c r="Z324" s="32"/>
    </row>
    <row r="325" customFormat="false" ht="15" hidden="false" customHeight="false" outlineLevel="0" collapsed="false">
      <c r="A325" s="24" t="n">
        <v>321</v>
      </c>
      <c r="B325" s="25" t="s">
        <v>130</v>
      </c>
      <c r="C325" s="25" t="s">
        <v>140</v>
      </c>
      <c r="D325" s="26" t="s">
        <v>1002</v>
      </c>
      <c r="E325" s="26" t="s">
        <v>1003</v>
      </c>
      <c r="F325" s="26" t="s">
        <v>148</v>
      </c>
      <c r="G325" s="24" t="str">
        <f aca="false">IF($D325="","",IF(MID($D325,5,1)="S","S(봄)",IF(MID($D325,5,1)="M","M(여름)",IF(MID($D325,5,1)="X","X(사계절)",MID($D325,5,1)))))</f>
        <v>M(여름)</v>
      </c>
      <c r="H325" s="25" t="s">
        <v>67</v>
      </c>
      <c r="I325" s="24" t="s">
        <v>422</v>
      </c>
      <c r="J325" s="27" t="s">
        <v>987</v>
      </c>
      <c r="K325" s="28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8" t="n">
        <f aca="false">IF($K325="","",$K325-기준정보!$C$5)</f>
        <v>46471</v>
      </c>
      <c r="M325" s="28" t="n">
        <f aca="false">IF($L325="","",$L325-기준정보!$C$6)</f>
        <v>46381</v>
      </c>
      <c r="N325" s="29" t="n">
        <f aca="false">IF($M325="","",$M325-기준정보!$C$4)</f>
        <v>139</v>
      </c>
      <c r="O325" s="27" t="s">
        <v>71</v>
      </c>
      <c r="P325" s="27" t="s">
        <v>71</v>
      </c>
      <c r="Q325" s="30"/>
      <c r="R325" s="26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S325" s="25" t="s">
        <v>149</v>
      </c>
      <c r="T325" s="25" t="s">
        <v>73</v>
      </c>
      <c r="U325" s="31" t="n">
        <v>0</v>
      </c>
      <c r="V325" s="26"/>
      <c r="W325" s="26" t="str">
        <f aca="false">IF($K325="","출고일 미정",IF($O325="X","작지 미발행",IF($O325="부분","작지 일부 미발행",IF(AND($Q325&lt;&gt;"",$Q325&gt;$M325),"소재입고 마감("&amp;TEXT($M325,"MM/DD")&amp;") 초과",IF($O325="","발행여부 확인 필요",IF($Q325="","소재 입고일정 확인 필요","정상"))))))</f>
        <v>작지 미발행</v>
      </c>
      <c r="X325" s="24" t="str">
        <f aca="false">IF($K325="","",IF(OR(LEFT($W325,2)="작지",LEFT($W325,4)="소재입고"),IF(LEFT($G325,1)="S","★ 납기위험(S코드)","◆ 지연주의"),IF($W325="정상","✓ 정상","? 확인필요")))</f>
        <v>◆ 지연주의</v>
      </c>
      <c r="Y325" s="27"/>
      <c r="Z325" s="32"/>
    </row>
    <row r="326" customFormat="false" ht="15" hidden="false" customHeight="false" outlineLevel="0" collapsed="false">
      <c r="A326" s="24" t="n">
        <v>322</v>
      </c>
      <c r="B326" s="25" t="s">
        <v>130</v>
      </c>
      <c r="C326" s="25" t="s">
        <v>140</v>
      </c>
      <c r="D326" s="26" t="s">
        <v>1004</v>
      </c>
      <c r="E326" s="26" t="s">
        <v>1005</v>
      </c>
      <c r="F326" s="26" t="s">
        <v>544</v>
      </c>
      <c r="G326" s="24" t="str">
        <f aca="false">IF($D326="","",IF(MID($D326,5,1)="S","S(봄)",IF(MID($D326,5,1)="M","M(여름)",IF(MID($D326,5,1)="X","X(사계절)",MID($D326,5,1)))))</f>
        <v>M(여름)</v>
      </c>
      <c r="H326" s="25" t="s">
        <v>67</v>
      </c>
      <c r="I326" s="24" t="s">
        <v>422</v>
      </c>
      <c r="J326" s="27" t="s">
        <v>987</v>
      </c>
      <c r="K326" s="28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8" t="n">
        <f aca="false">IF($K326="","",$K326-기준정보!$C$5)</f>
        <v>46471</v>
      </c>
      <c r="M326" s="28" t="n">
        <f aca="false">IF($L326="","",$L326-기준정보!$C$6)</f>
        <v>46381</v>
      </c>
      <c r="N326" s="29" t="n">
        <f aca="false">IF($M326="","",$M326-기준정보!$C$4)</f>
        <v>139</v>
      </c>
      <c r="O326" s="27" t="s">
        <v>71</v>
      </c>
      <c r="P326" s="27" t="s">
        <v>71</v>
      </c>
      <c r="Q326" s="30"/>
      <c r="R326" s="26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S326" s="25" t="s">
        <v>149</v>
      </c>
      <c r="T326" s="25" t="s">
        <v>73</v>
      </c>
      <c r="U326" s="31" t="n">
        <v>0</v>
      </c>
      <c r="V326" s="26"/>
      <c r="W326" s="26" t="str">
        <f aca="false">IF($K326="","출고일 미정",IF($O326="X","작지 미발행",IF($O326="부분","작지 일부 미발행",IF(AND($Q326&lt;&gt;"",$Q326&gt;$M326),"소재입고 마감("&amp;TEXT($M326,"MM/DD")&amp;") 초과",IF($O326="","발행여부 확인 필요",IF($Q326="","소재 입고일정 확인 필요","정상"))))))</f>
        <v>작지 미발행</v>
      </c>
      <c r="X326" s="24" t="str">
        <f aca="false">IF($K326="","",IF(OR(LEFT($W326,2)="작지",LEFT($W326,4)="소재입고"),IF(LEFT($G326,1)="S","★ 납기위험(S코드)","◆ 지연주의"),IF($W326="정상","✓ 정상","? 확인필요")))</f>
        <v>◆ 지연주의</v>
      </c>
      <c r="Y326" s="27"/>
      <c r="Z326" s="32"/>
    </row>
    <row r="327" customFormat="false" ht="15" hidden="false" customHeight="false" outlineLevel="0" collapsed="false">
      <c r="A327" s="24" t="n">
        <v>323</v>
      </c>
      <c r="B327" s="25" t="s">
        <v>130</v>
      </c>
      <c r="C327" s="25" t="s">
        <v>140</v>
      </c>
      <c r="D327" s="26" t="s">
        <v>1006</v>
      </c>
      <c r="E327" s="26" t="s">
        <v>1007</v>
      </c>
      <c r="F327" s="26" t="s">
        <v>1008</v>
      </c>
      <c r="G327" s="24" t="str">
        <f aca="false">IF($D327="","",IF(MID($D327,5,1)="S","S(봄)",IF(MID($D327,5,1)="M","M(여름)",IF(MID($D327,5,1)="X","X(사계절)",MID($D327,5,1)))))</f>
        <v>M(여름)</v>
      </c>
      <c r="H327" s="25" t="s">
        <v>67</v>
      </c>
      <c r="I327" s="24" t="s">
        <v>422</v>
      </c>
      <c r="J327" s="27" t="s">
        <v>987</v>
      </c>
      <c r="K327" s="28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8" t="n">
        <f aca="false">IF($K327="","",$K327-기준정보!$C$5)</f>
        <v>46471</v>
      </c>
      <c r="M327" s="28" t="n">
        <f aca="false">IF($L327="","",$L327-기준정보!$C$6)</f>
        <v>46381</v>
      </c>
      <c r="N327" s="29" t="n">
        <f aca="false">IF($M327="","",$M327-기준정보!$C$4)</f>
        <v>139</v>
      </c>
      <c r="O327" s="27" t="s">
        <v>71</v>
      </c>
      <c r="P327" s="27" t="s">
        <v>71</v>
      </c>
      <c r="Q327" s="30"/>
      <c r="R327" s="26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S327" s="25" t="s">
        <v>692</v>
      </c>
      <c r="T327" s="25" t="s">
        <v>154</v>
      </c>
      <c r="U327" s="31" t="n">
        <v>0</v>
      </c>
      <c r="V327" s="26"/>
      <c r="W327" s="26" t="str">
        <f aca="false">IF($K327="","출고일 미정",IF($O327="X","작지 미발행",IF($O327="부분","작지 일부 미발행",IF(AND($Q327&lt;&gt;"",$Q327&gt;$M327),"소재입고 마감("&amp;TEXT($M327,"MM/DD")&amp;") 초과",IF($O327="","발행여부 확인 필요",IF($Q327="","소재 입고일정 확인 필요","정상"))))))</f>
        <v>작지 미발행</v>
      </c>
      <c r="X327" s="24" t="str">
        <f aca="false">IF($K327="","",IF(OR(LEFT($W327,2)="작지",LEFT($W327,4)="소재입고"),IF(LEFT($G327,1)="S","★ 납기위험(S코드)","◆ 지연주의"),IF($W327="정상","✓ 정상","? 확인필요")))</f>
        <v>◆ 지연주의</v>
      </c>
      <c r="Y327" s="27"/>
      <c r="Z327" s="32"/>
    </row>
    <row r="328" customFormat="false" ht="15" hidden="false" customHeight="false" outlineLevel="0" collapsed="false">
      <c r="A328" s="24" t="n">
        <v>324</v>
      </c>
      <c r="B328" s="25" t="s">
        <v>130</v>
      </c>
      <c r="C328" s="25" t="s">
        <v>140</v>
      </c>
      <c r="D328" s="26" t="s">
        <v>1009</v>
      </c>
      <c r="E328" s="26" t="s">
        <v>1010</v>
      </c>
      <c r="F328" s="26" t="s">
        <v>898</v>
      </c>
      <c r="G328" s="24" t="str">
        <f aca="false">IF($D328="","",IF(MID($D328,5,1)="S","S(봄)",IF(MID($D328,5,1)="M","M(여름)",IF(MID($D328,5,1)="X","X(사계절)",MID($D328,5,1)))))</f>
        <v>M(여름)</v>
      </c>
      <c r="H328" s="25" t="s">
        <v>67</v>
      </c>
      <c r="I328" s="24" t="s">
        <v>422</v>
      </c>
      <c r="J328" s="27" t="s">
        <v>987</v>
      </c>
      <c r="K328" s="28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8" t="n">
        <f aca="false">IF($K328="","",$K328-기준정보!$C$5)</f>
        <v>46471</v>
      </c>
      <c r="M328" s="28" t="n">
        <f aca="false">IF($L328="","",$L328-기준정보!$C$6)</f>
        <v>46381</v>
      </c>
      <c r="N328" s="29" t="n">
        <f aca="false">IF($M328="","",$M328-기준정보!$C$4)</f>
        <v>139</v>
      </c>
      <c r="O328" s="27" t="s">
        <v>71</v>
      </c>
      <c r="P328" s="27" t="s">
        <v>71</v>
      </c>
      <c r="Q328" s="30"/>
      <c r="R328" s="26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S328" s="25" t="s">
        <v>158</v>
      </c>
      <c r="T328" s="25" t="s">
        <v>73</v>
      </c>
      <c r="U328" s="31" t="n">
        <v>0</v>
      </c>
      <c r="V328" s="26"/>
      <c r="W328" s="26" t="str">
        <f aca="false">IF($K328="","출고일 미정",IF($O328="X","작지 미발행",IF($O328="부분","작지 일부 미발행",IF(AND($Q328&lt;&gt;"",$Q328&gt;$M328),"소재입고 마감("&amp;TEXT($M328,"MM/DD")&amp;") 초과",IF($O328="","발행여부 확인 필요",IF($Q328="","소재 입고일정 확인 필요","정상"))))))</f>
        <v>작지 미발행</v>
      </c>
      <c r="X328" s="24" t="str">
        <f aca="false">IF($K328="","",IF(OR(LEFT($W328,2)="작지",LEFT($W328,4)="소재입고"),IF(LEFT($G328,1)="S","★ 납기위험(S코드)","◆ 지연주의"),IF($W328="정상","✓ 정상","? 확인필요")))</f>
        <v>◆ 지연주의</v>
      </c>
      <c r="Y328" s="27"/>
      <c r="Z328" s="32"/>
    </row>
    <row r="329" customFormat="false" ht="15" hidden="false" customHeight="false" outlineLevel="0" collapsed="false">
      <c r="A329" s="24" t="n">
        <v>325</v>
      </c>
      <c r="B329" s="25" t="s">
        <v>130</v>
      </c>
      <c r="C329" s="25" t="s">
        <v>140</v>
      </c>
      <c r="D329" s="26" t="s">
        <v>1011</v>
      </c>
      <c r="E329" s="26" t="s">
        <v>1012</v>
      </c>
      <c r="F329" s="26" t="s">
        <v>84</v>
      </c>
      <c r="G329" s="24" t="str">
        <f aca="false">IF($D329="","",IF(MID($D329,5,1)="S","S(봄)",IF(MID($D329,5,1)="M","M(여름)",IF(MID($D329,5,1)="X","X(사계절)",MID($D329,5,1)))))</f>
        <v>M(여름)</v>
      </c>
      <c r="H329" s="25" t="s">
        <v>67</v>
      </c>
      <c r="I329" s="24" t="s">
        <v>422</v>
      </c>
      <c r="J329" s="27" t="s">
        <v>987</v>
      </c>
      <c r="K329" s="28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8" t="n">
        <f aca="false">IF($K329="","",$K329-기준정보!$C$5)</f>
        <v>46471</v>
      </c>
      <c r="M329" s="28" t="n">
        <f aca="false">IF($L329="","",$L329-기준정보!$C$6)</f>
        <v>46381</v>
      </c>
      <c r="N329" s="29" t="n">
        <f aca="false">IF($M329="","",$M329-기준정보!$C$4)</f>
        <v>139</v>
      </c>
      <c r="O329" s="27" t="s">
        <v>71</v>
      </c>
      <c r="P329" s="27" t="s">
        <v>71</v>
      </c>
      <c r="Q329" s="30"/>
      <c r="R329" s="26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S329" s="25" t="s">
        <v>254</v>
      </c>
      <c r="T329" s="25" t="s">
        <v>73</v>
      </c>
      <c r="U329" s="31" t="n">
        <v>0</v>
      </c>
      <c r="V329" s="26"/>
      <c r="W329" s="26" t="str">
        <f aca="false">IF($K329="","출고일 미정",IF($O329="X","작지 미발행",IF($O329="부분","작지 일부 미발행",IF(AND($Q329&lt;&gt;"",$Q329&gt;$M329),"소재입고 마감("&amp;TEXT($M329,"MM/DD")&amp;") 초과",IF($O329="","발행여부 확인 필요",IF($Q329="","소재 입고일정 확인 필요","정상"))))))</f>
        <v>작지 미발행</v>
      </c>
      <c r="X329" s="24" t="str">
        <f aca="false">IF($K329="","",IF(OR(LEFT($W329,2)="작지",LEFT($W329,4)="소재입고"),IF(LEFT($G329,1)="S","★ 납기위험(S코드)","◆ 지연주의"),IF($W329="정상","✓ 정상","? 확인필요")))</f>
        <v>◆ 지연주의</v>
      </c>
      <c r="Y329" s="27"/>
      <c r="Z329" s="32"/>
    </row>
    <row r="330" customFormat="false" ht="15" hidden="false" customHeight="false" outlineLevel="0" collapsed="false">
      <c r="A330" s="24" t="n">
        <v>326</v>
      </c>
      <c r="B330" s="25" t="s">
        <v>130</v>
      </c>
      <c r="C330" s="25" t="s">
        <v>131</v>
      </c>
      <c r="D330" s="26" t="s">
        <v>1013</v>
      </c>
      <c r="E330" s="26" t="s">
        <v>1014</v>
      </c>
      <c r="F330" s="26" t="s">
        <v>157</v>
      </c>
      <c r="G330" s="24" t="str">
        <f aca="false">IF($D330="","",IF(MID($D330,5,1)="S","S(봄)",IF(MID($D330,5,1)="M","M(여름)",IF(MID($D330,5,1)="X","X(사계절)",MID($D330,5,1)))))</f>
        <v>M(여름)</v>
      </c>
      <c r="H330" s="25" t="s">
        <v>67</v>
      </c>
      <c r="I330" s="24" t="s">
        <v>422</v>
      </c>
      <c r="J330" s="27" t="s">
        <v>987</v>
      </c>
      <c r="K330" s="28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8" t="n">
        <f aca="false">IF($K330="","",$K330-기준정보!$C$5)</f>
        <v>46471</v>
      </c>
      <c r="M330" s="28" t="n">
        <f aca="false">IF($L330="","",$L330-기준정보!$C$6)</f>
        <v>46381</v>
      </c>
      <c r="N330" s="29" t="n">
        <f aca="false">IF($M330="","",$M330-기준정보!$C$4)</f>
        <v>139</v>
      </c>
      <c r="O330" s="27" t="s">
        <v>71</v>
      </c>
      <c r="P330" s="27" t="s">
        <v>71</v>
      </c>
      <c r="Q330" s="30"/>
      <c r="R330" s="26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S330" s="26" t="s">
        <v>137</v>
      </c>
      <c r="T330" s="25" t="s">
        <v>73</v>
      </c>
      <c r="U330" s="31" t="n">
        <v>0</v>
      </c>
      <c r="V330" s="26"/>
      <c r="W330" s="26" t="str">
        <f aca="false">IF($K330="","출고일 미정",IF($O330="X","작지 미발행",IF($O330="부분","작지 일부 미발행",IF(AND($Q330&lt;&gt;"",$Q330&gt;$M330),"소재입고 마감("&amp;TEXT($M330,"MM/DD")&amp;") 초과",IF($O330="","발행여부 확인 필요",IF($Q330="","소재 입고일정 확인 필요","정상"))))))</f>
        <v>작지 미발행</v>
      </c>
      <c r="X330" s="24" t="str">
        <f aca="false">IF($K330="","",IF(OR(LEFT($W330,2)="작지",LEFT($W330,4)="소재입고"),IF(LEFT($G330,1)="S","★ 납기위험(S코드)","◆ 지연주의"),IF($W330="정상","✓ 정상","? 확인필요")))</f>
        <v>◆ 지연주의</v>
      </c>
      <c r="Y330" s="27"/>
      <c r="Z330" s="32"/>
    </row>
    <row r="331" customFormat="false" ht="15" hidden="false" customHeight="false" outlineLevel="0" collapsed="false">
      <c r="A331" s="24" t="n">
        <v>327</v>
      </c>
      <c r="B331" s="25" t="s">
        <v>130</v>
      </c>
      <c r="C331" s="25" t="s">
        <v>131</v>
      </c>
      <c r="D331" s="26" t="s">
        <v>1015</v>
      </c>
      <c r="E331" s="26" t="s">
        <v>1016</v>
      </c>
      <c r="F331" s="26" t="s">
        <v>157</v>
      </c>
      <c r="G331" s="24" t="str">
        <f aca="false">IF($D331="","",IF(MID($D331,5,1)="S","S(봄)",IF(MID($D331,5,1)="M","M(여름)",IF(MID($D331,5,1)="X","X(사계절)",MID($D331,5,1)))))</f>
        <v>M(여름)</v>
      </c>
      <c r="H331" s="25" t="s">
        <v>67</v>
      </c>
      <c r="I331" s="24" t="s">
        <v>422</v>
      </c>
      <c r="J331" s="27" t="s">
        <v>987</v>
      </c>
      <c r="K331" s="28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8" t="n">
        <f aca="false">IF($K331="","",$K331-기준정보!$C$5)</f>
        <v>46471</v>
      </c>
      <c r="M331" s="28" t="n">
        <f aca="false">IF($L331="","",$L331-기준정보!$C$6)</f>
        <v>46381</v>
      </c>
      <c r="N331" s="29" t="n">
        <f aca="false">IF($M331="","",$M331-기준정보!$C$4)</f>
        <v>139</v>
      </c>
      <c r="O331" s="27" t="s">
        <v>71</v>
      </c>
      <c r="P331" s="27" t="s">
        <v>71</v>
      </c>
      <c r="Q331" s="30"/>
      <c r="R331" s="26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S331" s="26" t="s">
        <v>137</v>
      </c>
      <c r="T331" s="25" t="s">
        <v>73</v>
      </c>
      <c r="U331" s="31" t="n">
        <v>0</v>
      </c>
      <c r="V331" s="26"/>
      <c r="W331" s="26" t="str">
        <f aca="false">IF($K331="","출고일 미정",IF($O331="X","작지 미발행",IF($O331="부분","작지 일부 미발행",IF(AND($Q331&lt;&gt;"",$Q331&gt;$M331),"소재입고 마감("&amp;TEXT($M331,"MM/DD")&amp;") 초과",IF($O331="","발행여부 확인 필요",IF($Q331="","소재 입고일정 확인 필요","정상"))))))</f>
        <v>작지 미발행</v>
      </c>
      <c r="X331" s="24" t="str">
        <f aca="false">IF($K331="","",IF(OR(LEFT($W331,2)="작지",LEFT($W331,4)="소재입고"),IF(LEFT($G331,1)="S","★ 납기위험(S코드)","◆ 지연주의"),IF($W331="정상","✓ 정상","? 확인필요")))</f>
        <v>◆ 지연주의</v>
      </c>
      <c r="Y331" s="27"/>
      <c r="Z331" s="32"/>
    </row>
    <row r="332" customFormat="false" ht="15" hidden="false" customHeight="false" outlineLevel="0" collapsed="false">
      <c r="A332" s="24" t="n">
        <v>328</v>
      </c>
      <c r="B332" s="25" t="s">
        <v>130</v>
      </c>
      <c r="C332" s="25" t="s">
        <v>140</v>
      </c>
      <c r="D332" s="26" t="s">
        <v>1017</v>
      </c>
      <c r="E332" s="26" t="s">
        <v>1018</v>
      </c>
      <c r="F332" s="26" t="s">
        <v>148</v>
      </c>
      <c r="G332" s="24" t="str">
        <f aca="false">IF($D332="","",IF(MID($D332,5,1)="S","S(봄)",IF(MID($D332,5,1)="M","M(여름)",IF(MID($D332,5,1)="X","X(사계절)",MID($D332,5,1)))))</f>
        <v>M(여름)</v>
      </c>
      <c r="H332" s="25" t="s">
        <v>67</v>
      </c>
      <c r="I332" s="24" t="s">
        <v>422</v>
      </c>
      <c r="J332" s="27" t="s">
        <v>987</v>
      </c>
      <c r="K332" s="28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8" t="n">
        <f aca="false">IF($K332="","",$K332-기준정보!$C$5)</f>
        <v>46471</v>
      </c>
      <c r="M332" s="28" t="n">
        <f aca="false">IF($L332="","",$L332-기준정보!$C$6)</f>
        <v>46381</v>
      </c>
      <c r="N332" s="29" t="n">
        <f aca="false">IF($M332="","",$M332-기준정보!$C$4)</f>
        <v>139</v>
      </c>
      <c r="O332" s="27" t="s">
        <v>71</v>
      </c>
      <c r="P332" s="27" t="s">
        <v>71</v>
      </c>
      <c r="Q332" s="30"/>
      <c r="R332" s="26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S332" s="26" t="s">
        <v>223</v>
      </c>
      <c r="T332" s="25" t="s">
        <v>73</v>
      </c>
      <c r="U332" s="31" t="n">
        <v>0</v>
      </c>
      <c r="V332" s="26"/>
      <c r="W332" s="26" t="str">
        <f aca="false">IF($K332="","출고일 미정",IF($O332="X","작지 미발행",IF($O332="부분","작지 일부 미발행",IF(AND($Q332&lt;&gt;"",$Q332&gt;$M332),"소재입고 마감("&amp;TEXT($M332,"MM/DD")&amp;") 초과",IF($O332="","발행여부 확인 필요",IF($Q332="","소재 입고일정 확인 필요","정상"))))))</f>
        <v>작지 미발행</v>
      </c>
      <c r="X332" s="24" t="str">
        <f aca="false">IF($K332="","",IF(OR(LEFT($W332,2)="작지",LEFT($W332,4)="소재입고"),IF(LEFT($G332,1)="S","★ 납기위험(S코드)","◆ 지연주의"),IF($W332="정상","✓ 정상","? 확인필요")))</f>
        <v>◆ 지연주의</v>
      </c>
      <c r="Y332" s="27"/>
      <c r="Z332" s="32"/>
    </row>
    <row r="333" customFormat="false" ht="15" hidden="false" customHeight="false" outlineLevel="0" collapsed="false">
      <c r="A333" s="24" t="n">
        <v>329</v>
      </c>
      <c r="B333" s="25" t="s">
        <v>130</v>
      </c>
      <c r="C333" s="25" t="s">
        <v>131</v>
      </c>
      <c r="D333" s="26" t="s">
        <v>1019</v>
      </c>
      <c r="E333" s="26" t="s">
        <v>1020</v>
      </c>
      <c r="F333" s="26" t="s">
        <v>226</v>
      </c>
      <c r="G333" s="24" t="str">
        <f aca="false">IF($D333="","",IF(MID($D333,5,1)="S","S(봄)",IF(MID($D333,5,1)="M","M(여름)",IF(MID($D333,5,1)="X","X(사계절)",MID($D333,5,1)))))</f>
        <v>M(여름)</v>
      </c>
      <c r="H333" s="25" t="s">
        <v>67</v>
      </c>
      <c r="I333" s="24" t="s">
        <v>422</v>
      </c>
      <c r="J333" s="27" t="s">
        <v>987</v>
      </c>
      <c r="K333" s="28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8" t="n">
        <f aca="false">IF($K333="","",$K333-기준정보!$C$5)</f>
        <v>46471</v>
      </c>
      <c r="M333" s="28" t="n">
        <f aca="false">IF($L333="","",$L333-기준정보!$C$6)</f>
        <v>46381</v>
      </c>
      <c r="N333" s="29" t="n">
        <f aca="false">IF($M333="","",$M333-기준정보!$C$4)</f>
        <v>139</v>
      </c>
      <c r="O333" s="27" t="s">
        <v>71</v>
      </c>
      <c r="P333" s="27" t="s">
        <v>71</v>
      </c>
      <c r="Q333" s="30"/>
      <c r="R333" s="26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S333" s="26" t="s">
        <v>137</v>
      </c>
      <c r="T333" s="25" t="s">
        <v>73</v>
      </c>
      <c r="U333" s="31" t="n">
        <v>0</v>
      </c>
      <c r="V333" s="26"/>
      <c r="W333" s="26" t="str">
        <f aca="false">IF($K333="","출고일 미정",IF($O333="X","작지 미발행",IF($O333="부분","작지 일부 미발행",IF(AND($Q333&lt;&gt;"",$Q333&gt;$M333),"소재입고 마감("&amp;TEXT($M333,"MM/DD")&amp;") 초과",IF($O333="","발행여부 확인 필요",IF($Q333="","소재 입고일정 확인 필요","정상"))))))</f>
        <v>작지 미발행</v>
      </c>
      <c r="X333" s="24" t="str">
        <f aca="false">IF($K333="","",IF(OR(LEFT($W333,2)="작지",LEFT($W333,4)="소재입고"),IF(LEFT($G333,1)="S","★ 납기위험(S코드)","◆ 지연주의"),IF($W333="정상","✓ 정상","? 확인필요")))</f>
        <v>◆ 지연주의</v>
      </c>
      <c r="Y333" s="27"/>
      <c r="Z333" s="32"/>
    </row>
    <row r="334" customFormat="false" ht="15" hidden="false" customHeight="false" outlineLevel="0" collapsed="false">
      <c r="A334" s="24" t="n">
        <v>330</v>
      </c>
      <c r="B334" s="25" t="s">
        <v>130</v>
      </c>
      <c r="C334" s="25" t="s">
        <v>131</v>
      </c>
      <c r="D334" s="26" t="s">
        <v>1021</v>
      </c>
      <c r="E334" s="26" t="s">
        <v>1022</v>
      </c>
      <c r="F334" s="26" t="s">
        <v>157</v>
      </c>
      <c r="G334" s="24" t="str">
        <f aca="false">IF($D334="","",IF(MID($D334,5,1)="S","S(봄)",IF(MID($D334,5,1)="M","M(여름)",IF(MID($D334,5,1)="X","X(사계절)",MID($D334,5,1)))))</f>
        <v>M(여름)</v>
      </c>
      <c r="H334" s="25" t="s">
        <v>67</v>
      </c>
      <c r="I334" s="24" t="s">
        <v>422</v>
      </c>
      <c r="J334" s="27" t="s">
        <v>987</v>
      </c>
      <c r="K334" s="28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8" t="n">
        <f aca="false">IF($K334="","",$K334-기준정보!$C$5)</f>
        <v>46471</v>
      </c>
      <c r="M334" s="28" t="n">
        <f aca="false">IF($L334="","",$L334-기준정보!$C$6)</f>
        <v>46381</v>
      </c>
      <c r="N334" s="29" t="n">
        <f aca="false">IF($M334="","",$M334-기준정보!$C$4)</f>
        <v>139</v>
      </c>
      <c r="O334" s="27" t="s">
        <v>71</v>
      </c>
      <c r="P334" s="27" t="s">
        <v>71</v>
      </c>
      <c r="Q334" s="30"/>
      <c r="R334" s="26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S334" s="25" t="s">
        <v>254</v>
      </c>
      <c r="T334" s="25" t="s">
        <v>73</v>
      </c>
      <c r="U334" s="31" t="n">
        <v>0</v>
      </c>
      <c r="V334" s="26"/>
      <c r="W334" s="26" t="str">
        <f aca="false">IF($K334="","출고일 미정",IF($O334="X","작지 미발행",IF($O334="부분","작지 일부 미발행",IF(AND($Q334&lt;&gt;"",$Q334&gt;$M334),"소재입고 마감("&amp;TEXT($M334,"MM/DD")&amp;") 초과",IF($O334="","발행여부 확인 필요",IF($Q334="","소재 입고일정 확인 필요","정상"))))))</f>
        <v>작지 미발행</v>
      </c>
      <c r="X334" s="24" t="str">
        <f aca="false">IF($K334="","",IF(OR(LEFT($W334,2)="작지",LEFT($W334,4)="소재입고"),IF(LEFT($G334,1)="S","★ 납기위험(S코드)","◆ 지연주의"),IF($W334="정상","✓ 정상","? 확인필요")))</f>
        <v>◆ 지연주의</v>
      </c>
      <c r="Y334" s="27"/>
      <c r="Z334" s="32"/>
    </row>
    <row r="335" customFormat="false" ht="15" hidden="false" customHeight="false" outlineLevel="0" collapsed="false">
      <c r="A335" s="24" t="n">
        <v>331</v>
      </c>
      <c r="B335" s="25" t="s">
        <v>130</v>
      </c>
      <c r="C335" s="25" t="s">
        <v>140</v>
      </c>
      <c r="D335" s="26" t="s">
        <v>1023</v>
      </c>
      <c r="E335" s="26" t="s">
        <v>1024</v>
      </c>
      <c r="F335" s="26" t="s">
        <v>84</v>
      </c>
      <c r="G335" s="24" t="str">
        <f aca="false">IF($D335="","",IF(MID($D335,5,1)="S","S(봄)",IF(MID($D335,5,1)="M","M(여름)",IF(MID($D335,5,1)="X","X(사계절)",MID($D335,5,1)))))</f>
        <v>M(여름)</v>
      </c>
      <c r="H335" s="25" t="s">
        <v>67</v>
      </c>
      <c r="I335" s="24" t="s">
        <v>422</v>
      </c>
      <c r="J335" s="27" t="s">
        <v>987</v>
      </c>
      <c r="K335" s="28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8" t="n">
        <f aca="false">IF($K335="","",$K335-기준정보!$C$5)</f>
        <v>46471</v>
      </c>
      <c r="M335" s="28" t="n">
        <f aca="false">IF($L335="","",$L335-기준정보!$C$6)</f>
        <v>46381</v>
      </c>
      <c r="N335" s="29" t="n">
        <f aca="false">IF($M335="","",$M335-기준정보!$C$4)</f>
        <v>139</v>
      </c>
      <c r="O335" s="27" t="s">
        <v>71</v>
      </c>
      <c r="P335" s="27" t="s">
        <v>71</v>
      </c>
      <c r="Q335" s="30"/>
      <c r="R335" s="26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S335" s="25" t="s">
        <v>183</v>
      </c>
      <c r="T335" s="25" t="s">
        <v>154</v>
      </c>
      <c r="U335" s="31" t="n">
        <v>0</v>
      </c>
      <c r="V335" s="26"/>
      <c r="W335" s="26" t="str">
        <f aca="false">IF($K335="","출고일 미정",IF($O335="X","작지 미발행",IF($O335="부분","작지 일부 미발행",IF(AND($Q335&lt;&gt;"",$Q335&gt;$M335),"소재입고 마감("&amp;TEXT($M335,"MM/DD")&amp;") 초과",IF($O335="","발행여부 확인 필요",IF($Q335="","소재 입고일정 확인 필요","정상"))))))</f>
        <v>작지 미발행</v>
      </c>
      <c r="X335" s="24" t="str">
        <f aca="false">IF($K335="","",IF(OR(LEFT($W335,2)="작지",LEFT($W335,4)="소재입고"),IF(LEFT($G335,1)="S","★ 납기위험(S코드)","◆ 지연주의"),IF($W335="정상","✓ 정상","? 확인필요")))</f>
        <v>◆ 지연주의</v>
      </c>
      <c r="Y335" s="27"/>
      <c r="Z335" s="32"/>
    </row>
    <row r="336" customFormat="false" ht="15" hidden="false" customHeight="false" outlineLevel="0" collapsed="false">
      <c r="A336" s="24" t="n">
        <v>332</v>
      </c>
      <c r="B336" s="25" t="s">
        <v>130</v>
      </c>
      <c r="C336" s="25" t="s">
        <v>131</v>
      </c>
      <c r="D336" s="26" t="s">
        <v>1025</v>
      </c>
      <c r="E336" s="26" t="s">
        <v>1026</v>
      </c>
      <c r="F336" s="26" t="s">
        <v>1027</v>
      </c>
      <c r="G336" s="24" t="str">
        <f aca="false">IF($D336="","",IF(MID($D336,5,1)="S","S(봄)",IF(MID($D336,5,1)="M","M(여름)",IF(MID($D336,5,1)="X","X(사계절)",MID($D336,5,1)))))</f>
        <v>M(여름)</v>
      </c>
      <c r="H336" s="25" t="s">
        <v>67</v>
      </c>
      <c r="I336" s="24" t="s">
        <v>422</v>
      </c>
      <c r="J336" s="27" t="s">
        <v>987</v>
      </c>
      <c r="K336" s="28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8" t="n">
        <f aca="false">IF($K336="","",$K336-기준정보!$C$5)</f>
        <v>46471</v>
      </c>
      <c r="M336" s="28" t="n">
        <f aca="false">IF($L336="","",$L336-기준정보!$C$6)</f>
        <v>46381</v>
      </c>
      <c r="N336" s="29" t="n">
        <f aca="false">IF($M336="","",$M336-기준정보!$C$4)</f>
        <v>139</v>
      </c>
      <c r="O336" s="27" t="s">
        <v>71</v>
      </c>
      <c r="P336" s="27" t="s">
        <v>71</v>
      </c>
      <c r="Q336" s="30"/>
      <c r="R336" s="26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S336" s="25" t="s">
        <v>183</v>
      </c>
      <c r="T336" s="25" t="s">
        <v>154</v>
      </c>
      <c r="U336" s="31" t="n">
        <v>0</v>
      </c>
      <c r="V336" s="26"/>
      <c r="W336" s="26" t="str">
        <f aca="false">IF($K336="","출고일 미정",IF($O336="X","작지 미발행",IF($O336="부분","작지 일부 미발행",IF(AND($Q336&lt;&gt;"",$Q336&gt;$M336),"소재입고 마감("&amp;TEXT($M336,"MM/DD")&amp;") 초과",IF($O336="","발행여부 확인 필요",IF($Q336="","소재 입고일정 확인 필요","정상"))))))</f>
        <v>작지 미발행</v>
      </c>
      <c r="X336" s="24" t="str">
        <f aca="false">IF($K336="","",IF(OR(LEFT($W336,2)="작지",LEFT($W336,4)="소재입고"),IF(LEFT($G336,1)="S","★ 납기위험(S코드)","◆ 지연주의"),IF($W336="정상","✓ 정상","? 확인필요")))</f>
        <v>◆ 지연주의</v>
      </c>
      <c r="Y336" s="27"/>
      <c r="Z336" s="32"/>
    </row>
    <row r="337" customFormat="false" ht="15" hidden="false" customHeight="false" outlineLevel="0" collapsed="false">
      <c r="A337" s="24" t="n">
        <v>333</v>
      </c>
      <c r="B337" s="25" t="s">
        <v>130</v>
      </c>
      <c r="C337" s="25" t="s">
        <v>140</v>
      </c>
      <c r="D337" s="26" t="s">
        <v>1028</v>
      </c>
      <c r="E337" s="26" t="s">
        <v>1029</v>
      </c>
      <c r="F337" s="26" t="s">
        <v>1027</v>
      </c>
      <c r="G337" s="24" t="str">
        <f aca="false">IF($D337="","",IF(MID($D337,5,1)="S","S(봄)",IF(MID($D337,5,1)="M","M(여름)",IF(MID($D337,5,1)="X","X(사계절)",MID($D337,5,1)))))</f>
        <v>M(여름)</v>
      </c>
      <c r="H337" s="25" t="s">
        <v>67</v>
      </c>
      <c r="I337" s="24" t="s">
        <v>422</v>
      </c>
      <c r="J337" s="27" t="s">
        <v>987</v>
      </c>
      <c r="K337" s="28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8" t="n">
        <f aca="false">IF($K337="","",$K337-기준정보!$C$5)</f>
        <v>46471</v>
      </c>
      <c r="M337" s="28" t="n">
        <f aca="false">IF($L337="","",$L337-기준정보!$C$6)</f>
        <v>46381</v>
      </c>
      <c r="N337" s="29" t="n">
        <f aca="false">IF($M337="","",$M337-기준정보!$C$4)</f>
        <v>139</v>
      </c>
      <c r="O337" s="27" t="s">
        <v>71</v>
      </c>
      <c r="P337" s="27" t="s">
        <v>71</v>
      </c>
      <c r="Q337" s="30"/>
      <c r="R337" s="26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S337" s="25" t="s">
        <v>183</v>
      </c>
      <c r="T337" s="25" t="s">
        <v>119</v>
      </c>
      <c r="U337" s="31" t="n">
        <v>0</v>
      </c>
      <c r="V337" s="26"/>
      <c r="W337" s="26" t="str">
        <f aca="false">IF($K337="","출고일 미정",IF($O337="X","작지 미발행",IF($O337="부분","작지 일부 미발행",IF(AND($Q337&lt;&gt;"",$Q337&gt;$M337),"소재입고 마감("&amp;TEXT($M337,"MM/DD")&amp;") 초과",IF($O337="","발행여부 확인 필요",IF($Q337="","소재 입고일정 확인 필요","정상"))))))</f>
        <v>작지 미발행</v>
      </c>
      <c r="X337" s="24" t="str">
        <f aca="false">IF($K337="","",IF(OR(LEFT($W337,2)="작지",LEFT($W337,4)="소재입고"),IF(LEFT($G337,1)="S","★ 납기위험(S코드)","◆ 지연주의"),IF($W337="정상","✓ 정상","? 확인필요")))</f>
        <v>◆ 지연주의</v>
      </c>
      <c r="Y337" s="27"/>
      <c r="Z337" s="32"/>
    </row>
    <row r="338" customFormat="false" ht="15" hidden="false" customHeight="false" outlineLevel="0" collapsed="false">
      <c r="A338" s="24" t="n">
        <v>334</v>
      </c>
      <c r="B338" s="25" t="s">
        <v>130</v>
      </c>
      <c r="C338" s="25" t="s">
        <v>131</v>
      </c>
      <c r="D338" s="26" t="s">
        <v>1030</v>
      </c>
      <c r="E338" s="26" t="s">
        <v>1031</v>
      </c>
      <c r="F338" s="26" t="s">
        <v>148</v>
      </c>
      <c r="G338" s="24" t="str">
        <f aca="false">IF($D338="","",IF(MID($D338,5,1)="S","S(봄)",IF(MID($D338,5,1)="M","M(여름)",IF(MID($D338,5,1)="X","X(사계절)",MID($D338,5,1)))))</f>
        <v>M(여름)</v>
      </c>
      <c r="H338" s="25" t="s">
        <v>67</v>
      </c>
      <c r="I338" s="24" t="s">
        <v>422</v>
      </c>
      <c r="J338" s="27" t="s">
        <v>987</v>
      </c>
      <c r="K338" s="28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8" t="n">
        <f aca="false">IF($K338="","",$K338-기준정보!$C$5)</f>
        <v>46471</v>
      </c>
      <c r="M338" s="28" t="n">
        <f aca="false">IF($L338="","",$L338-기준정보!$C$6)</f>
        <v>46381</v>
      </c>
      <c r="N338" s="29" t="n">
        <f aca="false">IF($M338="","",$M338-기준정보!$C$4)</f>
        <v>139</v>
      </c>
      <c r="O338" s="27" t="s">
        <v>71</v>
      </c>
      <c r="P338" s="27" t="s">
        <v>71</v>
      </c>
      <c r="Q338" s="30"/>
      <c r="R338" s="26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S338" s="25" t="s">
        <v>299</v>
      </c>
      <c r="T338" s="25" t="s">
        <v>73</v>
      </c>
      <c r="U338" s="31" t="n">
        <v>0</v>
      </c>
      <c r="V338" s="26"/>
      <c r="W338" s="26" t="str">
        <f aca="false">IF($K338="","출고일 미정",IF($O338="X","작지 미발행",IF($O338="부분","작지 일부 미발행",IF(AND($Q338&lt;&gt;"",$Q338&gt;$M338),"소재입고 마감("&amp;TEXT($M338,"MM/DD")&amp;") 초과",IF($O338="","발행여부 확인 필요",IF($Q338="","소재 입고일정 확인 필요","정상"))))))</f>
        <v>작지 미발행</v>
      </c>
      <c r="X338" s="24" t="str">
        <f aca="false">IF($K338="","",IF(OR(LEFT($W338,2)="작지",LEFT($W338,4)="소재입고"),IF(LEFT($G338,1)="S","★ 납기위험(S코드)","◆ 지연주의"),IF($W338="정상","✓ 정상","? 확인필요")))</f>
        <v>◆ 지연주의</v>
      </c>
      <c r="Y338" s="27"/>
      <c r="Z338" s="32"/>
    </row>
    <row r="339" customFormat="false" ht="15" hidden="false" customHeight="false" outlineLevel="0" collapsed="false">
      <c r="A339" s="24" t="n">
        <v>335</v>
      </c>
      <c r="B339" s="25" t="s">
        <v>130</v>
      </c>
      <c r="C339" s="25" t="s">
        <v>131</v>
      </c>
      <c r="D339" s="26" t="s">
        <v>1032</v>
      </c>
      <c r="E339" s="26" t="s">
        <v>1033</v>
      </c>
      <c r="F339" s="26" t="s">
        <v>1034</v>
      </c>
      <c r="G339" s="24" t="str">
        <f aca="false">IF($D339="","",IF(MID($D339,5,1)="S","S(봄)",IF(MID($D339,5,1)="M","M(여름)",IF(MID($D339,5,1)="X","X(사계절)",MID($D339,5,1)))))</f>
        <v>M(여름)</v>
      </c>
      <c r="H339" s="25" t="s">
        <v>67</v>
      </c>
      <c r="I339" s="24" t="s">
        <v>422</v>
      </c>
      <c r="J339" s="27" t="s">
        <v>987</v>
      </c>
      <c r="K339" s="28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8" t="n">
        <f aca="false">IF($K339="","",$K339-기준정보!$C$5)</f>
        <v>46471</v>
      </c>
      <c r="M339" s="28" t="n">
        <f aca="false">IF($L339="","",$L339-기준정보!$C$6)</f>
        <v>46381</v>
      </c>
      <c r="N339" s="29" t="n">
        <f aca="false">IF($M339="","",$M339-기준정보!$C$4)</f>
        <v>139</v>
      </c>
      <c r="O339" s="27" t="s">
        <v>71</v>
      </c>
      <c r="P339" s="27" t="s">
        <v>71</v>
      </c>
      <c r="Q339" s="30"/>
      <c r="R339" s="26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S339" s="25" t="s">
        <v>183</v>
      </c>
      <c r="T339" s="25" t="s">
        <v>154</v>
      </c>
      <c r="U339" s="31" t="n">
        <v>0</v>
      </c>
      <c r="V339" s="26"/>
      <c r="W339" s="26" t="str">
        <f aca="false">IF($K339="","출고일 미정",IF($O339="X","작지 미발행",IF($O339="부분","작지 일부 미발행",IF(AND($Q339&lt;&gt;"",$Q339&gt;$M339),"소재입고 마감("&amp;TEXT($M339,"MM/DD")&amp;") 초과",IF($O339="","발행여부 확인 필요",IF($Q339="","소재 입고일정 확인 필요","정상"))))))</f>
        <v>작지 미발행</v>
      </c>
      <c r="X339" s="24" t="str">
        <f aca="false">IF($K339="","",IF(OR(LEFT($W339,2)="작지",LEFT($W339,4)="소재입고"),IF(LEFT($G339,1)="S","★ 납기위험(S코드)","◆ 지연주의"),IF($W339="정상","✓ 정상","? 확인필요")))</f>
        <v>◆ 지연주의</v>
      </c>
      <c r="Y339" s="27"/>
      <c r="Z339" s="32"/>
    </row>
    <row r="340" customFormat="false" ht="15" hidden="false" customHeight="false" outlineLevel="0" collapsed="false">
      <c r="A340" s="24" t="n">
        <v>336</v>
      </c>
      <c r="B340" s="25" t="s">
        <v>130</v>
      </c>
      <c r="C340" s="25" t="s">
        <v>131</v>
      </c>
      <c r="D340" s="26" t="s">
        <v>1035</v>
      </c>
      <c r="E340" s="26" t="s">
        <v>1036</v>
      </c>
      <c r="F340" s="26" t="s">
        <v>544</v>
      </c>
      <c r="G340" s="24" t="str">
        <f aca="false">IF($D340="","",IF(MID($D340,5,1)="S","S(봄)",IF(MID($D340,5,1)="M","M(여름)",IF(MID($D340,5,1)="X","X(사계절)",MID($D340,5,1)))))</f>
        <v>M(여름)</v>
      </c>
      <c r="H340" s="25" t="s">
        <v>67</v>
      </c>
      <c r="I340" s="24" t="s">
        <v>422</v>
      </c>
      <c r="J340" s="27" t="s">
        <v>987</v>
      </c>
      <c r="K340" s="28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8" t="n">
        <f aca="false">IF($K340="","",$K340-기준정보!$C$5)</f>
        <v>46471</v>
      </c>
      <c r="M340" s="28" t="n">
        <f aca="false">IF($L340="","",$L340-기준정보!$C$6)</f>
        <v>46381</v>
      </c>
      <c r="N340" s="29" t="n">
        <f aca="false">IF($M340="","",$M340-기준정보!$C$4)</f>
        <v>139</v>
      </c>
      <c r="O340" s="27" t="s">
        <v>71</v>
      </c>
      <c r="P340" s="27" t="s">
        <v>71</v>
      </c>
      <c r="Q340" s="30"/>
      <c r="R340" s="26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S340" s="25" t="s">
        <v>183</v>
      </c>
      <c r="T340" s="25" t="s">
        <v>154</v>
      </c>
      <c r="U340" s="31" t="n">
        <v>0</v>
      </c>
      <c r="V340" s="26"/>
      <c r="W340" s="26" t="str">
        <f aca="false">IF($K340="","출고일 미정",IF($O340="X","작지 미발행",IF($O340="부분","작지 일부 미발행",IF(AND($Q340&lt;&gt;"",$Q340&gt;$M340),"소재입고 마감("&amp;TEXT($M340,"MM/DD")&amp;") 초과",IF($O340="","발행여부 확인 필요",IF($Q340="","소재 입고일정 확인 필요","정상"))))))</f>
        <v>작지 미발행</v>
      </c>
      <c r="X340" s="24" t="str">
        <f aca="false">IF($K340="","",IF(OR(LEFT($W340,2)="작지",LEFT($W340,4)="소재입고"),IF(LEFT($G340,1)="S","★ 납기위험(S코드)","◆ 지연주의"),IF($W340="정상","✓ 정상","? 확인필요")))</f>
        <v>◆ 지연주의</v>
      </c>
      <c r="Y340" s="27"/>
      <c r="Z340" s="32"/>
    </row>
    <row r="341" customFormat="false" ht="15" hidden="false" customHeight="false" outlineLevel="0" collapsed="false">
      <c r="A341" s="24" t="n">
        <v>337</v>
      </c>
      <c r="B341" s="25" t="s">
        <v>130</v>
      </c>
      <c r="C341" s="25" t="s">
        <v>131</v>
      </c>
      <c r="D341" s="26" t="s">
        <v>1037</v>
      </c>
      <c r="E341" s="26" t="s">
        <v>1038</v>
      </c>
      <c r="F341" s="26" t="s">
        <v>1039</v>
      </c>
      <c r="G341" s="24" t="str">
        <f aca="false">IF($D341="","",IF(MID($D341,5,1)="S","S(봄)",IF(MID($D341,5,1)="M","M(여름)",IF(MID($D341,5,1)="X","X(사계절)",MID($D341,5,1)))))</f>
        <v>M(여름)</v>
      </c>
      <c r="H341" s="26"/>
      <c r="I341" s="24" t="s">
        <v>422</v>
      </c>
      <c r="J341" s="27" t="s">
        <v>987</v>
      </c>
      <c r="K341" s="28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8" t="n">
        <f aca="false">IF($K341="","",$K341-기준정보!$C$5)</f>
        <v>46471</v>
      </c>
      <c r="M341" s="28" t="n">
        <f aca="false">IF($L341="","",$L341-기준정보!$C$6)</f>
        <v>46381</v>
      </c>
      <c r="N341" s="29" t="n">
        <f aca="false">IF($M341="","",$M341-기준정보!$C$4)</f>
        <v>139</v>
      </c>
      <c r="O341" s="27" t="s">
        <v>71</v>
      </c>
      <c r="P341" s="27"/>
      <c r="Q341" s="30"/>
      <c r="R341" s="26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S341" s="26"/>
      <c r="T341" s="26"/>
      <c r="U341" s="31" t="n">
        <v>0</v>
      </c>
      <c r="V341" s="26"/>
      <c r="W341" s="26" t="str">
        <f aca="false">IF($K341="","출고일 미정",IF($O341="X","작지 미발행",IF($O341="부분","작지 일부 미발행",IF(AND($Q341&lt;&gt;"",$Q341&gt;$M341),"소재입고 마감("&amp;TEXT($M341,"MM/DD")&amp;") 초과",IF($O341="","발행여부 확인 필요",IF($Q341="","소재 입고일정 확인 필요","정상"))))))</f>
        <v>작지 미발행</v>
      </c>
      <c r="X341" s="24" t="str">
        <f aca="false">IF($K341="","",IF(OR(LEFT($W341,2)="작지",LEFT($W341,4)="소재입고"),IF(LEFT($G341,1)="S","★ 납기위험(S코드)","◆ 지연주의"),IF($W341="정상","✓ 정상","? 확인필요")))</f>
        <v>◆ 지연주의</v>
      </c>
      <c r="Y341" s="27"/>
      <c r="Z341" s="32"/>
    </row>
    <row r="342" customFormat="false" ht="15" hidden="false" customHeight="false" outlineLevel="0" collapsed="false">
      <c r="A342" s="24" t="n">
        <v>338</v>
      </c>
      <c r="B342" s="25" t="s">
        <v>130</v>
      </c>
      <c r="C342" s="25" t="s">
        <v>131</v>
      </c>
      <c r="D342" s="26" t="s">
        <v>1040</v>
      </c>
      <c r="E342" s="26" t="s">
        <v>1041</v>
      </c>
      <c r="F342" s="26" t="s">
        <v>1042</v>
      </c>
      <c r="G342" s="24" t="str">
        <f aca="false">IF($D342="","",IF(MID($D342,5,1)="S","S(봄)",IF(MID($D342,5,1)="M","M(여름)",IF(MID($D342,5,1)="X","X(사계절)",MID($D342,5,1)))))</f>
        <v>M(여름)</v>
      </c>
      <c r="H342" s="26"/>
      <c r="I342" s="24" t="s">
        <v>422</v>
      </c>
      <c r="J342" s="27" t="s">
        <v>987</v>
      </c>
      <c r="K342" s="28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8" t="n">
        <f aca="false">IF($K342="","",$K342-기준정보!$C$5)</f>
        <v>46471</v>
      </c>
      <c r="M342" s="28" t="n">
        <f aca="false">IF($L342="","",$L342-기준정보!$C$6)</f>
        <v>46381</v>
      </c>
      <c r="N342" s="29" t="n">
        <f aca="false">IF($M342="","",$M342-기준정보!$C$4)</f>
        <v>139</v>
      </c>
      <c r="O342" s="27" t="s">
        <v>71</v>
      </c>
      <c r="P342" s="27"/>
      <c r="Q342" s="30"/>
      <c r="R342" s="26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S342" s="26"/>
      <c r="T342" s="26"/>
      <c r="U342" s="31" t="n">
        <v>0</v>
      </c>
      <c r="V342" s="26"/>
      <c r="W342" s="26" t="str">
        <f aca="false">IF($K342="","출고일 미정",IF($O342="X","작지 미발행",IF($O342="부분","작지 일부 미발행",IF(AND($Q342&lt;&gt;"",$Q342&gt;$M342),"소재입고 마감("&amp;TEXT($M342,"MM/DD")&amp;") 초과",IF($O342="","발행여부 확인 필요",IF($Q342="","소재 입고일정 확인 필요","정상"))))))</f>
        <v>작지 미발행</v>
      </c>
      <c r="X342" s="24" t="str">
        <f aca="false">IF($K342="","",IF(OR(LEFT($W342,2)="작지",LEFT($W342,4)="소재입고"),IF(LEFT($G342,1)="S","★ 납기위험(S코드)","◆ 지연주의"),IF($W342="정상","✓ 정상","? 확인필요")))</f>
        <v>◆ 지연주의</v>
      </c>
      <c r="Y342" s="27"/>
      <c r="Z342" s="32"/>
    </row>
    <row r="343" customFormat="false" ht="15" hidden="false" customHeight="false" outlineLevel="0" collapsed="false">
      <c r="A343" s="24" t="n">
        <v>339</v>
      </c>
      <c r="B343" s="25" t="s">
        <v>130</v>
      </c>
      <c r="C343" s="25" t="s">
        <v>131</v>
      </c>
      <c r="D343" s="26" t="s">
        <v>1043</v>
      </c>
      <c r="E343" s="26" t="s">
        <v>1044</v>
      </c>
      <c r="F343" s="26" t="s">
        <v>1042</v>
      </c>
      <c r="G343" s="24" t="str">
        <f aca="false">IF($D343="","",IF(MID($D343,5,1)="S","S(봄)",IF(MID($D343,5,1)="M","M(여름)",IF(MID($D343,5,1)="X","X(사계절)",MID($D343,5,1)))))</f>
        <v>M(여름)</v>
      </c>
      <c r="H343" s="26"/>
      <c r="I343" s="24" t="s">
        <v>422</v>
      </c>
      <c r="J343" s="27" t="s">
        <v>987</v>
      </c>
      <c r="K343" s="28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8" t="n">
        <f aca="false">IF($K343="","",$K343-기준정보!$C$5)</f>
        <v>46471</v>
      </c>
      <c r="M343" s="28" t="n">
        <f aca="false">IF($L343="","",$L343-기준정보!$C$6)</f>
        <v>46381</v>
      </c>
      <c r="N343" s="29" t="n">
        <f aca="false">IF($M343="","",$M343-기준정보!$C$4)</f>
        <v>139</v>
      </c>
      <c r="O343" s="27" t="s">
        <v>71</v>
      </c>
      <c r="P343" s="27"/>
      <c r="Q343" s="30"/>
      <c r="R343" s="26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S343" s="26"/>
      <c r="T343" s="26"/>
      <c r="U343" s="31" t="n">
        <v>0</v>
      </c>
      <c r="V343" s="26"/>
      <c r="W343" s="26" t="str">
        <f aca="false">IF($K343="","출고일 미정",IF($O343="X","작지 미발행",IF($O343="부분","작지 일부 미발행",IF(AND($Q343&lt;&gt;"",$Q343&gt;$M343),"소재입고 마감("&amp;TEXT($M343,"MM/DD")&amp;") 초과",IF($O343="","발행여부 확인 필요",IF($Q343="","소재 입고일정 확인 필요","정상"))))))</f>
        <v>작지 미발행</v>
      </c>
      <c r="X343" s="24" t="str">
        <f aca="false">IF($K343="","",IF(OR(LEFT($W343,2)="작지",LEFT($W343,4)="소재입고"),IF(LEFT($G343,1)="S","★ 납기위험(S코드)","◆ 지연주의"),IF($W343="정상","✓ 정상","? 확인필요")))</f>
        <v>◆ 지연주의</v>
      </c>
      <c r="Y343" s="27"/>
      <c r="Z343" s="32"/>
    </row>
    <row r="344" customFormat="false" ht="15" hidden="false" customHeight="false" outlineLevel="0" collapsed="false">
      <c r="A344" s="24" t="n">
        <v>340</v>
      </c>
      <c r="B344" s="25" t="s">
        <v>187</v>
      </c>
      <c r="C344" s="25" t="s">
        <v>423</v>
      </c>
      <c r="D344" s="26" t="s">
        <v>1045</v>
      </c>
      <c r="E344" s="25" t="s">
        <v>1046</v>
      </c>
      <c r="F344" s="26" t="s">
        <v>90</v>
      </c>
      <c r="G344" s="24" t="str">
        <f aca="false">IF($D344="","",IF(MID($D344,5,1)="S","S(봄)",IF(MID($D344,5,1)="M","M(여름)",IF(MID($D344,5,1)="X","X(사계절)",MID($D344,5,1)))))</f>
        <v>M(여름)</v>
      </c>
      <c r="H344" s="26" t="s">
        <v>197</v>
      </c>
      <c r="I344" s="24" t="s">
        <v>404</v>
      </c>
      <c r="J344" s="27" t="s">
        <v>987</v>
      </c>
      <c r="K344" s="28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8" t="n">
        <f aca="false">IF($K344="","",$K344-기준정보!$C$5)</f>
        <v>46471</v>
      </c>
      <c r="M344" s="28" t="n">
        <f aca="false">IF($L344="","",$L344-기준정보!$C$6)</f>
        <v>46381</v>
      </c>
      <c r="N344" s="29" t="n">
        <f aca="false">IF($M344="","",$M344-기준정보!$C$4)</f>
        <v>139</v>
      </c>
      <c r="O344" s="27" t="s">
        <v>70</v>
      </c>
      <c r="P344" s="27" t="s">
        <v>71</v>
      </c>
      <c r="Q344" s="30"/>
      <c r="R344" s="26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S344" s="25" t="s">
        <v>72</v>
      </c>
      <c r="T344" s="25" t="s">
        <v>73</v>
      </c>
      <c r="U344" s="31" t="n">
        <v>1800</v>
      </c>
      <c r="V344" s="26" t="s">
        <v>987</v>
      </c>
      <c r="W344" s="26" t="str">
        <f aca="false">IF($K344="","출고일 미정",IF($O344="X","작지 미발행",IF($O344="부분","작지 일부 미발행",IF(AND($Q344&lt;&gt;"",$Q344&gt;$M344),"소재입고 마감("&amp;TEXT($M344,"MM/DD")&amp;") 초과",IF($O344="","발행여부 확인 필요",IF($Q344="","소재 입고일정 확인 필요","정상"))))))</f>
        <v>소재 입고일정 확인 필요</v>
      </c>
      <c r="X344" s="24" t="str">
        <f aca="false">IF($K344="","",IF(OR(LEFT($W344,2)="작지",LEFT($W344,4)="소재입고"),IF(LEFT($G344,1)="S","★ 납기위험(S코드)","◆ 지연주의"),IF($W344="정상","✓ 정상","? 확인필요")))</f>
        <v>? 확인필요</v>
      </c>
      <c r="Y344" s="27"/>
      <c r="Z344" s="32"/>
    </row>
    <row r="345" customFormat="false" ht="15" hidden="false" customHeight="false" outlineLevel="0" collapsed="false">
      <c r="A345" s="24" t="n">
        <v>341</v>
      </c>
      <c r="B345" s="25" t="s">
        <v>187</v>
      </c>
      <c r="C345" s="25" t="s">
        <v>423</v>
      </c>
      <c r="D345" s="26" t="s">
        <v>1047</v>
      </c>
      <c r="E345" s="25" t="s">
        <v>1048</v>
      </c>
      <c r="F345" s="26" t="s">
        <v>148</v>
      </c>
      <c r="G345" s="24" t="str">
        <f aca="false">IF($D345="","",IF(MID($D345,5,1)="S","S(봄)",IF(MID($D345,5,1)="M","M(여름)",IF(MID($D345,5,1)="X","X(사계절)",MID($D345,5,1)))))</f>
        <v>M(여름)</v>
      </c>
      <c r="H345" s="26" t="s">
        <v>197</v>
      </c>
      <c r="I345" s="24" t="s">
        <v>404</v>
      </c>
      <c r="J345" s="27" t="s">
        <v>987</v>
      </c>
      <c r="K345" s="28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8" t="n">
        <f aca="false">IF($K345="","",$K345-기준정보!$C$5)</f>
        <v>46471</v>
      </c>
      <c r="M345" s="28" t="n">
        <f aca="false">IF($L345="","",$L345-기준정보!$C$6)</f>
        <v>46381</v>
      </c>
      <c r="N345" s="29" t="n">
        <f aca="false">IF($M345="","",$M345-기준정보!$C$4)</f>
        <v>139</v>
      </c>
      <c r="O345" s="27" t="s">
        <v>70</v>
      </c>
      <c r="P345" s="27" t="s">
        <v>71</v>
      </c>
      <c r="Q345" s="30"/>
      <c r="R345" s="26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S345" s="25" t="s">
        <v>87</v>
      </c>
      <c r="T345" s="25" t="s">
        <v>73</v>
      </c>
      <c r="U345" s="31" t="n">
        <v>800</v>
      </c>
      <c r="V345" s="26" t="s">
        <v>987</v>
      </c>
      <c r="W345" s="26" t="str">
        <f aca="false">IF($K345="","출고일 미정",IF($O345="X","작지 미발행",IF($O345="부분","작지 일부 미발행",IF(AND($Q345&lt;&gt;"",$Q345&gt;$M345),"소재입고 마감("&amp;TEXT($M345,"MM/DD")&amp;") 초과",IF($O345="","발행여부 확인 필요",IF($Q345="","소재 입고일정 확인 필요","정상"))))))</f>
        <v>소재 입고일정 확인 필요</v>
      </c>
      <c r="X345" s="24" t="str">
        <f aca="false">IF($K345="","",IF(OR(LEFT($W345,2)="작지",LEFT($W345,4)="소재입고"),IF(LEFT($G345,1)="S","★ 납기위험(S코드)","◆ 지연주의"),IF($W345="정상","✓ 정상","? 확인필요")))</f>
        <v>? 확인필요</v>
      </c>
      <c r="Y345" s="27"/>
      <c r="Z345" s="32"/>
    </row>
    <row r="346" customFormat="false" ht="15" hidden="false" customHeight="false" outlineLevel="0" collapsed="false">
      <c r="A346" s="24" t="n">
        <v>342</v>
      </c>
      <c r="B346" s="25" t="s">
        <v>187</v>
      </c>
      <c r="C346" s="25" t="s">
        <v>423</v>
      </c>
      <c r="D346" s="26" t="s">
        <v>1049</v>
      </c>
      <c r="E346" s="25" t="s">
        <v>1050</v>
      </c>
      <c r="F346" s="26" t="s">
        <v>90</v>
      </c>
      <c r="G346" s="24" t="str">
        <f aca="false">IF($D346="","",IF(MID($D346,5,1)="S","S(봄)",IF(MID($D346,5,1)="M","M(여름)",IF(MID($D346,5,1)="X","X(사계절)",MID($D346,5,1)))))</f>
        <v>M(여름)</v>
      </c>
      <c r="H346" s="26" t="s">
        <v>197</v>
      </c>
      <c r="I346" s="24" t="s">
        <v>404</v>
      </c>
      <c r="J346" s="27" t="s">
        <v>987</v>
      </c>
      <c r="K346" s="28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8" t="n">
        <f aca="false">IF($K346="","",$K346-기준정보!$C$5)</f>
        <v>46471</v>
      </c>
      <c r="M346" s="28" t="n">
        <f aca="false">IF($L346="","",$L346-기준정보!$C$6)</f>
        <v>46381</v>
      </c>
      <c r="N346" s="29" t="n">
        <f aca="false">IF($M346="","",$M346-기준정보!$C$4)</f>
        <v>139</v>
      </c>
      <c r="O346" s="27" t="s">
        <v>70</v>
      </c>
      <c r="P346" s="27" t="s">
        <v>71</v>
      </c>
      <c r="Q346" s="30"/>
      <c r="R346" s="26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S346" s="25" t="s">
        <v>1051</v>
      </c>
      <c r="T346" s="25" t="s">
        <v>73</v>
      </c>
      <c r="U346" s="31" t="n">
        <v>950</v>
      </c>
      <c r="V346" s="26" t="s">
        <v>987</v>
      </c>
      <c r="W346" s="26" t="str">
        <f aca="false">IF($K346="","출고일 미정",IF($O346="X","작지 미발행",IF($O346="부분","작지 일부 미발행",IF(AND($Q346&lt;&gt;"",$Q346&gt;$M346),"소재입고 마감("&amp;TEXT($M346,"MM/DD")&amp;") 초과",IF($O346="","발행여부 확인 필요",IF($Q346="","소재 입고일정 확인 필요","정상"))))))</f>
        <v>소재 입고일정 확인 필요</v>
      </c>
      <c r="X346" s="24" t="str">
        <f aca="false">IF($K346="","",IF(OR(LEFT($W346,2)="작지",LEFT($W346,4)="소재입고"),IF(LEFT($G346,1)="S","★ 납기위험(S코드)","◆ 지연주의"),IF($W346="정상","✓ 정상","? 확인필요")))</f>
        <v>? 확인필요</v>
      </c>
      <c r="Y346" s="27"/>
      <c r="Z346" s="32"/>
    </row>
    <row r="347" customFormat="false" ht="15" hidden="false" customHeight="false" outlineLevel="0" collapsed="false">
      <c r="A347" s="24" t="n">
        <v>343</v>
      </c>
      <c r="B347" s="25" t="s">
        <v>112</v>
      </c>
      <c r="C347" s="25" t="s">
        <v>113</v>
      </c>
      <c r="D347" s="26" t="s">
        <v>1052</v>
      </c>
      <c r="E347" s="25" t="s">
        <v>1053</v>
      </c>
      <c r="F347" s="26" t="s">
        <v>259</v>
      </c>
      <c r="G347" s="24" t="str">
        <f aca="false">IF($D347="","",IF(MID($D347,5,1)="S","S(봄)",IF(MID($D347,5,1)="M","M(여름)",IF(MID($D347,5,1)="X","X(사계절)",MID($D347,5,1)))))</f>
        <v>M(여름)</v>
      </c>
      <c r="H347" s="25" t="s">
        <v>67</v>
      </c>
      <c r="I347" s="24"/>
      <c r="J347" s="27" t="s">
        <v>987</v>
      </c>
      <c r="K347" s="28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8" t="n">
        <f aca="false">IF($K347="","",$K347-기준정보!$C$5)</f>
        <v>46471</v>
      </c>
      <c r="M347" s="28" t="n">
        <f aca="false">IF($L347="","",$L347-기준정보!$C$6)</f>
        <v>46381</v>
      </c>
      <c r="N347" s="29" t="n">
        <f aca="false">IF($M347="","",$M347-기준정보!$C$4)</f>
        <v>139</v>
      </c>
      <c r="O347" s="27" t="s">
        <v>70</v>
      </c>
      <c r="P347" s="27" t="s">
        <v>71</v>
      </c>
      <c r="Q347" s="30"/>
      <c r="R347" s="26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S347" s="25" t="s">
        <v>299</v>
      </c>
      <c r="T347" s="25" t="s">
        <v>73</v>
      </c>
      <c r="U347" s="31" t="n">
        <v>3000</v>
      </c>
      <c r="V347" s="26" t="s">
        <v>1054</v>
      </c>
      <c r="W347" s="26" t="str">
        <f aca="false">IF($K347="","출고일 미정",IF($O347="X","작지 미발행",IF($O347="부분","작지 일부 미발행",IF(AND($Q347&lt;&gt;"",$Q347&gt;$M347),"소재입고 마감("&amp;TEXT($M347,"MM/DD")&amp;") 초과",IF($O347="","발행여부 확인 필요",IF($Q347="","소재 입고일정 확인 필요","정상"))))))</f>
        <v>소재 입고일정 확인 필요</v>
      </c>
      <c r="X347" s="24" t="str">
        <f aca="false">IF($K347="","",IF(OR(LEFT($W347,2)="작지",LEFT($W347,4)="소재입고"),IF(LEFT($G347,1)="S","★ 납기위험(S코드)","◆ 지연주의"),IF($W347="정상","✓ 정상","? 확인필요")))</f>
        <v>? 확인필요</v>
      </c>
      <c r="Y347" s="27"/>
      <c r="Z347" s="32"/>
    </row>
    <row r="348" customFormat="false" ht="15" hidden="false" customHeight="false" outlineLevel="0" collapsed="false">
      <c r="A348" s="24" t="n">
        <v>344</v>
      </c>
      <c r="B348" s="25" t="s">
        <v>112</v>
      </c>
      <c r="C348" s="25" t="s">
        <v>113</v>
      </c>
      <c r="D348" s="26" t="s">
        <v>1055</v>
      </c>
      <c r="E348" s="25" t="s">
        <v>1056</v>
      </c>
      <c r="F348" s="26" t="s">
        <v>1057</v>
      </c>
      <c r="G348" s="24" t="str">
        <f aca="false">IF($D348="","",IF(MID($D348,5,1)="S","S(봄)",IF(MID($D348,5,1)="M","M(여름)",IF(MID($D348,5,1)="X","X(사계절)",MID($D348,5,1)))))</f>
        <v>M(여름)</v>
      </c>
      <c r="H348" s="25" t="s">
        <v>67</v>
      </c>
      <c r="I348" s="24"/>
      <c r="J348" s="27" t="s">
        <v>987</v>
      </c>
      <c r="K348" s="28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8" t="n">
        <f aca="false">IF($K348="","",$K348-기준정보!$C$5)</f>
        <v>46471</v>
      </c>
      <c r="M348" s="28" t="n">
        <f aca="false">IF($L348="","",$L348-기준정보!$C$6)</f>
        <v>46381</v>
      </c>
      <c r="N348" s="29" t="n">
        <f aca="false">IF($M348="","",$M348-기준정보!$C$4)</f>
        <v>139</v>
      </c>
      <c r="O348" s="27" t="s">
        <v>70</v>
      </c>
      <c r="P348" s="27" t="s">
        <v>71</v>
      </c>
      <c r="Q348" s="30"/>
      <c r="R348" s="26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S348" s="25" t="s">
        <v>299</v>
      </c>
      <c r="T348" s="25" t="s">
        <v>73</v>
      </c>
      <c r="U348" s="31" t="n">
        <v>3000</v>
      </c>
      <c r="V348" s="26" t="s">
        <v>1054</v>
      </c>
      <c r="W348" s="26" t="str">
        <f aca="false">IF($K348="","출고일 미정",IF($O348="X","작지 미발행",IF($O348="부분","작지 일부 미발행",IF(AND($Q348&lt;&gt;"",$Q348&gt;$M348),"소재입고 마감("&amp;TEXT($M348,"MM/DD")&amp;") 초과",IF($O348="","발행여부 확인 필요",IF($Q348="","소재 입고일정 확인 필요","정상"))))))</f>
        <v>소재 입고일정 확인 필요</v>
      </c>
      <c r="X348" s="24" t="str">
        <f aca="false">IF($K348="","",IF(OR(LEFT($W348,2)="작지",LEFT($W348,4)="소재입고"),IF(LEFT($G348,1)="S","★ 납기위험(S코드)","◆ 지연주의"),IF($W348="정상","✓ 정상","? 확인필요")))</f>
        <v>? 확인필요</v>
      </c>
      <c r="Y348" s="27"/>
      <c r="Z348" s="32"/>
    </row>
    <row r="349" customFormat="false" ht="15" hidden="false" customHeight="false" outlineLevel="0" collapsed="false">
      <c r="A349" s="24" t="n">
        <v>345</v>
      </c>
      <c r="B349" s="25" t="s">
        <v>112</v>
      </c>
      <c r="C349" s="25" t="s">
        <v>113</v>
      </c>
      <c r="D349" s="26" t="s">
        <v>1058</v>
      </c>
      <c r="E349" s="25" t="s">
        <v>1059</v>
      </c>
      <c r="F349" s="26" t="s">
        <v>1060</v>
      </c>
      <c r="G349" s="24" t="str">
        <f aca="false">IF($D349="","",IF(MID($D349,5,1)="S","S(봄)",IF(MID($D349,5,1)="M","M(여름)",IF(MID($D349,5,1)="X","X(사계절)",MID($D349,5,1)))))</f>
        <v>M(여름)</v>
      </c>
      <c r="H349" s="25" t="s">
        <v>67</v>
      </c>
      <c r="I349" s="24"/>
      <c r="J349" s="27" t="s">
        <v>987</v>
      </c>
      <c r="K349" s="28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8" t="n">
        <f aca="false">IF($K349="","",$K349-기준정보!$C$5)</f>
        <v>46471</v>
      </c>
      <c r="M349" s="28" t="n">
        <f aca="false">IF($L349="","",$L349-기준정보!$C$6)</f>
        <v>46381</v>
      </c>
      <c r="N349" s="29" t="n">
        <f aca="false">IF($M349="","",$M349-기준정보!$C$4)</f>
        <v>139</v>
      </c>
      <c r="O349" s="27" t="s">
        <v>70</v>
      </c>
      <c r="P349" s="27" t="s">
        <v>71</v>
      </c>
      <c r="Q349" s="30"/>
      <c r="R349" s="26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S349" s="26" t="s">
        <v>231</v>
      </c>
      <c r="T349" s="25" t="s">
        <v>78</v>
      </c>
      <c r="U349" s="31" t="n">
        <v>3000</v>
      </c>
      <c r="V349" s="26" t="s">
        <v>1054</v>
      </c>
      <c r="W349" s="26" t="str">
        <f aca="false">IF($K349="","출고일 미정",IF($O349="X","작지 미발행",IF($O349="부분","작지 일부 미발행",IF(AND($Q349&lt;&gt;"",$Q349&gt;$M349),"소재입고 마감("&amp;TEXT($M349,"MM/DD")&amp;") 초과",IF($O349="","발행여부 확인 필요",IF($Q349="","소재 입고일정 확인 필요","정상"))))))</f>
        <v>소재 입고일정 확인 필요</v>
      </c>
      <c r="X349" s="24" t="str">
        <f aca="false">IF($K349="","",IF(OR(LEFT($W349,2)="작지",LEFT($W349,4)="소재입고"),IF(LEFT($G349,1)="S","★ 납기위험(S코드)","◆ 지연주의"),IF($W349="정상","✓ 정상","? 확인필요")))</f>
        <v>? 확인필요</v>
      </c>
      <c r="Y349" s="27"/>
      <c r="Z349" s="32"/>
    </row>
    <row r="350" customFormat="false" ht="15" hidden="false" customHeight="false" outlineLevel="0" collapsed="false">
      <c r="A350" s="24" t="n">
        <v>346</v>
      </c>
      <c r="B350" s="25" t="s">
        <v>192</v>
      </c>
      <c r="C350" s="25" t="s">
        <v>193</v>
      </c>
      <c r="D350" s="26" t="s">
        <v>1061</v>
      </c>
      <c r="E350" s="25" t="s">
        <v>1062</v>
      </c>
      <c r="F350" s="26" t="s">
        <v>207</v>
      </c>
      <c r="G350" s="24" t="str">
        <f aca="false">IF($D350="","",IF(MID($D350,5,1)="S","S(봄)",IF(MID($D350,5,1)="M","M(여름)",IF(MID($D350,5,1)="X","X(사계절)",MID($D350,5,1)))))</f>
        <v>M(여름)</v>
      </c>
      <c r="H350" s="26" t="s">
        <v>197</v>
      </c>
      <c r="I350" s="24"/>
      <c r="J350" s="27" t="s">
        <v>1063</v>
      </c>
      <c r="K350" s="28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8" t="n">
        <f aca="false">IF($K350="","",$K350-기준정보!$C$5)</f>
        <v>46478</v>
      </c>
      <c r="M350" s="28" t="n">
        <f aca="false">IF($L350="","",$L350-기준정보!$C$6)</f>
        <v>46388</v>
      </c>
      <c r="N350" s="29" t="n">
        <f aca="false">IF($M350="","",$M350-기준정보!$C$4)</f>
        <v>146</v>
      </c>
      <c r="O350" s="27" t="s">
        <v>70</v>
      </c>
      <c r="P350" s="27" t="s">
        <v>71</v>
      </c>
      <c r="Q350" s="30"/>
      <c r="R350" s="26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S350" s="26" t="s">
        <v>137</v>
      </c>
      <c r="T350" s="25" t="s">
        <v>73</v>
      </c>
      <c r="U350" s="31" t="n">
        <v>3000</v>
      </c>
      <c r="V350" s="26" t="s">
        <v>1063</v>
      </c>
      <c r="W350" s="26" t="str">
        <f aca="false">IF($K350="","출고일 미정",IF($O350="X","작지 미발행",IF($O350="부분","작지 일부 미발행",IF(AND($Q350&lt;&gt;"",$Q350&gt;$M350),"소재입고 마감("&amp;TEXT($M350,"MM/DD")&amp;") 초과",IF($O350="","발행여부 확인 필요",IF($Q350="","소재 입고일정 확인 필요","정상"))))))</f>
        <v>소재 입고일정 확인 필요</v>
      </c>
      <c r="X350" s="24" t="str">
        <f aca="false">IF($K350="","",IF(OR(LEFT($W350,2)="작지",LEFT($W350,4)="소재입고"),IF(LEFT($G350,1)="S","★ 납기위험(S코드)","◆ 지연주의"),IF($W350="정상","✓ 정상","? 확인필요")))</f>
        <v>? 확인필요</v>
      </c>
      <c r="Y350" s="27"/>
      <c r="Z350" s="32"/>
    </row>
    <row r="351" customFormat="false" ht="15" hidden="false" customHeight="false" outlineLevel="0" collapsed="false">
      <c r="A351" s="24" t="n">
        <v>347</v>
      </c>
      <c r="B351" s="25" t="s">
        <v>192</v>
      </c>
      <c r="C351" s="25" t="s">
        <v>193</v>
      </c>
      <c r="D351" s="26" t="s">
        <v>1064</v>
      </c>
      <c r="E351" s="25" t="s">
        <v>1065</v>
      </c>
      <c r="F351" s="26" t="s">
        <v>1066</v>
      </c>
      <c r="G351" s="24" t="str">
        <f aca="false">IF($D351="","",IF(MID($D351,5,1)="S","S(봄)",IF(MID($D351,5,1)="M","M(여름)",IF(MID($D351,5,1)="X","X(사계절)",MID($D351,5,1)))))</f>
        <v>M(여름)</v>
      </c>
      <c r="H351" s="26" t="s">
        <v>197</v>
      </c>
      <c r="I351" s="24"/>
      <c r="J351" s="27" t="s">
        <v>1063</v>
      </c>
      <c r="K351" s="28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8" t="n">
        <f aca="false">IF($K351="","",$K351-기준정보!$C$5)</f>
        <v>46478</v>
      </c>
      <c r="M351" s="28" t="n">
        <f aca="false">IF($L351="","",$L351-기준정보!$C$6)</f>
        <v>46388</v>
      </c>
      <c r="N351" s="29" t="n">
        <f aca="false">IF($M351="","",$M351-기준정보!$C$4)</f>
        <v>146</v>
      </c>
      <c r="O351" s="27" t="s">
        <v>70</v>
      </c>
      <c r="P351" s="27" t="s">
        <v>71</v>
      </c>
      <c r="Q351" s="30"/>
      <c r="R351" s="26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S351" s="25" t="s">
        <v>198</v>
      </c>
      <c r="T351" s="25" t="s">
        <v>73</v>
      </c>
      <c r="U351" s="31" t="n">
        <v>7500</v>
      </c>
      <c r="V351" s="26" t="s">
        <v>1063</v>
      </c>
      <c r="W351" s="26" t="str">
        <f aca="false">IF($K351="","출고일 미정",IF($O351="X","작지 미발행",IF($O351="부분","작지 일부 미발행",IF(AND($Q351&lt;&gt;"",$Q351&gt;$M351),"소재입고 마감("&amp;TEXT($M351,"MM/DD")&amp;") 초과",IF($O351="","발행여부 확인 필요",IF($Q351="","소재 입고일정 확인 필요","정상"))))))</f>
        <v>소재 입고일정 확인 필요</v>
      </c>
      <c r="X351" s="24" t="str">
        <f aca="false">IF($K351="","",IF(OR(LEFT($W351,2)="작지",LEFT($W351,4)="소재입고"),IF(LEFT($G351,1)="S","★ 납기위험(S코드)","◆ 지연주의"),IF($W351="정상","✓ 정상","? 확인필요")))</f>
        <v>? 확인필요</v>
      </c>
      <c r="Y351" s="27"/>
      <c r="Z351" s="32"/>
    </row>
    <row r="352" customFormat="false" ht="15" hidden="false" customHeight="false" outlineLevel="0" collapsed="false">
      <c r="A352" s="24" t="n">
        <v>348</v>
      </c>
      <c r="B352" s="25" t="s">
        <v>192</v>
      </c>
      <c r="C352" s="25" t="s">
        <v>1067</v>
      </c>
      <c r="D352" s="26" t="s">
        <v>1068</v>
      </c>
      <c r="E352" s="25" t="s">
        <v>1069</v>
      </c>
      <c r="F352" s="26" t="s">
        <v>812</v>
      </c>
      <c r="G352" s="24" t="str">
        <f aca="false">IF($D352="","",IF(MID($D352,5,1)="S","S(봄)",IF(MID($D352,5,1)="M","M(여름)",IF(MID($D352,5,1)="X","X(사계절)",MID($D352,5,1)))))</f>
        <v>M(여름)</v>
      </c>
      <c r="H352" s="25" t="s">
        <v>67</v>
      </c>
      <c r="I352" s="24"/>
      <c r="J352" s="27" t="s">
        <v>1063</v>
      </c>
      <c r="K352" s="28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8" t="n">
        <f aca="false">IF($K352="","",$K352-기준정보!$C$5)</f>
        <v>46478</v>
      </c>
      <c r="M352" s="28" t="n">
        <f aca="false">IF($L352="","",$L352-기준정보!$C$6)</f>
        <v>46388</v>
      </c>
      <c r="N352" s="29" t="n">
        <f aca="false">IF($M352="","",$M352-기준정보!$C$4)</f>
        <v>146</v>
      </c>
      <c r="O352" s="27" t="s">
        <v>70</v>
      </c>
      <c r="P352" s="27" t="s">
        <v>71</v>
      </c>
      <c r="Q352" s="30"/>
      <c r="R352" s="26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S352" s="25" t="s">
        <v>299</v>
      </c>
      <c r="T352" s="25" t="s">
        <v>73</v>
      </c>
      <c r="U352" s="31" t="n">
        <v>4000</v>
      </c>
      <c r="V352" s="26" t="s">
        <v>1063</v>
      </c>
      <c r="W352" s="26" t="str">
        <f aca="false">IF($K352="","출고일 미정",IF($O352="X","작지 미발행",IF($O352="부분","작지 일부 미발행",IF(AND($Q352&lt;&gt;"",$Q352&gt;$M352),"소재입고 마감("&amp;TEXT($M352,"MM/DD")&amp;") 초과",IF($O352="","발행여부 확인 필요",IF($Q352="","소재 입고일정 확인 필요","정상"))))))</f>
        <v>소재 입고일정 확인 필요</v>
      </c>
      <c r="X352" s="24" t="str">
        <f aca="false">IF($K352="","",IF(OR(LEFT($W352,2)="작지",LEFT($W352,4)="소재입고"),IF(LEFT($G352,1)="S","★ 납기위험(S코드)","◆ 지연주의"),IF($W352="정상","✓ 정상","? 확인필요")))</f>
        <v>? 확인필요</v>
      </c>
      <c r="Y352" s="27"/>
      <c r="Z352" s="32"/>
    </row>
    <row r="353" customFormat="false" ht="15" hidden="false" customHeight="false" outlineLevel="0" collapsed="false">
      <c r="A353" s="24" t="n">
        <v>349</v>
      </c>
      <c r="B353" s="25" t="s">
        <v>192</v>
      </c>
      <c r="C353" s="25" t="s">
        <v>193</v>
      </c>
      <c r="D353" s="26" t="s">
        <v>1070</v>
      </c>
      <c r="E353" s="25" t="s">
        <v>1071</v>
      </c>
      <c r="F353" s="26" t="s">
        <v>1072</v>
      </c>
      <c r="G353" s="24" t="str">
        <f aca="false">IF($D353="","",IF(MID($D353,5,1)="S","S(봄)",IF(MID($D353,5,1)="M","M(여름)",IF(MID($D353,5,1)="X","X(사계절)",MID($D353,5,1)))))</f>
        <v>M(여름)</v>
      </c>
      <c r="H353" s="25" t="s">
        <v>67</v>
      </c>
      <c r="I353" s="24"/>
      <c r="J353" s="27" t="s">
        <v>1063</v>
      </c>
      <c r="K353" s="28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8" t="n">
        <f aca="false">IF($K353="","",$K353-기준정보!$C$5)</f>
        <v>46478</v>
      </c>
      <c r="M353" s="28" t="n">
        <f aca="false">IF($L353="","",$L353-기준정보!$C$6)</f>
        <v>46388</v>
      </c>
      <c r="N353" s="29" t="n">
        <f aca="false">IF($M353="","",$M353-기준정보!$C$4)</f>
        <v>146</v>
      </c>
      <c r="O353" s="27" t="s">
        <v>70</v>
      </c>
      <c r="P353" s="27" t="s">
        <v>71</v>
      </c>
      <c r="Q353" s="30"/>
      <c r="R353" s="26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S353" s="26" t="s">
        <v>231</v>
      </c>
      <c r="T353" s="25" t="s">
        <v>78</v>
      </c>
      <c r="U353" s="31" t="n">
        <v>3500</v>
      </c>
      <c r="V353" s="26" t="s">
        <v>1063</v>
      </c>
      <c r="W353" s="26" t="str">
        <f aca="false">IF($K353="","출고일 미정",IF($O353="X","작지 미발행",IF($O353="부분","작지 일부 미발행",IF(AND($Q353&lt;&gt;"",$Q353&gt;$M353),"소재입고 마감("&amp;TEXT($M353,"MM/DD")&amp;") 초과",IF($O353="","발행여부 확인 필요",IF($Q353="","소재 입고일정 확인 필요","정상"))))))</f>
        <v>소재 입고일정 확인 필요</v>
      </c>
      <c r="X353" s="24" t="str">
        <f aca="false">IF($K353="","",IF(OR(LEFT($W353,2)="작지",LEFT($W353,4)="소재입고"),IF(LEFT($G353,1)="S","★ 납기위험(S코드)","◆ 지연주의"),IF($W353="정상","✓ 정상","? 확인필요")))</f>
        <v>? 확인필요</v>
      </c>
      <c r="Y353" s="27"/>
      <c r="Z353" s="32"/>
    </row>
    <row r="354" customFormat="false" ht="15" hidden="false" customHeight="false" outlineLevel="0" collapsed="false">
      <c r="A354" s="24" t="n">
        <v>350</v>
      </c>
      <c r="B354" s="25" t="s">
        <v>192</v>
      </c>
      <c r="C354" s="25" t="s">
        <v>213</v>
      </c>
      <c r="D354" s="26" t="s">
        <v>1073</v>
      </c>
      <c r="E354" s="25" t="s">
        <v>1071</v>
      </c>
      <c r="F354" s="26" t="s">
        <v>1074</v>
      </c>
      <c r="G354" s="24" t="str">
        <f aca="false">IF($D354="","",IF(MID($D354,5,1)="S","S(봄)",IF(MID($D354,5,1)="M","M(여름)",IF(MID($D354,5,1)="X","X(사계절)",MID($D354,5,1)))))</f>
        <v>M(여름)</v>
      </c>
      <c r="H354" s="25" t="s">
        <v>67</v>
      </c>
      <c r="I354" s="24"/>
      <c r="J354" s="27" t="s">
        <v>1063</v>
      </c>
      <c r="K354" s="28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8" t="n">
        <f aca="false">IF($K354="","",$K354-기준정보!$C$5)</f>
        <v>46478</v>
      </c>
      <c r="M354" s="28" t="n">
        <f aca="false">IF($L354="","",$L354-기준정보!$C$6)</f>
        <v>46388</v>
      </c>
      <c r="N354" s="29" t="n">
        <f aca="false">IF($M354="","",$M354-기준정보!$C$4)</f>
        <v>146</v>
      </c>
      <c r="O354" s="27" t="s">
        <v>70</v>
      </c>
      <c r="P354" s="27" t="s">
        <v>71</v>
      </c>
      <c r="Q354" s="30"/>
      <c r="R354" s="26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S354" s="26" t="s">
        <v>231</v>
      </c>
      <c r="T354" s="25" t="s">
        <v>78</v>
      </c>
      <c r="U354" s="31" t="n">
        <v>2500</v>
      </c>
      <c r="V354" s="26" t="s">
        <v>1063</v>
      </c>
      <c r="W354" s="26" t="str">
        <f aca="false">IF($K354="","출고일 미정",IF($O354="X","작지 미발행",IF($O354="부분","작지 일부 미발행",IF(AND($Q354&lt;&gt;"",$Q354&gt;$M354),"소재입고 마감("&amp;TEXT($M354,"MM/DD")&amp;") 초과",IF($O354="","발행여부 확인 필요",IF($Q354="","소재 입고일정 확인 필요","정상"))))))</f>
        <v>소재 입고일정 확인 필요</v>
      </c>
      <c r="X354" s="24" t="str">
        <f aca="false">IF($K354="","",IF(OR(LEFT($W354,2)="작지",LEFT($W354,4)="소재입고"),IF(LEFT($G354,1)="S","★ 납기위험(S코드)","◆ 지연주의"),IF($W354="정상","✓ 정상","? 확인필요")))</f>
        <v>? 확인필요</v>
      </c>
      <c r="Y354" s="27"/>
      <c r="Z354" s="32"/>
    </row>
    <row r="355" customFormat="false" ht="15" hidden="false" customHeight="false" outlineLevel="0" collapsed="false">
      <c r="A355" s="24" t="n">
        <v>351</v>
      </c>
      <c r="B355" s="25" t="s">
        <v>192</v>
      </c>
      <c r="C355" s="25" t="s">
        <v>213</v>
      </c>
      <c r="D355" s="26" t="s">
        <v>1075</v>
      </c>
      <c r="E355" s="25" t="s">
        <v>1076</v>
      </c>
      <c r="F355" s="26" t="s">
        <v>544</v>
      </c>
      <c r="G355" s="24" t="str">
        <f aca="false">IF($D355="","",IF(MID($D355,5,1)="S","S(봄)",IF(MID($D355,5,1)="M","M(여름)",IF(MID($D355,5,1)="X","X(사계절)",MID($D355,5,1)))))</f>
        <v>M(여름)</v>
      </c>
      <c r="H355" s="25" t="s">
        <v>67</v>
      </c>
      <c r="I355" s="24"/>
      <c r="J355" s="27" t="s">
        <v>1063</v>
      </c>
      <c r="K355" s="28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8" t="n">
        <f aca="false">IF($K355="","",$K355-기준정보!$C$5)</f>
        <v>46478</v>
      </c>
      <c r="M355" s="28" t="n">
        <f aca="false">IF($L355="","",$L355-기준정보!$C$6)</f>
        <v>46388</v>
      </c>
      <c r="N355" s="29" t="n">
        <f aca="false">IF($M355="","",$M355-기준정보!$C$4)</f>
        <v>146</v>
      </c>
      <c r="O355" s="27" t="s">
        <v>70</v>
      </c>
      <c r="P355" s="27" t="s">
        <v>71</v>
      </c>
      <c r="Q355" s="30"/>
      <c r="R355" s="26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S355" s="25" t="s">
        <v>299</v>
      </c>
      <c r="T355" s="25" t="s">
        <v>73</v>
      </c>
      <c r="U355" s="31" t="n">
        <v>5000</v>
      </c>
      <c r="V355" s="26" t="s">
        <v>1063</v>
      </c>
      <c r="W355" s="26" t="str">
        <f aca="false">IF($K355="","출고일 미정",IF($O355="X","작지 미발행",IF($O355="부분","작지 일부 미발행",IF(AND($Q355&lt;&gt;"",$Q355&gt;$M355),"소재입고 마감("&amp;TEXT($M355,"MM/DD")&amp;") 초과",IF($O355="","발행여부 확인 필요",IF($Q355="","소재 입고일정 확인 필요","정상"))))))</f>
        <v>소재 입고일정 확인 필요</v>
      </c>
      <c r="X355" s="24" t="str">
        <f aca="false">IF($K355="","",IF(OR(LEFT($W355,2)="작지",LEFT($W355,4)="소재입고"),IF(LEFT($G355,1)="S","★ 납기위험(S코드)","◆ 지연주의"),IF($W355="정상","✓ 정상","? 확인필요")))</f>
        <v>? 확인필요</v>
      </c>
      <c r="Y355" s="27"/>
      <c r="Z355" s="32"/>
    </row>
    <row r="356" customFormat="false" ht="15" hidden="false" customHeight="false" outlineLevel="0" collapsed="false">
      <c r="A356" s="24" t="n">
        <v>352</v>
      </c>
      <c r="B356" s="25" t="s">
        <v>192</v>
      </c>
      <c r="C356" s="25" t="s">
        <v>193</v>
      </c>
      <c r="D356" s="26" t="s">
        <v>1077</v>
      </c>
      <c r="E356" s="25" t="s">
        <v>1078</v>
      </c>
      <c r="F356" s="26" t="s">
        <v>1079</v>
      </c>
      <c r="G356" s="24" t="str">
        <f aca="false">IF($D356="","",IF(MID($D356,5,1)="S","S(봄)",IF(MID($D356,5,1)="M","M(여름)",IF(MID($D356,5,1)="X","X(사계절)",MID($D356,5,1)))))</f>
        <v>M(여름)</v>
      </c>
      <c r="H356" s="25" t="s">
        <v>67</v>
      </c>
      <c r="I356" s="24"/>
      <c r="J356" s="27" t="s">
        <v>1063</v>
      </c>
      <c r="K356" s="28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8" t="n">
        <f aca="false">IF($K356="","",$K356-기준정보!$C$5)</f>
        <v>46478</v>
      </c>
      <c r="M356" s="28" t="n">
        <f aca="false">IF($L356="","",$L356-기준정보!$C$6)</f>
        <v>46388</v>
      </c>
      <c r="N356" s="29" t="n">
        <f aca="false">IF($M356="","",$M356-기준정보!$C$4)</f>
        <v>146</v>
      </c>
      <c r="O356" s="27" t="s">
        <v>70</v>
      </c>
      <c r="P356" s="27" t="s">
        <v>71</v>
      </c>
      <c r="Q356" s="30"/>
      <c r="R356" s="26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S356" s="25" t="s">
        <v>299</v>
      </c>
      <c r="T356" s="25" t="s">
        <v>73</v>
      </c>
      <c r="U356" s="31" t="n">
        <v>2500</v>
      </c>
      <c r="V356" s="26" t="s">
        <v>1063</v>
      </c>
      <c r="W356" s="26" t="str">
        <f aca="false">IF($K356="","출고일 미정",IF($O356="X","작지 미발행",IF($O356="부분","작지 일부 미발행",IF(AND($Q356&lt;&gt;"",$Q356&gt;$M356),"소재입고 마감("&amp;TEXT($M356,"MM/DD")&amp;") 초과",IF($O356="","발행여부 확인 필요",IF($Q356="","소재 입고일정 확인 필요","정상"))))))</f>
        <v>소재 입고일정 확인 필요</v>
      </c>
      <c r="X356" s="24" t="str">
        <f aca="false">IF($K356="","",IF(OR(LEFT($W356,2)="작지",LEFT($W356,4)="소재입고"),IF(LEFT($G356,1)="S","★ 납기위험(S코드)","◆ 지연주의"),IF($W356="정상","✓ 정상","? 확인필요")))</f>
        <v>? 확인필요</v>
      </c>
      <c r="Y356" s="27"/>
      <c r="Z356" s="32"/>
    </row>
    <row r="357" customFormat="false" ht="15" hidden="false" customHeight="false" outlineLevel="0" collapsed="false">
      <c r="A357" s="24" t="n">
        <v>353</v>
      </c>
      <c r="B357" s="25" t="s">
        <v>130</v>
      </c>
      <c r="C357" s="25" t="s">
        <v>131</v>
      </c>
      <c r="D357" s="26" t="s">
        <v>1080</v>
      </c>
      <c r="E357" s="26" t="s">
        <v>1081</v>
      </c>
      <c r="F357" s="26" t="s">
        <v>148</v>
      </c>
      <c r="G357" s="24" t="str">
        <f aca="false">IF($D357="","",IF(MID($D357,5,1)="S","S(봄)",IF(MID($D357,5,1)="M","M(여름)",IF(MID($D357,5,1)="X","X(사계절)",MID($D357,5,1)))))</f>
        <v>X(사계절)</v>
      </c>
      <c r="H357" s="25" t="s">
        <v>67</v>
      </c>
      <c r="I357" s="24" t="s">
        <v>135</v>
      </c>
      <c r="J357" s="27" t="s">
        <v>136</v>
      </c>
      <c r="K357" s="28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8" t="n">
        <f aca="false">IF($K357="","",$K357-기준정보!$C$5)</f>
        <v>46388</v>
      </c>
      <c r="M357" s="28" t="n">
        <f aca="false">IF($L357="","",$L357-기준정보!$C$6)</f>
        <v>46298</v>
      </c>
      <c r="N357" s="29" t="n">
        <f aca="false">IF($M357="","",$M357-기준정보!$C$4)</f>
        <v>56</v>
      </c>
      <c r="O357" s="27" t="s">
        <v>71</v>
      </c>
      <c r="P357" s="27" t="s">
        <v>71</v>
      </c>
      <c r="Q357" s="30"/>
      <c r="R357" s="26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S357" s="25" t="s">
        <v>149</v>
      </c>
      <c r="T357" s="25" t="s">
        <v>73</v>
      </c>
      <c r="U357" s="31" t="n">
        <v>0</v>
      </c>
      <c r="V357" s="26"/>
      <c r="W357" s="26" t="str">
        <f aca="false">IF($K357="","출고일 미정",IF($O357="X","작지 미발행",IF($O357="부분","작지 일부 미발행",IF(AND($Q357&lt;&gt;"",$Q357&gt;$M357),"소재입고 마감("&amp;TEXT($M357,"MM/DD")&amp;") 초과",IF($O357="","발행여부 확인 필요",IF($Q357="","소재 입고일정 확인 필요","정상"))))))</f>
        <v>작지 미발행</v>
      </c>
      <c r="X357" s="24" t="str">
        <f aca="false">IF($K357="","",IF(OR(LEFT($W357,2)="작지",LEFT($W357,4)="소재입고"),IF(LEFT($G357,1)="S","★ 납기위험(S코드)","◆ 지연주의"),IF($W357="정상","✓ 정상","? 확인필요")))</f>
        <v>◆ 지연주의</v>
      </c>
      <c r="Y357" s="27"/>
      <c r="Z357" s="32"/>
    </row>
    <row r="358" customFormat="false" ht="15" hidden="false" customHeight="false" outlineLevel="0" collapsed="false">
      <c r="A358" s="24" t="n">
        <v>354</v>
      </c>
      <c r="B358" s="25" t="s">
        <v>130</v>
      </c>
      <c r="C358" s="25" t="s">
        <v>131</v>
      </c>
      <c r="D358" s="26" t="s">
        <v>1082</v>
      </c>
      <c r="E358" s="26" t="s">
        <v>1083</v>
      </c>
      <c r="F358" s="26" t="s">
        <v>148</v>
      </c>
      <c r="G358" s="24" t="str">
        <f aca="false">IF($D358="","",IF(MID($D358,5,1)="S","S(봄)",IF(MID($D358,5,1)="M","M(여름)",IF(MID($D358,5,1)="X","X(사계절)",MID($D358,5,1)))))</f>
        <v>X(사계절)</v>
      </c>
      <c r="H358" s="25" t="s">
        <v>67</v>
      </c>
      <c r="I358" s="24" t="s">
        <v>135</v>
      </c>
      <c r="J358" s="27" t="s">
        <v>136</v>
      </c>
      <c r="K358" s="28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8" t="n">
        <f aca="false">IF($K358="","",$K358-기준정보!$C$5)</f>
        <v>46388</v>
      </c>
      <c r="M358" s="28" t="n">
        <f aca="false">IF($L358="","",$L358-기준정보!$C$6)</f>
        <v>46298</v>
      </c>
      <c r="N358" s="29" t="n">
        <f aca="false">IF($M358="","",$M358-기준정보!$C$4)</f>
        <v>56</v>
      </c>
      <c r="O358" s="27" t="s">
        <v>71</v>
      </c>
      <c r="P358" s="27"/>
      <c r="Q358" s="30"/>
      <c r="R358" s="26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S358" s="25" t="s">
        <v>1084</v>
      </c>
      <c r="T358" s="25" t="s">
        <v>119</v>
      </c>
      <c r="U358" s="31" t="n">
        <v>0</v>
      </c>
      <c r="V358" s="26"/>
      <c r="W358" s="26" t="str">
        <f aca="false">IF($K358="","출고일 미정",IF($O358="X","작지 미발행",IF($O358="부분","작지 일부 미발행",IF(AND($Q358&lt;&gt;"",$Q358&gt;$M358),"소재입고 마감("&amp;TEXT($M358,"MM/DD")&amp;") 초과",IF($O358="","발행여부 확인 필요",IF($Q358="","소재 입고일정 확인 필요","정상"))))))</f>
        <v>작지 미발행</v>
      </c>
      <c r="X358" s="24" t="str">
        <f aca="false">IF($K358="","",IF(OR(LEFT($W358,2)="작지",LEFT($W358,4)="소재입고"),IF(LEFT($G358,1)="S","★ 납기위험(S코드)","◆ 지연주의"),IF($W358="정상","✓ 정상","? 확인필요")))</f>
        <v>◆ 지연주의</v>
      </c>
      <c r="Y358" s="27"/>
      <c r="Z358" s="32"/>
    </row>
    <row r="359" customFormat="false" ht="15" hidden="false" customHeight="false" outlineLevel="0" collapsed="false">
      <c r="A359" s="24" t="n">
        <v>355</v>
      </c>
      <c r="B359" s="25" t="s">
        <v>130</v>
      </c>
      <c r="C359" s="25" t="s">
        <v>131</v>
      </c>
      <c r="D359" s="26" t="s">
        <v>1085</v>
      </c>
      <c r="E359" s="26" t="s">
        <v>1086</v>
      </c>
      <c r="F359" s="26" t="s">
        <v>148</v>
      </c>
      <c r="G359" s="24" t="str">
        <f aca="false">IF($D359="","",IF(MID($D359,5,1)="S","S(봄)",IF(MID($D359,5,1)="M","M(여름)",IF(MID($D359,5,1)="X","X(사계절)",MID($D359,5,1)))))</f>
        <v>X(사계절)</v>
      </c>
      <c r="H359" s="25" t="s">
        <v>67</v>
      </c>
      <c r="I359" s="24" t="s">
        <v>135</v>
      </c>
      <c r="J359" s="27" t="s">
        <v>136</v>
      </c>
      <c r="K359" s="28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8" t="n">
        <f aca="false">IF($K359="","",$K359-기준정보!$C$5)</f>
        <v>46388</v>
      </c>
      <c r="M359" s="28" t="n">
        <f aca="false">IF($L359="","",$L359-기준정보!$C$6)</f>
        <v>46298</v>
      </c>
      <c r="N359" s="29" t="n">
        <f aca="false">IF($M359="","",$M359-기준정보!$C$4)</f>
        <v>56</v>
      </c>
      <c r="O359" s="27" t="s">
        <v>71</v>
      </c>
      <c r="P359" s="27" t="s">
        <v>71</v>
      </c>
      <c r="Q359" s="30"/>
      <c r="R359" s="26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S359" s="25" t="s">
        <v>1084</v>
      </c>
      <c r="T359" s="25" t="s">
        <v>119</v>
      </c>
      <c r="U359" s="31" t="n">
        <v>0</v>
      </c>
      <c r="V359" s="26"/>
      <c r="W359" s="26" t="str">
        <f aca="false">IF($K359="","출고일 미정",IF($O359="X","작지 미발행",IF($O359="부분","작지 일부 미발행",IF(AND($Q359&lt;&gt;"",$Q359&gt;$M359),"소재입고 마감("&amp;TEXT($M359,"MM/DD")&amp;") 초과",IF($O359="","발행여부 확인 필요",IF($Q359="","소재 입고일정 확인 필요","정상"))))))</f>
        <v>작지 미발행</v>
      </c>
      <c r="X359" s="24" t="str">
        <f aca="false">IF($K359="","",IF(OR(LEFT($W359,2)="작지",LEFT($W359,4)="소재입고"),IF(LEFT($G359,1)="S","★ 납기위험(S코드)","◆ 지연주의"),IF($W359="정상","✓ 정상","? 확인필요")))</f>
        <v>◆ 지연주의</v>
      </c>
      <c r="Y359" s="27"/>
      <c r="Z359" s="32"/>
    </row>
    <row r="360" customFormat="false" ht="15" hidden="false" customHeight="false" outlineLevel="0" collapsed="false">
      <c r="A360" s="24" t="n">
        <v>356</v>
      </c>
      <c r="B360" s="25" t="s">
        <v>130</v>
      </c>
      <c r="C360" s="25" t="s">
        <v>131</v>
      </c>
      <c r="D360" s="26" t="s">
        <v>1087</v>
      </c>
      <c r="E360" s="26" t="s">
        <v>1088</v>
      </c>
      <c r="F360" s="26" t="s">
        <v>148</v>
      </c>
      <c r="G360" s="24" t="str">
        <f aca="false">IF($D360="","",IF(MID($D360,5,1)="S","S(봄)",IF(MID($D360,5,1)="M","M(여름)",IF(MID($D360,5,1)="X","X(사계절)",MID($D360,5,1)))))</f>
        <v>X(사계절)</v>
      </c>
      <c r="H360" s="25" t="s">
        <v>67</v>
      </c>
      <c r="I360" s="24" t="s">
        <v>135</v>
      </c>
      <c r="J360" s="27" t="s">
        <v>136</v>
      </c>
      <c r="K360" s="28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8" t="n">
        <f aca="false">IF($K360="","",$K360-기준정보!$C$5)</f>
        <v>46388</v>
      </c>
      <c r="M360" s="28" t="n">
        <f aca="false">IF($L360="","",$L360-기준정보!$C$6)</f>
        <v>46298</v>
      </c>
      <c r="N360" s="29" t="n">
        <f aca="false">IF($M360="","",$M360-기준정보!$C$4)</f>
        <v>56</v>
      </c>
      <c r="O360" s="27" t="s">
        <v>71</v>
      </c>
      <c r="P360" s="27" t="s">
        <v>71</v>
      </c>
      <c r="Q360" s="30"/>
      <c r="R360" s="26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S360" s="25" t="s">
        <v>692</v>
      </c>
      <c r="T360" s="25" t="s">
        <v>154</v>
      </c>
      <c r="U360" s="31" t="n">
        <v>0</v>
      </c>
      <c r="V360" s="26"/>
      <c r="W360" s="26" t="str">
        <f aca="false">IF($K360="","출고일 미정",IF($O360="X","작지 미발행",IF($O360="부분","작지 일부 미발행",IF(AND($Q360&lt;&gt;"",$Q360&gt;$M360),"소재입고 마감("&amp;TEXT($M360,"MM/DD")&amp;") 초과",IF($O360="","발행여부 확인 필요",IF($Q360="","소재 입고일정 확인 필요","정상"))))))</f>
        <v>작지 미발행</v>
      </c>
      <c r="X360" s="24" t="str">
        <f aca="false">IF($K360="","",IF(OR(LEFT($W360,2)="작지",LEFT($W360,4)="소재입고"),IF(LEFT($G360,1)="S","★ 납기위험(S코드)","◆ 지연주의"),IF($W360="정상","✓ 정상","? 확인필요")))</f>
        <v>◆ 지연주의</v>
      </c>
      <c r="Y360" s="27"/>
      <c r="Z360" s="32"/>
    </row>
    <row r="361" customFormat="false" ht="15" hidden="false" customHeight="false" outlineLevel="0" collapsed="false">
      <c r="A361" s="24" t="n">
        <v>357</v>
      </c>
      <c r="B361" s="25" t="s">
        <v>130</v>
      </c>
      <c r="C361" s="25" t="s">
        <v>131</v>
      </c>
      <c r="D361" s="26" t="s">
        <v>1089</v>
      </c>
      <c r="E361" s="26" t="s">
        <v>1090</v>
      </c>
      <c r="F361" s="26" t="s">
        <v>226</v>
      </c>
      <c r="G361" s="24" t="str">
        <f aca="false">IF($D361="","",IF(MID($D361,5,1)="S","S(봄)",IF(MID($D361,5,1)="M","M(여름)",IF(MID($D361,5,1)="X","X(사계절)",MID($D361,5,1)))))</f>
        <v>X(사계절)</v>
      </c>
      <c r="H361" s="25" t="s">
        <v>67</v>
      </c>
      <c r="I361" s="24" t="s">
        <v>135</v>
      </c>
      <c r="J361" s="27" t="s">
        <v>136</v>
      </c>
      <c r="K361" s="28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8" t="n">
        <f aca="false">IF($K361="","",$K361-기준정보!$C$5)</f>
        <v>46388</v>
      </c>
      <c r="M361" s="28" t="n">
        <f aca="false">IF($L361="","",$L361-기준정보!$C$6)</f>
        <v>46298</v>
      </c>
      <c r="N361" s="29" t="n">
        <f aca="false">IF($M361="","",$M361-기준정보!$C$4)</f>
        <v>56</v>
      </c>
      <c r="O361" s="27" t="s">
        <v>71</v>
      </c>
      <c r="P361" s="27" t="s">
        <v>71</v>
      </c>
      <c r="Q361" s="30"/>
      <c r="R361" s="26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S361" s="25" t="s">
        <v>692</v>
      </c>
      <c r="T361" s="25" t="s">
        <v>154</v>
      </c>
      <c r="U361" s="31" t="n">
        <v>0</v>
      </c>
      <c r="V361" s="26"/>
      <c r="W361" s="26" t="str">
        <f aca="false">IF($K361="","출고일 미정",IF($O361="X","작지 미발행",IF($O361="부분","작지 일부 미발행",IF(AND($Q361&lt;&gt;"",$Q361&gt;$M361),"소재입고 마감("&amp;TEXT($M361,"MM/DD")&amp;") 초과",IF($O361="","발행여부 확인 필요",IF($Q361="","소재 입고일정 확인 필요","정상"))))))</f>
        <v>작지 미발행</v>
      </c>
      <c r="X361" s="24" t="str">
        <f aca="false">IF($K361="","",IF(OR(LEFT($W361,2)="작지",LEFT($W361,4)="소재입고"),IF(LEFT($G361,1)="S","★ 납기위험(S코드)","◆ 지연주의"),IF($W361="정상","✓ 정상","? 확인필요")))</f>
        <v>◆ 지연주의</v>
      </c>
      <c r="Y361" s="27"/>
      <c r="Z361" s="32"/>
    </row>
    <row r="362" customFormat="false" ht="15" hidden="false" customHeight="false" outlineLevel="0" collapsed="false">
      <c r="A362" s="24" t="n">
        <v>358</v>
      </c>
      <c r="B362" s="25" t="s">
        <v>130</v>
      </c>
      <c r="C362" s="25" t="s">
        <v>131</v>
      </c>
      <c r="D362" s="26" t="s">
        <v>1091</v>
      </c>
      <c r="E362" s="26" t="s">
        <v>1092</v>
      </c>
      <c r="F362" s="26" t="s">
        <v>148</v>
      </c>
      <c r="G362" s="24" t="str">
        <f aca="false">IF($D362="","",IF(MID($D362,5,1)="S","S(봄)",IF(MID($D362,5,1)="M","M(여름)",IF(MID($D362,5,1)="X","X(사계절)",MID($D362,5,1)))))</f>
        <v>X(사계절)</v>
      </c>
      <c r="H362" s="25" t="s">
        <v>67</v>
      </c>
      <c r="I362" s="24" t="s">
        <v>135</v>
      </c>
      <c r="J362" s="27" t="s">
        <v>136</v>
      </c>
      <c r="K362" s="28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8" t="n">
        <f aca="false">IF($K362="","",$K362-기준정보!$C$5)</f>
        <v>46388</v>
      </c>
      <c r="M362" s="28" t="n">
        <f aca="false">IF($L362="","",$L362-기준정보!$C$6)</f>
        <v>46298</v>
      </c>
      <c r="N362" s="29" t="n">
        <f aca="false">IF($M362="","",$M362-기준정보!$C$4)</f>
        <v>56</v>
      </c>
      <c r="O362" s="27" t="s">
        <v>71</v>
      </c>
      <c r="P362" s="27" t="s">
        <v>70</v>
      </c>
      <c r="Q362" s="30"/>
      <c r="R362" s="26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S362" s="25" t="s">
        <v>246</v>
      </c>
      <c r="T362" s="25" t="s">
        <v>73</v>
      </c>
      <c r="U362" s="31" t="n">
        <v>0</v>
      </c>
      <c r="V362" s="26"/>
      <c r="W362" s="26" t="str">
        <f aca="false">IF($K362="","출고일 미정",IF($O362="X","작지 미발행",IF($O362="부분","작지 일부 미발행",IF(AND($Q362&lt;&gt;"",$Q362&gt;$M362),"소재입고 마감("&amp;TEXT($M362,"MM/DD")&amp;") 초과",IF($O362="","발행여부 확인 필요",IF($Q362="","소재 입고일정 확인 필요","정상"))))))</f>
        <v>작지 미발행</v>
      </c>
      <c r="X362" s="24" t="str">
        <f aca="false">IF($K362="","",IF(OR(LEFT($W362,2)="작지",LEFT($W362,4)="소재입고"),IF(LEFT($G362,1)="S","★ 납기위험(S코드)","◆ 지연주의"),IF($W362="정상","✓ 정상","? 확인필요")))</f>
        <v>◆ 지연주의</v>
      </c>
      <c r="Y362" s="27"/>
      <c r="Z362" s="32"/>
    </row>
    <row r="363" customFormat="false" ht="15" hidden="false" customHeight="false" outlineLevel="0" collapsed="false">
      <c r="A363" s="24" t="n">
        <v>359</v>
      </c>
      <c r="B363" s="25" t="s">
        <v>130</v>
      </c>
      <c r="C363" s="25" t="s">
        <v>131</v>
      </c>
      <c r="D363" s="26" t="s">
        <v>1093</v>
      </c>
      <c r="E363" s="26" t="s">
        <v>1094</v>
      </c>
      <c r="F363" s="26" t="s">
        <v>1095</v>
      </c>
      <c r="G363" s="24" t="str">
        <f aca="false">IF($D363="","",IF(MID($D363,5,1)="S","S(봄)",IF(MID($D363,5,1)="M","M(여름)",IF(MID($D363,5,1)="X","X(사계절)",MID($D363,5,1)))))</f>
        <v>X(사계절)</v>
      </c>
      <c r="H363" s="25" t="s">
        <v>67</v>
      </c>
      <c r="I363" s="24" t="s">
        <v>135</v>
      </c>
      <c r="J363" s="27" t="s">
        <v>136</v>
      </c>
      <c r="K363" s="28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8" t="n">
        <f aca="false">IF($K363="","",$K363-기준정보!$C$5)</f>
        <v>46388</v>
      </c>
      <c r="M363" s="28" t="n">
        <f aca="false">IF($L363="","",$L363-기준정보!$C$6)</f>
        <v>46298</v>
      </c>
      <c r="N363" s="29" t="n">
        <f aca="false">IF($M363="","",$M363-기준정보!$C$4)</f>
        <v>56</v>
      </c>
      <c r="O363" s="27" t="s">
        <v>71</v>
      </c>
      <c r="P363" s="27" t="s">
        <v>71</v>
      </c>
      <c r="Q363" s="30"/>
      <c r="R363" s="26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S363" s="25" t="s">
        <v>246</v>
      </c>
      <c r="T363" s="25" t="s">
        <v>73</v>
      </c>
      <c r="U363" s="31" t="n">
        <v>0</v>
      </c>
      <c r="V363" s="26"/>
      <c r="W363" s="26" t="str">
        <f aca="false">IF($K363="","출고일 미정",IF($O363="X","작지 미발행",IF($O363="부분","작지 일부 미발행",IF(AND($Q363&lt;&gt;"",$Q363&gt;$M363),"소재입고 마감("&amp;TEXT($M363,"MM/DD")&amp;") 초과",IF($O363="","발행여부 확인 필요",IF($Q363="","소재 입고일정 확인 필요","정상"))))))</f>
        <v>작지 미발행</v>
      </c>
      <c r="X363" s="24" t="str">
        <f aca="false">IF($K363="","",IF(OR(LEFT($W363,2)="작지",LEFT($W363,4)="소재입고"),IF(LEFT($G363,1)="S","★ 납기위험(S코드)","◆ 지연주의"),IF($W363="정상","✓ 정상","? 확인필요")))</f>
        <v>◆ 지연주의</v>
      </c>
      <c r="Y363" s="27"/>
      <c r="Z363" s="32"/>
    </row>
    <row r="364" customFormat="false" ht="15" hidden="false" customHeight="false" outlineLevel="0" collapsed="false">
      <c r="A364" s="24" t="n">
        <v>360</v>
      </c>
      <c r="B364" s="25" t="s">
        <v>130</v>
      </c>
      <c r="C364" s="25" t="s">
        <v>140</v>
      </c>
      <c r="D364" s="26" t="s">
        <v>1096</v>
      </c>
      <c r="E364" s="26" t="s">
        <v>1097</v>
      </c>
      <c r="F364" s="26" t="s">
        <v>1098</v>
      </c>
      <c r="G364" s="24" t="str">
        <f aca="false">IF($D364="","",IF(MID($D364,5,1)="S","S(봄)",IF(MID($D364,5,1)="M","M(여름)",IF(MID($D364,5,1)="X","X(사계절)",MID($D364,5,1)))))</f>
        <v>X(사계절)</v>
      </c>
      <c r="H364" s="25" t="s">
        <v>67</v>
      </c>
      <c r="I364" s="24" t="s">
        <v>135</v>
      </c>
      <c r="J364" s="27" t="s">
        <v>136</v>
      </c>
      <c r="K364" s="28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8" t="n">
        <f aca="false">IF($K364="","",$K364-기준정보!$C$5)</f>
        <v>46388</v>
      </c>
      <c r="M364" s="28" t="n">
        <f aca="false">IF($L364="","",$L364-기준정보!$C$6)</f>
        <v>46298</v>
      </c>
      <c r="N364" s="29" t="n">
        <f aca="false">IF($M364="","",$M364-기준정보!$C$4)</f>
        <v>56</v>
      </c>
      <c r="O364" s="27" t="s">
        <v>71</v>
      </c>
      <c r="P364" s="27" t="s">
        <v>71</v>
      </c>
      <c r="Q364" s="30"/>
      <c r="R364" s="26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S364" s="25" t="s">
        <v>77</v>
      </c>
      <c r="T364" s="25" t="s">
        <v>73</v>
      </c>
      <c r="U364" s="31" t="n">
        <v>0</v>
      </c>
      <c r="V364" s="26"/>
      <c r="W364" s="26" t="str">
        <f aca="false">IF($K364="","출고일 미정",IF($O364="X","작지 미발행",IF($O364="부분","작지 일부 미발행",IF(AND($Q364&lt;&gt;"",$Q364&gt;$M364),"소재입고 마감("&amp;TEXT($M364,"MM/DD")&amp;") 초과",IF($O364="","발행여부 확인 필요",IF($Q364="","소재 입고일정 확인 필요","정상"))))))</f>
        <v>작지 미발행</v>
      </c>
      <c r="X364" s="24" t="str">
        <f aca="false">IF($K364="","",IF(OR(LEFT($W364,2)="작지",LEFT($W364,4)="소재입고"),IF(LEFT($G364,1)="S","★ 납기위험(S코드)","◆ 지연주의"),IF($W364="정상","✓ 정상","? 확인필요")))</f>
        <v>◆ 지연주의</v>
      </c>
      <c r="Y364" s="27"/>
      <c r="Z364" s="32"/>
    </row>
    <row r="365" customFormat="false" ht="15" hidden="false" customHeight="false" outlineLevel="0" collapsed="false">
      <c r="A365" s="24" t="n">
        <v>361</v>
      </c>
      <c r="B365" s="25" t="s">
        <v>130</v>
      </c>
      <c r="C365" s="25" t="s">
        <v>131</v>
      </c>
      <c r="D365" s="26" t="s">
        <v>1099</v>
      </c>
      <c r="E365" s="26" t="s">
        <v>1100</v>
      </c>
      <c r="F365" s="26" t="s">
        <v>148</v>
      </c>
      <c r="G365" s="24" t="str">
        <f aca="false">IF($D365="","",IF(MID($D365,5,1)="S","S(봄)",IF(MID($D365,5,1)="M","M(여름)",IF(MID($D365,5,1)="X","X(사계절)",MID($D365,5,1)))))</f>
        <v>X(사계절)</v>
      </c>
      <c r="H365" s="25" t="s">
        <v>67</v>
      </c>
      <c r="I365" s="24" t="s">
        <v>135</v>
      </c>
      <c r="J365" s="27" t="s">
        <v>136</v>
      </c>
      <c r="K365" s="28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8" t="n">
        <f aca="false">IF($K365="","",$K365-기준정보!$C$5)</f>
        <v>46388</v>
      </c>
      <c r="M365" s="28" t="n">
        <f aca="false">IF($L365="","",$L365-기준정보!$C$6)</f>
        <v>46298</v>
      </c>
      <c r="N365" s="29" t="n">
        <f aca="false">IF($M365="","",$M365-기준정보!$C$4)</f>
        <v>56</v>
      </c>
      <c r="O365" s="27" t="s">
        <v>71</v>
      </c>
      <c r="P365" s="27" t="s">
        <v>71</v>
      </c>
      <c r="Q365" s="30"/>
      <c r="R365" s="26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S365" s="25" t="s">
        <v>246</v>
      </c>
      <c r="T365" s="25" t="s">
        <v>73</v>
      </c>
      <c r="U365" s="31" t="n">
        <v>0</v>
      </c>
      <c r="V365" s="26"/>
      <c r="W365" s="26" t="str">
        <f aca="false">IF($K365="","출고일 미정",IF($O365="X","작지 미발행",IF($O365="부분","작지 일부 미발행",IF(AND($Q365&lt;&gt;"",$Q365&gt;$M365),"소재입고 마감("&amp;TEXT($M365,"MM/DD")&amp;") 초과",IF($O365="","발행여부 확인 필요",IF($Q365="","소재 입고일정 확인 필요","정상"))))))</f>
        <v>작지 미발행</v>
      </c>
      <c r="X365" s="24" t="str">
        <f aca="false">IF($K365="","",IF(OR(LEFT($W365,2)="작지",LEFT($W365,4)="소재입고"),IF(LEFT($G365,1)="S","★ 납기위험(S코드)","◆ 지연주의"),IF($W365="정상","✓ 정상","? 확인필요")))</f>
        <v>◆ 지연주의</v>
      </c>
      <c r="Y365" s="27"/>
      <c r="Z365" s="32"/>
    </row>
    <row r="366" customFormat="false" ht="15" hidden="false" customHeight="false" outlineLevel="0" collapsed="false">
      <c r="A366" s="24" t="n">
        <v>362</v>
      </c>
      <c r="B366" s="25" t="s">
        <v>130</v>
      </c>
      <c r="C366" s="25" t="s">
        <v>131</v>
      </c>
      <c r="D366" s="26" t="s">
        <v>1101</v>
      </c>
      <c r="E366" s="26" t="s">
        <v>1102</v>
      </c>
      <c r="F366" s="26" t="s">
        <v>134</v>
      </c>
      <c r="G366" s="24" t="str">
        <f aca="false">IF($D366="","",IF(MID($D366,5,1)="S","S(봄)",IF(MID($D366,5,1)="M","M(여름)",IF(MID($D366,5,1)="X","X(사계절)",MID($D366,5,1)))))</f>
        <v>X(사계절)</v>
      </c>
      <c r="H366" s="25" t="s">
        <v>67</v>
      </c>
      <c r="I366" s="24" t="s">
        <v>135</v>
      </c>
      <c r="J366" s="27" t="s">
        <v>136</v>
      </c>
      <c r="K366" s="28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8" t="n">
        <f aca="false">IF($K366="","",$K366-기준정보!$C$5)</f>
        <v>46388</v>
      </c>
      <c r="M366" s="28" t="n">
        <f aca="false">IF($L366="","",$L366-기준정보!$C$6)</f>
        <v>46298</v>
      </c>
      <c r="N366" s="29" t="n">
        <f aca="false">IF($M366="","",$M366-기준정보!$C$4)</f>
        <v>56</v>
      </c>
      <c r="O366" s="27" t="s">
        <v>71</v>
      </c>
      <c r="P366" s="27" t="s">
        <v>71</v>
      </c>
      <c r="Q366" s="30"/>
      <c r="R366" s="26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S366" s="25" t="s">
        <v>246</v>
      </c>
      <c r="T366" s="25" t="s">
        <v>73</v>
      </c>
      <c r="U366" s="31" t="n">
        <v>0</v>
      </c>
      <c r="V366" s="26"/>
      <c r="W366" s="26" t="str">
        <f aca="false">IF($K366="","출고일 미정",IF($O366="X","작지 미발행",IF($O366="부분","작지 일부 미발행",IF(AND($Q366&lt;&gt;"",$Q366&gt;$M366),"소재입고 마감("&amp;TEXT($M366,"MM/DD")&amp;") 초과",IF($O366="","발행여부 확인 필요",IF($Q366="","소재 입고일정 확인 필요","정상"))))))</f>
        <v>작지 미발행</v>
      </c>
      <c r="X366" s="24" t="str">
        <f aca="false">IF($K366="","",IF(OR(LEFT($W366,2)="작지",LEFT($W366,4)="소재입고"),IF(LEFT($G366,1)="S","★ 납기위험(S코드)","◆ 지연주의"),IF($W366="정상","✓ 정상","? 확인필요")))</f>
        <v>◆ 지연주의</v>
      </c>
      <c r="Y366" s="27"/>
      <c r="Z366" s="32"/>
    </row>
    <row r="367" customFormat="false" ht="15" hidden="false" customHeight="false" outlineLevel="0" collapsed="false">
      <c r="A367" s="24" t="n">
        <v>363</v>
      </c>
      <c r="B367" s="25" t="s">
        <v>688</v>
      </c>
      <c r="C367" s="25" t="s">
        <v>483</v>
      </c>
      <c r="D367" s="26" t="s">
        <v>1103</v>
      </c>
      <c r="E367" s="25" t="s">
        <v>1104</v>
      </c>
      <c r="F367" s="26" t="s">
        <v>245</v>
      </c>
      <c r="G367" s="24" t="str">
        <f aca="false">IF($D367="","",IF(MID($D367,5,1)="S","S(봄)",IF(MID($D367,5,1)="M","M(여름)",IF(MID($D367,5,1)="X","X(사계절)",MID($D367,5,1)))))</f>
        <v>X(사계절)</v>
      </c>
      <c r="H367" s="25" t="s">
        <v>67</v>
      </c>
      <c r="I367" s="24"/>
      <c r="J367" s="27" t="s">
        <v>136</v>
      </c>
      <c r="K367" s="28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8" t="n">
        <f aca="false">IF($K367="","",$K367-기준정보!$C$5)</f>
        <v>46388</v>
      </c>
      <c r="M367" s="28" t="n">
        <f aca="false">IF($L367="","",$L367-기준정보!$C$6)</f>
        <v>46298</v>
      </c>
      <c r="N367" s="29" t="n">
        <f aca="false">IF($M367="","",$M367-기준정보!$C$4)</f>
        <v>56</v>
      </c>
      <c r="O367" s="27" t="s">
        <v>71</v>
      </c>
      <c r="P367" s="27" t="s">
        <v>71</v>
      </c>
      <c r="Q367" s="30"/>
      <c r="R367" s="26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S367" s="25" t="s">
        <v>1105</v>
      </c>
      <c r="T367" s="25" t="s">
        <v>119</v>
      </c>
      <c r="U367" s="31" t="n">
        <v>800</v>
      </c>
      <c r="V367" s="26"/>
      <c r="W367" s="26" t="str">
        <f aca="false">IF($K367="","출고일 미정",IF($O367="X","작지 미발행",IF($O367="부분","작지 일부 미발행",IF(AND($Q367&lt;&gt;"",$Q367&gt;$M367),"소재입고 마감("&amp;TEXT($M367,"MM/DD")&amp;") 초과",IF($O367="","발행여부 확인 필요",IF($Q367="","소재 입고일정 확인 필요","정상"))))))</f>
        <v>작지 미발행</v>
      </c>
      <c r="X367" s="24" t="str">
        <f aca="false">IF($K367="","",IF(OR(LEFT($W367,2)="작지",LEFT($W367,4)="소재입고"),IF(LEFT($G367,1)="S","★ 납기위험(S코드)","◆ 지연주의"),IF($W367="정상","✓ 정상","? 확인필요")))</f>
        <v>◆ 지연주의</v>
      </c>
      <c r="Y367" s="27"/>
      <c r="Z367" s="32"/>
    </row>
    <row r="368" customFormat="false" ht="15" hidden="false" customHeight="false" outlineLevel="0" collapsed="false">
      <c r="A368" s="24" t="n">
        <v>364</v>
      </c>
      <c r="B368" s="25" t="s">
        <v>688</v>
      </c>
      <c r="C368" s="25" t="s">
        <v>483</v>
      </c>
      <c r="D368" s="26" t="s">
        <v>1106</v>
      </c>
      <c r="E368" s="25" t="s">
        <v>1107</v>
      </c>
      <c r="F368" s="26" t="s">
        <v>245</v>
      </c>
      <c r="G368" s="24" t="str">
        <f aca="false">IF($D368="","",IF(MID($D368,5,1)="S","S(봄)",IF(MID($D368,5,1)="M","M(여름)",IF(MID($D368,5,1)="X","X(사계절)",MID($D368,5,1)))))</f>
        <v>X(사계절)</v>
      </c>
      <c r="H368" s="25" t="s">
        <v>67</v>
      </c>
      <c r="I368" s="24"/>
      <c r="J368" s="27" t="s">
        <v>136</v>
      </c>
      <c r="K368" s="28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8" t="n">
        <f aca="false">IF($K368="","",$K368-기준정보!$C$5)</f>
        <v>46388</v>
      </c>
      <c r="M368" s="28" t="n">
        <f aca="false">IF($L368="","",$L368-기준정보!$C$6)</f>
        <v>46298</v>
      </c>
      <c r="N368" s="29" t="n">
        <f aca="false">IF($M368="","",$M368-기준정보!$C$4)</f>
        <v>56</v>
      </c>
      <c r="O368" s="27" t="s">
        <v>71</v>
      </c>
      <c r="P368" s="27" t="s">
        <v>71</v>
      </c>
      <c r="Q368" s="30"/>
      <c r="R368" s="26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S368" s="25" t="s">
        <v>1105</v>
      </c>
      <c r="T368" s="25" t="s">
        <v>119</v>
      </c>
      <c r="U368" s="31" t="n">
        <v>1300</v>
      </c>
      <c r="V368" s="26"/>
      <c r="W368" s="26" t="str">
        <f aca="false">IF($K368="","출고일 미정",IF($O368="X","작지 미발행",IF($O368="부분","작지 일부 미발행",IF(AND($Q368&lt;&gt;"",$Q368&gt;$M368),"소재입고 마감("&amp;TEXT($M368,"MM/DD")&amp;") 초과",IF($O368="","발행여부 확인 필요",IF($Q368="","소재 입고일정 확인 필요","정상"))))))</f>
        <v>작지 미발행</v>
      </c>
      <c r="X368" s="24" t="str">
        <f aca="false">IF($K368="","",IF(OR(LEFT($W368,2)="작지",LEFT($W368,4)="소재입고"),IF(LEFT($G368,1)="S","★ 납기위험(S코드)","◆ 지연주의"),IF($W368="정상","✓ 정상","? 확인필요")))</f>
        <v>◆ 지연주의</v>
      </c>
      <c r="Y368" s="27"/>
      <c r="Z368" s="32"/>
    </row>
    <row r="369" customFormat="false" ht="15" hidden="false" customHeight="false" outlineLevel="0" collapsed="false">
      <c r="A369" s="24" t="n">
        <v>365</v>
      </c>
      <c r="B369" s="25" t="s">
        <v>688</v>
      </c>
      <c r="C369" s="25" t="s">
        <v>483</v>
      </c>
      <c r="D369" s="26" t="s">
        <v>1108</v>
      </c>
      <c r="E369" s="25" t="s">
        <v>1107</v>
      </c>
      <c r="F369" s="26" t="s">
        <v>1109</v>
      </c>
      <c r="G369" s="24" t="str">
        <f aca="false">IF($D369="","",IF(MID($D369,5,1)="S","S(봄)",IF(MID($D369,5,1)="M","M(여름)",IF(MID($D369,5,1)="X","X(사계절)",MID($D369,5,1)))))</f>
        <v>X(사계절)</v>
      </c>
      <c r="H369" s="25" t="s">
        <v>67</v>
      </c>
      <c r="I369" s="24"/>
      <c r="J369" s="27" t="s">
        <v>136</v>
      </c>
      <c r="K369" s="28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8" t="n">
        <f aca="false">IF($K369="","",$K369-기준정보!$C$5)</f>
        <v>46388</v>
      </c>
      <c r="M369" s="28" t="n">
        <f aca="false">IF($L369="","",$L369-기준정보!$C$6)</f>
        <v>46298</v>
      </c>
      <c r="N369" s="29" t="n">
        <f aca="false">IF($M369="","",$M369-기준정보!$C$4)</f>
        <v>56</v>
      </c>
      <c r="O369" s="27" t="s">
        <v>71</v>
      </c>
      <c r="P369" s="27" t="s">
        <v>71</v>
      </c>
      <c r="Q369" s="30"/>
      <c r="R369" s="26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S369" s="25" t="s">
        <v>1105</v>
      </c>
      <c r="T369" s="25" t="s">
        <v>119</v>
      </c>
      <c r="U369" s="31" t="n">
        <v>8000</v>
      </c>
      <c r="V369" s="26"/>
      <c r="W369" s="26" t="str">
        <f aca="false">IF($K369="","출고일 미정",IF($O369="X","작지 미발행",IF($O369="부분","작지 일부 미발행",IF(AND($Q369&lt;&gt;"",$Q369&gt;$M369),"소재입고 마감("&amp;TEXT($M369,"MM/DD")&amp;") 초과",IF($O369="","발행여부 확인 필요",IF($Q369="","소재 입고일정 확인 필요","정상"))))))</f>
        <v>작지 미발행</v>
      </c>
      <c r="X369" s="24" t="str">
        <f aca="false">IF($K369="","",IF(OR(LEFT($W369,2)="작지",LEFT($W369,4)="소재입고"),IF(LEFT($G369,1)="S","★ 납기위험(S코드)","◆ 지연주의"),IF($W369="정상","✓ 정상","? 확인필요")))</f>
        <v>◆ 지연주의</v>
      </c>
      <c r="Y369" s="27"/>
      <c r="Z369" s="32"/>
    </row>
    <row r="370" customFormat="false" ht="15" hidden="false" customHeight="false" outlineLevel="0" collapsed="false">
      <c r="A370" s="24" t="n">
        <v>366</v>
      </c>
      <c r="B370" s="25" t="s">
        <v>688</v>
      </c>
      <c r="C370" s="25" t="s">
        <v>483</v>
      </c>
      <c r="D370" s="26" t="s">
        <v>1110</v>
      </c>
      <c r="E370" s="25" t="s">
        <v>1111</v>
      </c>
      <c r="F370" s="26" t="s">
        <v>245</v>
      </c>
      <c r="G370" s="24" t="str">
        <f aca="false">IF($D370="","",IF(MID($D370,5,1)="S","S(봄)",IF(MID($D370,5,1)="M","M(여름)",IF(MID($D370,5,1)="X","X(사계절)",MID($D370,5,1)))))</f>
        <v>X(사계절)</v>
      </c>
      <c r="H370" s="25" t="s">
        <v>67</v>
      </c>
      <c r="I370" s="24"/>
      <c r="J370" s="27" t="s">
        <v>136</v>
      </c>
      <c r="K370" s="28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8" t="n">
        <f aca="false">IF($K370="","",$K370-기준정보!$C$5)</f>
        <v>46388</v>
      </c>
      <c r="M370" s="28" t="n">
        <f aca="false">IF($L370="","",$L370-기준정보!$C$6)</f>
        <v>46298</v>
      </c>
      <c r="N370" s="29" t="n">
        <f aca="false">IF($M370="","",$M370-기준정보!$C$4)</f>
        <v>56</v>
      </c>
      <c r="O370" s="27" t="s">
        <v>71</v>
      </c>
      <c r="P370" s="27" t="s">
        <v>71</v>
      </c>
      <c r="Q370" s="30"/>
      <c r="R370" s="26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S370" s="25" t="s">
        <v>1105</v>
      </c>
      <c r="T370" s="25" t="s">
        <v>119</v>
      </c>
      <c r="U370" s="31" t="n">
        <v>800</v>
      </c>
      <c r="V370" s="26"/>
      <c r="W370" s="26" t="str">
        <f aca="false">IF($K370="","출고일 미정",IF($O370="X","작지 미발행",IF($O370="부분","작지 일부 미발행",IF(AND($Q370&lt;&gt;"",$Q370&gt;$M370),"소재입고 마감("&amp;TEXT($M370,"MM/DD")&amp;") 초과",IF($O370="","발행여부 확인 필요",IF($Q370="","소재 입고일정 확인 필요","정상"))))))</f>
        <v>작지 미발행</v>
      </c>
      <c r="X370" s="24" t="str">
        <f aca="false">IF($K370="","",IF(OR(LEFT($W370,2)="작지",LEFT($W370,4)="소재입고"),IF(LEFT($G370,1)="S","★ 납기위험(S코드)","◆ 지연주의"),IF($W370="정상","✓ 정상","? 확인필요")))</f>
        <v>◆ 지연주의</v>
      </c>
      <c r="Y370" s="27"/>
      <c r="Z370" s="32"/>
    </row>
    <row r="371" customFormat="false" ht="15" hidden="false" customHeight="false" outlineLevel="0" collapsed="false">
      <c r="A371" s="24" t="n">
        <v>367</v>
      </c>
      <c r="B371" s="25" t="s">
        <v>192</v>
      </c>
      <c r="C371" s="25" t="s">
        <v>483</v>
      </c>
      <c r="D371" s="26" t="s">
        <v>1112</v>
      </c>
      <c r="E371" s="25" t="s">
        <v>1113</v>
      </c>
      <c r="F371" s="26" t="s">
        <v>226</v>
      </c>
      <c r="G371" s="24" t="str">
        <f aca="false">IF($D371="","",IF(MID($D371,5,1)="S","S(봄)",IF(MID($D371,5,1)="M","M(여름)",IF(MID($D371,5,1)="X","X(사계절)",MID($D371,5,1)))))</f>
        <v>X(사계절)</v>
      </c>
      <c r="H371" s="25" t="s">
        <v>67</v>
      </c>
      <c r="I371" s="24"/>
      <c r="J371" s="27" t="s">
        <v>136</v>
      </c>
      <c r="K371" s="28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8" t="n">
        <f aca="false">IF($K371="","",$K371-기준정보!$C$5)</f>
        <v>46388</v>
      </c>
      <c r="M371" s="28" t="n">
        <f aca="false">IF($L371="","",$L371-기준정보!$C$6)</f>
        <v>46298</v>
      </c>
      <c r="N371" s="29" t="n">
        <f aca="false">IF($M371="","",$M371-기준정보!$C$4)</f>
        <v>56</v>
      </c>
      <c r="O371" s="27" t="s">
        <v>71</v>
      </c>
      <c r="P371" s="27"/>
      <c r="Q371" s="30"/>
      <c r="R371" s="26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S371" s="25" t="s">
        <v>487</v>
      </c>
      <c r="T371" s="25" t="s">
        <v>73</v>
      </c>
      <c r="U371" s="31" t="n">
        <v>3000</v>
      </c>
      <c r="V371" s="26"/>
      <c r="W371" s="26" t="str">
        <f aca="false">IF($K371="","출고일 미정",IF($O371="X","작지 미발행",IF($O371="부분","작지 일부 미발행",IF(AND($Q371&lt;&gt;"",$Q371&gt;$M371),"소재입고 마감("&amp;TEXT($M371,"MM/DD")&amp;") 초과",IF($O371="","발행여부 확인 필요",IF($Q371="","소재 입고일정 확인 필요","정상"))))))</f>
        <v>작지 미발행</v>
      </c>
      <c r="X371" s="24" t="str">
        <f aca="false">IF($K371="","",IF(OR(LEFT($W371,2)="작지",LEFT($W371,4)="소재입고"),IF(LEFT($G371,1)="S","★ 납기위험(S코드)","◆ 지연주의"),IF($W371="정상","✓ 정상","? 확인필요")))</f>
        <v>◆ 지연주의</v>
      </c>
      <c r="Y371" s="27"/>
      <c r="Z371" s="32"/>
    </row>
    <row r="372" customFormat="false" ht="15" hidden="false" customHeight="false" outlineLevel="0" collapsed="false">
      <c r="A372" s="24" t="n">
        <v>368</v>
      </c>
      <c r="B372" s="25" t="s">
        <v>688</v>
      </c>
      <c r="C372" s="25" t="s">
        <v>689</v>
      </c>
      <c r="D372" s="26" t="s">
        <v>1114</v>
      </c>
      <c r="E372" s="25" t="s">
        <v>1115</v>
      </c>
      <c r="F372" s="26" t="s">
        <v>1116</v>
      </c>
      <c r="G372" s="24" t="str">
        <f aca="false">IF($D372="","",IF(MID($D372,5,1)="S","S(봄)",IF(MID($D372,5,1)="M","M(여름)",IF(MID($D372,5,1)="X","X(사계절)",MID($D372,5,1)))))</f>
        <v>X(사계절)</v>
      </c>
      <c r="H372" s="25" t="s">
        <v>67</v>
      </c>
      <c r="I372" s="24"/>
      <c r="J372" s="27" t="s">
        <v>136</v>
      </c>
      <c r="K372" s="28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8" t="n">
        <f aca="false">IF($K372="","",$K372-기준정보!$C$5)</f>
        <v>46388</v>
      </c>
      <c r="M372" s="28" t="n">
        <f aca="false">IF($L372="","",$L372-기준정보!$C$6)</f>
        <v>46298</v>
      </c>
      <c r="N372" s="29" t="n">
        <f aca="false">IF($M372="","",$M372-기준정보!$C$4)</f>
        <v>56</v>
      </c>
      <c r="O372" s="27" t="s">
        <v>71</v>
      </c>
      <c r="P372" s="27" t="s">
        <v>71</v>
      </c>
      <c r="Q372" s="30"/>
      <c r="R372" s="26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S372" s="25" t="s">
        <v>1117</v>
      </c>
      <c r="T372" s="25" t="s">
        <v>154</v>
      </c>
      <c r="U372" s="31" t="n">
        <v>1000</v>
      </c>
      <c r="V372" s="26"/>
      <c r="W372" s="26" t="str">
        <f aca="false">IF($K372="","출고일 미정",IF($O372="X","작지 미발행",IF($O372="부분","작지 일부 미발행",IF(AND($Q372&lt;&gt;"",$Q372&gt;$M372),"소재입고 마감("&amp;TEXT($M372,"MM/DD")&amp;") 초과",IF($O372="","발행여부 확인 필요",IF($Q372="","소재 입고일정 확인 필요","정상"))))))</f>
        <v>작지 미발행</v>
      </c>
      <c r="X372" s="24" t="str">
        <f aca="false">IF($K372="","",IF(OR(LEFT($W372,2)="작지",LEFT($W372,4)="소재입고"),IF(LEFT($G372,1)="S","★ 납기위험(S코드)","◆ 지연주의"),IF($W372="정상","✓ 정상","? 확인필요")))</f>
        <v>◆ 지연주의</v>
      </c>
      <c r="Y372" s="27"/>
      <c r="Z372" s="32"/>
    </row>
    <row r="373" customFormat="false" ht="15" hidden="false" customHeight="false" outlineLevel="0" collapsed="false">
      <c r="A373" s="24" t="n">
        <v>369</v>
      </c>
      <c r="B373" s="25" t="s">
        <v>688</v>
      </c>
      <c r="C373" s="25" t="s">
        <v>689</v>
      </c>
      <c r="D373" s="26" t="s">
        <v>1118</v>
      </c>
      <c r="E373" s="25" t="s">
        <v>1119</v>
      </c>
      <c r="F373" s="26" t="s">
        <v>1120</v>
      </c>
      <c r="G373" s="24" t="str">
        <f aca="false">IF($D373="","",IF(MID($D373,5,1)="S","S(봄)",IF(MID($D373,5,1)="M","M(여름)",IF(MID($D373,5,1)="X","X(사계절)",MID($D373,5,1)))))</f>
        <v>X(사계절)</v>
      </c>
      <c r="H373" s="25" t="s">
        <v>67</v>
      </c>
      <c r="I373" s="24"/>
      <c r="J373" s="27" t="s">
        <v>136</v>
      </c>
      <c r="K373" s="28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8" t="n">
        <f aca="false">IF($K373="","",$K373-기준정보!$C$5)</f>
        <v>46388</v>
      </c>
      <c r="M373" s="28" t="n">
        <f aca="false">IF($L373="","",$L373-기준정보!$C$6)</f>
        <v>46298</v>
      </c>
      <c r="N373" s="29" t="n">
        <f aca="false">IF($M373="","",$M373-기준정보!$C$4)</f>
        <v>56</v>
      </c>
      <c r="O373" s="27" t="s">
        <v>71</v>
      </c>
      <c r="P373" s="27" t="s">
        <v>71</v>
      </c>
      <c r="Q373" s="30"/>
      <c r="R373" s="26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S373" s="25" t="s">
        <v>1117</v>
      </c>
      <c r="T373" s="25" t="s">
        <v>154</v>
      </c>
      <c r="U373" s="31" t="n">
        <v>4000</v>
      </c>
      <c r="V373" s="26"/>
      <c r="W373" s="26" t="str">
        <f aca="false">IF($K373="","출고일 미정",IF($O373="X","작지 미발행",IF($O373="부분","작지 일부 미발행",IF(AND($Q373&lt;&gt;"",$Q373&gt;$M373),"소재입고 마감("&amp;TEXT($M373,"MM/DD")&amp;") 초과",IF($O373="","발행여부 확인 필요",IF($Q373="","소재 입고일정 확인 필요","정상"))))))</f>
        <v>작지 미발행</v>
      </c>
      <c r="X373" s="24" t="str">
        <f aca="false">IF($K373="","",IF(OR(LEFT($W373,2)="작지",LEFT($W373,4)="소재입고"),IF(LEFT($G373,1)="S","★ 납기위험(S코드)","◆ 지연주의"),IF($W373="정상","✓ 정상","? 확인필요")))</f>
        <v>◆ 지연주의</v>
      </c>
      <c r="Y373" s="27"/>
      <c r="Z373" s="32"/>
    </row>
    <row r="374" customFormat="false" ht="15" hidden="false" customHeight="false" outlineLevel="0" collapsed="false">
      <c r="A374" s="24" t="n">
        <v>370</v>
      </c>
      <c r="B374" s="25" t="s">
        <v>688</v>
      </c>
      <c r="C374" s="25" t="s">
        <v>689</v>
      </c>
      <c r="D374" s="26" t="s">
        <v>1121</v>
      </c>
      <c r="E374" s="25" t="s">
        <v>1122</v>
      </c>
      <c r="F374" s="26" t="s">
        <v>1123</v>
      </c>
      <c r="G374" s="24" t="str">
        <f aca="false">IF($D374="","",IF(MID($D374,5,1)="S","S(봄)",IF(MID($D374,5,1)="M","M(여름)",IF(MID($D374,5,1)="X","X(사계절)",MID($D374,5,1)))))</f>
        <v>X(사계절)</v>
      </c>
      <c r="H374" s="25" t="s">
        <v>67</v>
      </c>
      <c r="I374" s="24"/>
      <c r="J374" s="27" t="s">
        <v>136</v>
      </c>
      <c r="K374" s="28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8" t="n">
        <f aca="false">IF($K374="","",$K374-기준정보!$C$5)</f>
        <v>46388</v>
      </c>
      <c r="M374" s="28" t="n">
        <f aca="false">IF($L374="","",$L374-기준정보!$C$6)</f>
        <v>46298</v>
      </c>
      <c r="N374" s="29" t="n">
        <f aca="false">IF($M374="","",$M374-기준정보!$C$4)</f>
        <v>56</v>
      </c>
      <c r="O374" s="27" t="s">
        <v>71</v>
      </c>
      <c r="P374" s="27" t="s">
        <v>71</v>
      </c>
      <c r="Q374" s="30"/>
      <c r="R374" s="26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S374" s="25" t="s">
        <v>1117</v>
      </c>
      <c r="T374" s="25" t="s">
        <v>154</v>
      </c>
      <c r="U374" s="31" t="n">
        <v>1500</v>
      </c>
      <c r="V374" s="26"/>
      <c r="W374" s="26" t="str">
        <f aca="false">IF($K374="","출고일 미정",IF($O374="X","작지 미발행",IF($O374="부분","작지 일부 미발행",IF(AND($Q374&lt;&gt;"",$Q374&gt;$M374),"소재입고 마감("&amp;TEXT($M374,"MM/DD")&amp;") 초과",IF($O374="","발행여부 확인 필요",IF($Q374="","소재 입고일정 확인 필요","정상"))))))</f>
        <v>작지 미발행</v>
      </c>
      <c r="X374" s="24" t="str">
        <f aca="false">IF($K374="","",IF(OR(LEFT($W374,2)="작지",LEFT($W374,4)="소재입고"),IF(LEFT($G374,1)="S","★ 납기위험(S코드)","◆ 지연주의"),IF($W374="정상","✓ 정상","? 확인필요")))</f>
        <v>◆ 지연주의</v>
      </c>
      <c r="Y374" s="27"/>
      <c r="Z374" s="32"/>
    </row>
    <row r="375" customFormat="false" ht="15" hidden="false" customHeight="false" outlineLevel="0" collapsed="false">
      <c r="A375" s="24" t="n">
        <v>371</v>
      </c>
      <c r="B375" s="25" t="s">
        <v>688</v>
      </c>
      <c r="C375" s="25" t="s">
        <v>689</v>
      </c>
      <c r="D375" s="26" t="s">
        <v>1124</v>
      </c>
      <c r="E375" s="25" t="s">
        <v>1125</v>
      </c>
      <c r="F375" s="26" t="s">
        <v>1126</v>
      </c>
      <c r="G375" s="24" t="str">
        <f aca="false">IF($D375="","",IF(MID($D375,5,1)="S","S(봄)",IF(MID($D375,5,1)="M","M(여름)",IF(MID($D375,5,1)="X","X(사계절)",MID($D375,5,1)))))</f>
        <v>X(사계절)</v>
      </c>
      <c r="H375" s="25" t="s">
        <v>67</v>
      </c>
      <c r="I375" s="24"/>
      <c r="J375" s="27" t="s">
        <v>136</v>
      </c>
      <c r="K375" s="28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8" t="n">
        <f aca="false">IF($K375="","",$K375-기준정보!$C$5)</f>
        <v>46388</v>
      </c>
      <c r="M375" s="28" t="n">
        <f aca="false">IF($L375="","",$L375-기준정보!$C$6)</f>
        <v>46298</v>
      </c>
      <c r="N375" s="29" t="n">
        <f aca="false">IF($M375="","",$M375-기준정보!$C$4)</f>
        <v>56</v>
      </c>
      <c r="O375" s="27" t="s">
        <v>71</v>
      </c>
      <c r="P375" s="27" t="s">
        <v>71</v>
      </c>
      <c r="Q375" s="30"/>
      <c r="R375" s="26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S375" s="25" t="s">
        <v>1117</v>
      </c>
      <c r="T375" s="25" t="s">
        <v>154</v>
      </c>
      <c r="U375" s="31" t="n">
        <v>1600</v>
      </c>
      <c r="V375" s="26"/>
      <c r="W375" s="26" t="str">
        <f aca="false">IF($K375="","출고일 미정",IF($O375="X","작지 미발행",IF($O375="부분","작지 일부 미발행",IF(AND($Q375&lt;&gt;"",$Q375&gt;$M375),"소재입고 마감("&amp;TEXT($M375,"MM/DD")&amp;") 초과",IF($O375="","발행여부 확인 필요",IF($Q375="","소재 입고일정 확인 필요","정상"))))))</f>
        <v>작지 미발행</v>
      </c>
      <c r="X375" s="24" t="str">
        <f aca="false">IF($K375="","",IF(OR(LEFT($W375,2)="작지",LEFT($W375,4)="소재입고"),IF(LEFT($G375,1)="S","★ 납기위험(S코드)","◆ 지연주의"),IF($W375="정상","✓ 정상","? 확인필요")))</f>
        <v>◆ 지연주의</v>
      </c>
      <c r="Y375" s="27"/>
      <c r="Z375" s="32"/>
    </row>
    <row r="376" customFormat="false" ht="15" hidden="false" customHeight="false" outlineLevel="0" collapsed="false">
      <c r="A376" s="24" t="n">
        <v>372</v>
      </c>
      <c r="B376" s="25" t="s">
        <v>688</v>
      </c>
      <c r="C376" s="25" t="s">
        <v>689</v>
      </c>
      <c r="D376" s="26" t="s">
        <v>1127</v>
      </c>
      <c r="E376" s="25" t="s">
        <v>1128</v>
      </c>
      <c r="F376" s="26" t="s">
        <v>1129</v>
      </c>
      <c r="G376" s="24" t="str">
        <f aca="false">IF($D376="","",IF(MID($D376,5,1)="S","S(봄)",IF(MID($D376,5,1)="M","M(여름)",IF(MID($D376,5,1)="X","X(사계절)",MID($D376,5,1)))))</f>
        <v>X(사계절)</v>
      </c>
      <c r="H376" s="25" t="s">
        <v>67</v>
      </c>
      <c r="I376" s="24"/>
      <c r="J376" s="27" t="s">
        <v>136</v>
      </c>
      <c r="K376" s="28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8" t="n">
        <f aca="false">IF($K376="","",$K376-기준정보!$C$5)</f>
        <v>46388</v>
      </c>
      <c r="M376" s="28" t="n">
        <f aca="false">IF($L376="","",$L376-기준정보!$C$6)</f>
        <v>46298</v>
      </c>
      <c r="N376" s="29" t="n">
        <f aca="false">IF($M376="","",$M376-기준정보!$C$4)</f>
        <v>56</v>
      </c>
      <c r="O376" s="27" t="s">
        <v>71</v>
      </c>
      <c r="P376" s="27" t="s">
        <v>71</v>
      </c>
      <c r="Q376" s="30"/>
      <c r="R376" s="26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S376" s="25" t="s">
        <v>153</v>
      </c>
      <c r="T376" s="25" t="s">
        <v>154</v>
      </c>
      <c r="U376" s="31" t="n">
        <v>2000</v>
      </c>
      <c r="V376" s="26"/>
      <c r="W376" s="26" t="str">
        <f aca="false">IF($K376="","출고일 미정",IF($O376="X","작지 미발행",IF($O376="부분","작지 일부 미발행",IF(AND($Q376&lt;&gt;"",$Q376&gt;$M376),"소재입고 마감("&amp;TEXT($M376,"MM/DD")&amp;") 초과",IF($O376="","발행여부 확인 필요",IF($Q376="","소재 입고일정 확인 필요","정상"))))))</f>
        <v>작지 미발행</v>
      </c>
      <c r="X376" s="24" t="str">
        <f aca="false">IF($K376="","",IF(OR(LEFT($W376,2)="작지",LEFT($W376,4)="소재입고"),IF(LEFT($G376,1)="S","★ 납기위험(S코드)","◆ 지연주의"),IF($W376="정상","✓ 정상","? 확인필요")))</f>
        <v>◆ 지연주의</v>
      </c>
      <c r="Y376" s="27"/>
      <c r="Z376" s="32"/>
    </row>
    <row r="377" customFormat="false" ht="15" hidden="false" customHeight="false" outlineLevel="0" collapsed="false">
      <c r="A377" s="24" t="n">
        <v>373</v>
      </c>
      <c r="B377" s="25" t="s">
        <v>688</v>
      </c>
      <c r="C377" s="25" t="s">
        <v>689</v>
      </c>
      <c r="D377" s="26" t="s">
        <v>1130</v>
      </c>
      <c r="E377" s="25" t="s">
        <v>1131</v>
      </c>
      <c r="F377" s="26" t="s">
        <v>1132</v>
      </c>
      <c r="G377" s="24" t="str">
        <f aca="false">IF($D377="","",IF(MID($D377,5,1)="S","S(봄)",IF(MID($D377,5,1)="M","M(여름)",IF(MID($D377,5,1)="X","X(사계절)",MID($D377,5,1)))))</f>
        <v>X(사계절)</v>
      </c>
      <c r="H377" s="26" t="s">
        <v>197</v>
      </c>
      <c r="I377" s="24" t="s">
        <v>216</v>
      </c>
      <c r="J377" s="27" t="s">
        <v>136</v>
      </c>
      <c r="K377" s="28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8" t="n">
        <f aca="false">IF($K377="","",$K377-기준정보!$C$5)</f>
        <v>46388</v>
      </c>
      <c r="M377" s="28" t="n">
        <f aca="false">IF($L377="","",$L377-기준정보!$C$6)</f>
        <v>46298</v>
      </c>
      <c r="N377" s="29" t="n">
        <f aca="false">IF($M377="","",$M377-기준정보!$C$4)</f>
        <v>56</v>
      </c>
      <c r="O377" s="27" t="s">
        <v>71</v>
      </c>
      <c r="P377" s="27" t="s">
        <v>70</v>
      </c>
      <c r="Q377" s="30"/>
      <c r="R377" s="26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S377" s="25" t="s">
        <v>692</v>
      </c>
      <c r="T377" s="25" t="s">
        <v>154</v>
      </c>
      <c r="U377" s="31" t="n">
        <v>7000</v>
      </c>
      <c r="V377" s="26"/>
      <c r="W377" s="26" t="str">
        <f aca="false">IF($K377="","출고일 미정",IF($O377="X","작지 미발행",IF($O377="부분","작지 일부 미발행",IF(AND($Q377&lt;&gt;"",$Q377&gt;$M377),"소재입고 마감("&amp;TEXT($M377,"MM/DD")&amp;") 초과",IF($O377="","발행여부 확인 필요",IF($Q377="","소재 입고일정 확인 필요","정상"))))))</f>
        <v>작지 미발행</v>
      </c>
      <c r="X377" s="24" t="str">
        <f aca="false">IF($K377="","",IF(OR(LEFT($W377,2)="작지",LEFT($W377,4)="소재입고"),IF(LEFT($G377,1)="S","★ 납기위험(S코드)","◆ 지연주의"),IF($W377="정상","✓ 정상","? 확인필요")))</f>
        <v>◆ 지연주의</v>
      </c>
      <c r="Y377" s="27"/>
      <c r="Z377" s="32"/>
    </row>
    <row r="378" customFormat="false" ht="15" hidden="false" customHeight="false" outlineLevel="0" collapsed="false">
      <c r="A378" s="24" t="n">
        <v>374</v>
      </c>
      <c r="B378" s="25" t="s">
        <v>688</v>
      </c>
      <c r="C378" s="25" t="s">
        <v>689</v>
      </c>
      <c r="D378" s="26" t="s">
        <v>1133</v>
      </c>
      <c r="E378" s="25" t="s">
        <v>1134</v>
      </c>
      <c r="F378" s="26" t="s">
        <v>1135</v>
      </c>
      <c r="G378" s="24" t="str">
        <f aca="false">IF($D378="","",IF(MID($D378,5,1)="S","S(봄)",IF(MID($D378,5,1)="M","M(여름)",IF(MID($D378,5,1)="X","X(사계절)",MID($D378,5,1)))))</f>
        <v>X(사계절)</v>
      </c>
      <c r="H378" s="26" t="s">
        <v>197</v>
      </c>
      <c r="I378" s="24" t="s">
        <v>216</v>
      </c>
      <c r="J378" s="27" t="s">
        <v>136</v>
      </c>
      <c r="K378" s="28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8" t="n">
        <f aca="false">IF($K378="","",$K378-기준정보!$C$5)</f>
        <v>46388</v>
      </c>
      <c r="M378" s="28" t="n">
        <f aca="false">IF($L378="","",$L378-기준정보!$C$6)</f>
        <v>46298</v>
      </c>
      <c r="N378" s="29" t="n">
        <f aca="false">IF($M378="","",$M378-기준정보!$C$4)</f>
        <v>56</v>
      </c>
      <c r="O378" s="27" t="s">
        <v>71</v>
      </c>
      <c r="P378" s="27" t="s">
        <v>70</v>
      </c>
      <c r="Q378" s="30"/>
      <c r="R378" s="26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S378" s="25" t="s">
        <v>692</v>
      </c>
      <c r="T378" s="25" t="s">
        <v>154</v>
      </c>
      <c r="U378" s="31" t="n">
        <v>6000</v>
      </c>
      <c r="V378" s="26"/>
      <c r="W378" s="26" t="str">
        <f aca="false">IF($K378="","출고일 미정",IF($O378="X","작지 미발행",IF($O378="부분","작지 일부 미발행",IF(AND($Q378&lt;&gt;"",$Q378&gt;$M378),"소재입고 마감("&amp;TEXT($M378,"MM/DD")&amp;") 초과",IF($O378="","발행여부 확인 필요",IF($Q378="","소재 입고일정 확인 필요","정상"))))))</f>
        <v>작지 미발행</v>
      </c>
      <c r="X378" s="24" t="str">
        <f aca="false">IF($K378="","",IF(OR(LEFT($W378,2)="작지",LEFT($W378,4)="소재입고"),IF(LEFT($G378,1)="S","★ 납기위험(S코드)","◆ 지연주의"),IF($W378="정상","✓ 정상","? 확인필요")))</f>
        <v>◆ 지연주의</v>
      </c>
      <c r="Y378" s="27"/>
      <c r="Z378" s="32"/>
    </row>
    <row r="379" customFormat="false" ht="15" hidden="false" customHeight="false" outlineLevel="0" collapsed="false">
      <c r="A379" s="24" t="n">
        <v>375</v>
      </c>
      <c r="B379" s="25" t="s">
        <v>688</v>
      </c>
      <c r="C379" s="25" t="s">
        <v>689</v>
      </c>
      <c r="D379" s="26" t="s">
        <v>1136</v>
      </c>
      <c r="E379" s="25" t="s">
        <v>1137</v>
      </c>
      <c r="F379" s="26" t="s">
        <v>1138</v>
      </c>
      <c r="G379" s="24" t="str">
        <f aca="false">IF($D379="","",IF(MID($D379,5,1)="S","S(봄)",IF(MID($D379,5,1)="M","M(여름)",IF(MID($D379,5,1)="X","X(사계절)",MID($D379,5,1)))))</f>
        <v>X(사계절)</v>
      </c>
      <c r="H379" s="26" t="s">
        <v>197</v>
      </c>
      <c r="I379" s="24" t="s">
        <v>216</v>
      </c>
      <c r="J379" s="27" t="s">
        <v>136</v>
      </c>
      <c r="K379" s="28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8" t="n">
        <f aca="false">IF($K379="","",$K379-기준정보!$C$5)</f>
        <v>46388</v>
      </c>
      <c r="M379" s="28" t="n">
        <f aca="false">IF($L379="","",$L379-기준정보!$C$6)</f>
        <v>46298</v>
      </c>
      <c r="N379" s="29" t="n">
        <f aca="false">IF($M379="","",$M379-기준정보!$C$4)</f>
        <v>56</v>
      </c>
      <c r="O379" s="27" t="s">
        <v>71</v>
      </c>
      <c r="P379" s="27" t="s">
        <v>70</v>
      </c>
      <c r="Q379" s="30"/>
      <c r="R379" s="26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S379" s="25" t="s">
        <v>692</v>
      </c>
      <c r="T379" s="25" t="s">
        <v>154</v>
      </c>
      <c r="U379" s="31" t="n">
        <v>10000</v>
      </c>
      <c r="V379" s="26"/>
      <c r="W379" s="26" t="str">
        <f aca="false">IF($K379="","출고일 미정",IF($O379="X","작지 미발행",IF($O379="부분","작지 일부 미발행",IF(AND($Q379&lt;&gt;"",$Q379&gt;$M379),"소재입고 마감("&amp;TEXT($M379,"MM/DD")&amp;") 초과",IF($O379="","발행여부 확인 필요",IF($Q379="","소재 입고일정 확인 필요","정상"))))))</f>
        <v>작지 미발행</v>
      </c>
      <c r="X379" s="24" t="str">
        <f aca="false">IF($K379="","",IF(OR(LEFT($W379,2)="작지",LEFT($W379,4)="소재입고"),IF(LEFT($G379,1)="S","★ 납기위험(S코드)","◆ 지연주의"),IF($W379="정상","✓ 정상","? 확인필요")))</f>
        <v>◆ 지연주의</v>
      </c>
      <c r="Y379" s="27"/>
      <c r="Z379" s="32"/>
    </row>
    <row r="380" customFormat="false" ht="15" hidden="false" customHeight="false" outlineLevel="0" collapsed="false">
      <c r="A380" s="24" t="n">
        <v>376</v>
      </c>
      <c r="B380" s="25" t="s">
        <v>688</v>
      </c>
      <c r="C380" s="25" t="s">
        <v>689</v>
      </c>
      <c r="D380" s="26" t="s">
        <v>1139</v>
      </c>
      <c r="E380" s="25" t="s">
        <v>1140</v>
      </c>
      <c r="F380" s="26" t="s">
        <v>1141</v>
      </c>
      <c r="G380" s="24" t="str">
        <f aca="false">IF($D380="","",IF(MID($D380,5,1)="S","S(봄)",IF(MID($D380,5,1)="M","M(여름)",IF(MID($D380,5,1)="X","X(사계절)",MID($D380,5,1)))))</f>
        <v>X(사계절)</v>
      </c>
      <c r="H380" s="26" t="s">
        <v>197</v>
      </c>
      <c r="I380" s="24" t="s">
        <v>216</v>
      </c>
      <c r="J380" s="27" t="s">
        <v>136</v>
      </c>
      <c r="K380" s="28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8" t="n">
        <f aca="false">IF($K380="","",$K380-기준정보!$C$5)</f>
        <v>46388</v>
      </c>
      <c r="M380" s="28" t="n">
        <f aca="false">IF($L380="","",$L380-기준정보!$C$6)</f>
        <v>46298</v>
      </c>
      <c r="N380" s="29" t="n">
        <f aca="false">IF($M380="","",$M380-기준정보!$C$4)</f>
        <v>56</v>
      </c>
      <c r="O380" s="27" t="s">
        <v>71</v>
      </c>
      <c r="P380" s="27" t="s">
        <v>70</v>
      </c>
      <c r="Q380" s="30"/>
      <c r="R380" s="26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S380" s="25" t="s">
        <v>692</v>
      </c>
      <c r="T380" s="25" t="s">
        <v>154</v>
      </c>
      <c r="U380" s="31" t="n">
        <v>5500</v>
      </c>
      <c r="V380" s="26"/>
      <c r="W380" s="26" t="str">
        <f aca="false">IF($K380="","출고일 미정",IF($O380="X","작지 미발행",IF($O380="부분","작지 일부 미발행",IF(AND($Q380&lt;&gt;"",$Q380&gt;$M380),"소재입고 마감("&amp;TEXT($M380,"MM/DD")&amp;") 초과",IF($O380="","발행여부 확인 필요",IF($Q380="","소재 입고일정 확인 필요","정상"))))))</f>
        <v>작지 미발행</v>
      </c>
      <c r="X380" s="24" t="str">
        <f aca="false">IF($K380="","",IF(OR(LEFT($W380,2)="작지",LEFT($W380,4)="소재입고"),IF(LEFT($G380,1)="S","★ 납기위험(S코드)","◆ 지연주의"),IF($W380="정상","✓ 정상","? 확인필요")))</f>
        <v>◆ 지연주의</v>
      </c>
      <c r="Y380" s="27"/>
      <c r="Z380" s="32"/>
    </row>
    <row r="381" customFormat="false" ht="15" hidden="false" customHeight="false" outlineLevel="0" collapsed="false">
      <c r="A381" s="24" t="n">
        <v>377</v>
      </c>
      <c r="B381" s="25" t="s">
        <v>212</v>
      </c>
      <c r="C381" s="25" t="s">
        <v>483</v>
      </c>
      <c r="D381" s="26" t="s">
        <v>1142</v>
      </c>
      <c r="E381" s="25" t="s">
        <v>1143</v>
      </c>
      <c r="F381" s="26" t="s">
        <v>148</v>
      </c>
      <c r="G381" s="24" t="str">
        <f aca="false">IF($D381="","",IF(MID($D381,5,1)="S","S(봄)",IF(MID($D381,5,1)="M","M(여름)",IF(MID($D381,5,1)="X","X(사계절)",MID($D381,5,1)))))</f>
        <v>X(사계절)</v>
      </c>
      <c r="H381" s="25" t="s">
        <v>67</v>
      </c>
      <c r="I381" s="24"/>
      <c r="J381" s="27" t="s">
        <v>296</v>
      </c>
      <c r="K381" s="28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8" t="n">
        <f aca="false">IF($K381="","",$K381-기준정보!$C$5)</f>
        <v>46395</v>
      </c>
      <c r="M381" s="28" t="n">
        <f aca="false">IF($L381="","",$L381-기준정보!$C$6)</f>
        <v>46305</v>
      </c>
      <c r="N381" s="29" t="n">
        <f aca="false">IF($M381="","",$M381-기준정보!$C$4)</f>
        <v>63</v>
      </c>
      <c r="O381" s="27" t="s">
        <v>71</v>
      </c>
      <c r="P381" s="27" t="s">
        <v>70</v>
      </c>
      <c r="Q381" s="30"/>
      <c r="R381" s="26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S381" s="25" t="s">
        <v>1144</v>
      </c>
      <c r="T381" s="25" t="s">
        <v>73</v>
      </c>
      <c r="U381" s="31" t="n">
        <v>440</v>
      </c>
      <c r="V381" s="26" t="s">
        <v>296</v>
      </c>
      <c r="W381" s="26" t="str">
        <f aca="false">IF($K381="","출고일 미정",IF($O381="X","작지 미발행",IF($O381="부분","작지 일부 미발행",IF(AND($Q381&lt;&gt;"",$Q381&gt;$M381),"소재입고 마감("&amp;TEXT($M381,"MM/DD")&amp;") 초과",IF($O381="","발행여부 확인 필요",IF($Q381="","소재 입고일정 확인 필요","정상"))))))</f>
        <v>작지 미발행</v>
      </c>
      <c r="X381" s="24" t="str">
        <f aca="false">IF($K381="","",IF(OR(LEFT($W381,2)="작지",LEFT($W381,4)="소재입고"),IF(LEFT($G381,1)="S","★ 납기위험(S코드)","◆ 지연주의"),IF($W381="정상","✓ 정상","? 확인필요")))</f>
        <v>◆ 지연주의</v>
      </c>
      <c r="Y381" s="27"/>
      <c r="Z381" s="32"/>
    </row>
    <row r="382" customFormat="false" ht="15" hidden="false" customHeight="false" outlineLevel="0" collapsed="false">
      <c r="A382" s="24" t="n">
        <v>378</v>
      </c>
      <c r="B382" s="25" t="s">
        <v>212</v>
      </c>
      <c r="C382" s="25" t="s">
        <v>483</v>
      </c>
      <c r="D382" s="26" t="s">
        <v>1145</v>
      </c>
      <c r="E382" s="25" t="s">
        <v>1146</v>
      </c>
      <c r="F382" s="26" t="s">
        <v>148</v>
      </c>
      <c r="G382" s="24" t="str">
        <f aca="false">IF($D382="","",IF(MID($D382,5,1)="S","S(봄)",IF(MID($D382,5,1)="M","M(여름)",IF(MID($D382,5,1)="X","X(사계절)",MID($D382,5,1)))))</f>
        <v>X(사계절)</v>
      </c>
      <c r="H382" s="25" t="s">
        <v>67</v>
      </c>
      <c r="I382" s="24"/>
      <c r="J382" s="27" t="s">
        <v>296</v>
      </c>
      <c r="K382" s="28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8" t="n">
        <f aca="false">IF($K382="","",$K382-기준정보!$C$5)</f>
        <v>46395</v>
      </c>
      <c r="M382" s="28" t="n">
        <f aca="false">IF($L382="","",$L382-기준정보!$C$6)</f>
        <v>46305</v>
      </c>
      <c r="N382" s="29" t="n">
        <f aca="false">IF($M382="","",$M382-기준정보!$C$4)</f>
        <v>63</v>
      </c>
      <c r="O382" s="27" t="s">
        <v>71</v>
      </c>
      <c r="P382" s="27" t="s">
        <v>70</v>
      </c>
      <c r="Q382" s="30"/>
      <c r="R382" s="26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S382" s="25" t="s">
        <v>1144</v>
      </c>
      <c r="T382" s="25" t="s">
        <v>73</v>
      </c>
      <c r="U382" s="31" t="n">
        <v>300</v>
      </c>
      <c r="V382" s="26" t="s">
        <v>296</v>
      </c>
      <c r="W382" s="26" t="str">
        <f aca="false">IF($K382="","출고일 미정",IF($O382="X","작지 미발행",IF($O382="부분","작지 일부 미발행",IF(AND($Q382&lt;&gt;"",$Q382&gt;$M382),"소재입고 마감("&amp;TEXT($M382,"MM/DD")&amp;") 초과",IF($O382="","발행여부 확인 필요",IF($Q382="","소재 입고일정 확인 필요","정상"))))))</f>
        <v>작지 미발행</v>
      </c>
      <c r="X382" s="24" t="str">
        <f aca="false">IF($K382="","",IF(OR(LEFT($W382,2)="작지",LEFT($W382,4)="소재입고"),IF(LEFT($G382,1)="S","★ 납기위험(S코드)","◆ 지연주의"),IF($W382="정상","✓ 정상","? 확인필요")))</f>
        <v>◆ 지연주의</v>
      </c>
      <c r="Y382" s="27"/>
      <c r="Z382" s="32"/>
    </row>
    <row r="383" customFormat="false" ht="15" hidden="false" customHeight="false" outlineLevel="0" collapsed="false">
      <c r="A383" s="24" t="n">
        <v>379</v>
      </c>
      <c r="B383" s="25" t="s">
        <v>212</v>
      </c>
      <c r="C383" s="25" t="s">
        <v>483</v>
      </c>
      <c r="D383" s="26" t="s">
        <v>1147</v>
      </c>
      <c r="E383" s="25" t="s">
        <v>1148</v>
      </c>
      <c r="F383" s="26" t="s">
        <v>1149</v>
      </c>
      <c r="G383" s="24" t="str">
        <f aca="false">IF($D383="","",IF(MID($D383,5,1)="S","S(봄)",IF(MID($D383,5,1)="M","M(여름)",IF(MID($D383,5,1)="X","X(사계절)",MID($D383,5,1)))))</f>
        <v>X(사계절)</v>
      </c>
      <c r="H383" s="25" t="s">
        <v>67</v>
      </c>
      <c r="I383" s="24"/>
      <c r="J383" s="27" t="s">
        <v>296</v>
      </c>
      <c r="K383" s="28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8" t="n">
        <f aca="false">IF($K383="","",$K383-기준정보!$C$5)</f>
        <v>46395</v>
      </c>
      <c r="M383" s="28" t="n">
        <f aca="false">IF($L383="","",$L383-기준정보!$C$6)</f>
        <v>46305</v>
      </c>
      <c r="N383" s="29" t="n">
        <f aca="false">IF($M383="","",$M383-기준정보!$C$4)</f>
        <v>63</v>
      </c>
      <c r="O383" s="27" t="s">
        <v>71</v>
      </c>
      <c r="P383" s="27" t="s">
        <v>71</v>
      </c>
      <c r="Q383" s="30"/>
      <c r="R383" s="26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S383" s="25" t="s">
        <v>1105</v>
      </c>
      <c r="T383" s="25" t="s">
        <v>119</v>
      </c>
      <c r="U383" s="31" t="n">
        <v>1800</v>
      </c>
      <c r="V383" s="26"/>
      <c r="W383" s="26" t="str">
        <f aca="false">IF($K383="","출고일 미정",IF($O383="X","작지 미발행",IF($O383="부분","작지 일부 미발행",IF(AND($Q383&lt;&gt;"",$Q383&gt;$M383),"소재입고 마감("&amp;TEXT($M383,"MM/DD")&amp;") 초과",IF($O383="","발행여부 확인 필요",IF($Q383="","소재 입고일정 확인 필요","정상"))))))</f>
        <v>작지 미발행</v>
      </c>
      <c r="X383" s="24" t="str">
        <f aca="false">IF($K383="","",IF(OR(LEFT($W383,2)="작지",LEFT($W383,4)="소재입고"),IF(LEFT($G383,1)="S","★ 납기위험(S코드)","◆ 지연주의"),IF($W383="정상","✓ 정상","? 확인필요")))</f>
        <v>◆ 지연주의</v>
      </c>
      <c r="Y383" s="27"/>
      <c r="Z383" s="32"/>
    </row>
    <row r="384" customFormat="false" ht="15" hidden="false" customHeight="false" outlineLevel="0" collapsed="false">
      <c r="A384" s="24" t="n">
        <v>380</v>
      </c>
      <c r="B384" s="25" t="s">
        <v>212</v>
      </c>
      <c r="C384" s="25" t="s">
        <v>483</v>
      </c>
      <c r="D384" s="26" t="s">
        <v>1150</v>
      </c>
      <c r="E384" s="25" t="s">
        <v>1151</v>
      </c>
      <c r="F384" s="26" t="s">
        <v>1152</v>
      </c>
      <c r="G384" s="24" t="str">
        <f aca="false">IF($D384="","",IF(MID($D384,5,1)="S","S(봄)",IF(MID($D384,5,1)="M","M(여름)",IF(MID($D384,5,1)="X","X(사계절)",MID($D384,5,1)))))</f>
        <v>X(사계절)</v>
      </c>
      <c r="H384" s="25" t="s">
        <v>67</v>
      </c>
      <c r="I384" s="24"/>
      <c r="J384" s="27" t="s">
        <v>296</v>
      </c>
      <c r="K384" s="28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8" t="n">
        <f aca="false">IF($K384="","",$K384-기준정보!$C$5)</f>
        <v>46395</v>
      </c>
      <c r="M384" s="28" t="n">
        <f aca="false">IF($L384="","",$L384-기준정보!$C$6)</f>
        <v>46305</v>
      </c>
      <c r="N384" s="29" t="n">
        <f aca="false">IF($M384="","",$M384-기준정보!$C$4)</f>
        <v>63</v>
      </c>
      <c r="O384" s="27" t="s">
        <v>71</v>
      </c>
      <c r="P384" s="27" t="s">
        <v>71</v>
      </c>
      <c r="Q384" s="30"/>
      <c r="R384" s="26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S384" s="25" t="s">
        <v>1105</v>
      </c>
      <c r="T384" s="25" t="s">
        <v>119</v>
      </c>
      <c r="U384" s="31" t="n">
        <v>1000</v>
      </c>
      <c r="V384" s="26"/>
      <c r="W384" s="26" t="str">
        <f aca="false">IF($K384="","출고일 미정",IF($O384="X","작지 미발행",IF($O384="부분","작지 일부 미발행",IF(AND($Q384&lt;&gt;"",$Q384&gt;$M384),"소재입고 마감("&amp;TEXT($M384,"MM/DD")&amp;") 초과",IF($O384="","발행여부 확인 필요",IF($Q384="","소재 입고일정 확인 필요","정상"))))))</f>
        <v>작지 미발행</v>
      </c>
      <c r="X384" s="24" t="str">
        <f aca="false">IF($K384="","",IF(OR(LEFT($W384,2)="작지",LEFT($W384,4)="소재입고"),IF(LEFT($G384,1)="S","★ 납기위험(S코드)","◆ 지연주의"),IF($W384="정상","✓ 정상","? 확인필요")))</f>
        <v>◆ 지연주의</v>
      </c>
      <c r="Y384" s="27"/>
      <c r="Z384" s="32"/>
    </row>
    <row r="385" customFormat="false" ht="15" hidden="false" customHeight="false" outlineLevel="0" collapsed="false">
      <c r="A385" s="24" t="n">
        <v>381</v>
      </c>
      <c r="B385" s="25" t="s">
        <v>212</v>
      </c>
      <c r="C385" s="25" t="s">
        <v>483</v>
      </c>
      <c r="D385" s="26" t="s">
        <v>1153</v>
      </c>
      <c r="E385" s="25" t="s">
        <v>1154</v>
      </c>
      <c r="F385" s="26" t="s">
        <v>1155</v>
      </c>
      <c r="G385" s="24" t="str">
        <f aca="false">IF($D385="","",IF(MID($D385,5,1)="S","S(봄)",IF(MID($D385,5,1)="M","M(여름)",IF(MID($D385,5,1)="X","X(사계절)",MID($D385,5,1)))))</f>
        <v>X(사계절)</v>
      </c>
      <c r="H385" s="25" t="s">
        <v>67</v>
      </c>
      <c r="I385" s="24"/>
      <c r="J385" s="27" t="s">
        <v>296</v>
      </c>
      <c r="K385" s="28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8" t="n">
        <f aca="false">IF($K385="","",$K385-기준정보!$C$5)</f>
        <v>46395</v>
      </c>
      <c r="M385" s="28" t="n">
        <f aca="false">IF($L385="","",$L385-기준정보!$C$6)</f>
        <v>46305</v>
      </c>
      <c r="N385" s="29" t="n">
        <f aca="false">IF($M385="","",$M385-기준정보!$C$4)</f>
        <v>63</v>
      </c>
      <c r="O385" s="27" t="s">
        <v>71</v>
      </c>
      <c r="P385" s="27" t="s">
        <v>71</v>
      </c>
      <c r="Q385" s="30"/>
      <c r="R385" s="26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S385" s="25" t="s">
        <v>1105</v>
      </c>
      <c r="T385" s="25" t="s">
        <v>119</v>
      </c>
      <c r="U385" s="31" t="n">
        <v>1600</v>
      </c>
      <c r="V385" s="26" t="s">
        <v>296</v>
      </c>
      <c r="W385" s="26" t="str">
        <f aca="false">IF($K385="","출고일 미정",IF($O385="X","작지 미발행",IF($O385="부분","작지 일부 미발행",IF(AND($Q385&lt;&gt;"",$Q385&gt;$M385),"소재입고 마감("&amp;TEXT($M385,"MM/DD")&amp;") 초과",IF($O385="","발행여부 확인 필요",IF($Q385="","소재 입고일정 확인 필요","정상"))))))</f>
        <v>작지 미발행</v>
      </c>
      <c r="X385" s="24" t="str">
        <f aca="false">IF($K385="","",IF(OR(LEFT($W385,2)="작지",LEFT($W385,4)="소재입고"),IF(LEFT($G385,1)="S","★ 납기위험(S코드)","◆ 지연주의"),IF($W385="정상","✓ 정상","? 확인필요")))</f>
        <v>◆ 지연주의</v>
      </c>
      <c r="Y385" s="27"/>
      <c r="Z385" s="32"/>
    </row>
    <row r="386" customFormat="false" ht="15" hidden="false" customHeight="false" outlineLevel="0" collapsed="false">
      <c r="A386" s="24" t="n">
        <v>382</v>
      </c>
      <c r="B386" s="25" t="s">
        <v>212</v>
      </c>
      <c r="C386" s="25" t="s">
        <v>483</v>
      </c>
      <c r="D386" s="26" t="s">
        <v>1156</v>
      </c>
      <c r="E386" s="25" t="s">
        <v>1157</v>
      </c>
      <c r="F386" s="26" t="s">
        <v>1158</v>
      </c>
      <c r="G386" s="24" t="str">
        <f aca="false">IF($D386="","",IF(MID($D386,5,1)="S","S(봄)",IF(MID($D386,5,1)="M","M(여름)",IF(MID($D386,5,1)="X","X(사계절)",MID($D386,5,1)))))</f>
        <v>X(사계절)</v>
      </c>
      <c r="H386" s="25" t="s">
        <v>67</v>
      </c>
      <c r="I386" s="24"/>
      <c r="J386" s="27" t="s">
        <v>296</v>
      </c>
      <c r="K386" s="28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8" t="n">
        <f aca="false">IF($K386="","",$K386-기준정보!$C$5)</f>
        <v>46395</v>
      </c>
      <c r="M386" s="28" t="n">
        <f aca="false">IF($L386="","",$L386-기준정보!$C$6)</f>
        <v>46305</v>
      </c>
      <c r="N386" s="29" t="n">
        <f aca="false">IF($M386="","",$M386-기준정보!$C$4)</f>
        <v>63</v>
      </c>
      <c r="O386" s="27" t="s">
        <v>71</v>
      </c>
      <c r="P386" s="27" t="s">
        <v>71</v>
      </c>
      <c r="Q386" s="30"/>
      <c r="R386" s="26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S386" s="25" t="s">
        <v>1105</v>
      </c>
      <c r="T386" s="25" t="s">
        <v>119</v>
      </c>
      <c r="U386" s="31" t="n">
        <v>400</v>
      </c>
      <c r="V386" s="26" t="s">
        <v>296</v>
      </c>
      <c r="W386" s="26" t="str">
        <f aca="false">IF($K386="","출고일 미정",IF($O386="X","작지 미발행",IF($O386="부분","작지 일부 미발행",IF(AND($Q386&lt;&gt;"",$Q386&gt;$M386),"소재입고 마감("&amp;TEXT($M386,"MM/DD")&amp;") 초과",IF($O386="","발행여부 확인 필요",IF($Q386="","소재 입고일정 확인 필요","정상"))))))</f>
        <v>작지 미발행</v>
      </c>
      <c r="X386" s="24" t="str">
        <f aca="false">IF($K386="","",IF(OR(LEFT($W386,2)="작지",LEFT($W386,4)="소재입고"),IF(LEFT($G386,1)="S","★ 납기위험(S코드)","◆ 지연주의"),IF($W386="정상","✓ 정상","? 확인필요")))</f>
        <v>◆ 지연주의</v>
      </c>
      <c r="Y386" s="27"/>
      <c r="Z386" s="32"/>
    </row>
    <row r="387" customFormat="false" ht="15" hidden="false" customHeight="false" outlineLevel="0" collapsed="false">
      <c r="A387" s="24" t="n">
        <v>383</v>
      </c>
      <c r="B387" s="25" t="s">
        <v>212</v>
      </c>
      <c r="C387" s="25" t="s">
        <v>483</v>
      </c>
      <c r="D387" s="26" t="s">
        <v>1159</v>
      </c>
      <c r="E387" s="25" t="s">
        <v>1160</v>
      </c>
      <c r="F387" s="26" t="s">
        <v>1161</v>
      </c>
      <c r="G387" s="24" t="str">
        <f aca="false">IF($D387="","",IF(MID($D387,5,1)="S","S(봄)",IF(MID($D387,5,1)="M","M(여름)",IF(MID($D387,5,1)="X","X(사계절)",MID($D387,5,1)))))</f>
        <v>X(사계절)</v>
      </c>
      <c r="H387" s="25" t="s">
        <v>67</v>
      </c>
      <c r="I387" s="24"/>
      <c r="J387" s="27" t="s">
        <v>296</v>
      </c>
      <c r="K387" s="28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8" t="n">
        <f aca="false">IF($K387="","",$K387-기준정보!$C$5)</f>
        <v>46395</v>
      </c>
      <c r="M387" s="28" t="n">
        <f aca="false">IF($L387="","",$L387-기준정보!$C$6)</f>
        <v>46305</v>
      </c>
      <c r="N387" s="29" t="n">
        <f aca="false">IF($M387="","",$M387-기준정보!$C$4)</f>
        <v>63</v>
      </c>
      <c r="O387" s="27" t="s">
        <v>71</v>
      </c>
      <c r="P387" s="27" t="s">
        <v>71</v>
      </c>
      <c r="Q387" s="30"/>
      <c r="R387" s="26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S387" s="25" t="s">
        <v>1105</v>
      </c>
      <c r="T387" s="25" t="s">
        <v>119</v>
      </c>
      <c r="U387" s="31" t="n">
        <v>3700</v>
      </c>
      <c r="V387" s="26" t="s">
        <v>296</v>
      </c>
      <c r="W387" s="26" t="str">
        <f aca="false">IF($K387="","출고일 미정",IF($O387="X","작지 미발행",IF($O387="부분","작지 일부 미발행",IF(AND($Q387&lt;&gt;"",$Q387&gt;$M387),"소재입고 마감("&amp;TEXT($M387,"MM/DD")&amp;") 초과",IF($O387="","발행여부 확인 필요",IF($Q387="","소재 입고일정 확인 필요","정상"))))))</f>
        <v>작지 미발행</v>
      </c>
      <c r="X387" s="24" t="str">
        <f aca="false">IF($K387="","",IF(OR(LEFT($W387,2)="작지",LEFT($W387,4)="소재입고"),IF(LEFT($G387,1)="S","★ 납기위험(S코드)","◆ 지연주의"),IF($W387="정상","✓ 정상","? 확인필요")))</f>
        <v>◆ 지연주의</v>
      </c>
      <c r="Y387" s="27"/>
      <c r="Z387" s="32"/>
    </row>
    <row r="388" customFormat="false" ht="15" hidden="false" customHeight="false" outlineLevel="0" collapsed="false">
      <c r="A388" s="24" t="n">
        <v>384</v>
      </c>
      <c r="B388" s="25" t="s">
        <v>212</v>
      </c>
      <c r="C388" s="25" t="s">
        <v>483</v>
      </c>
      <c r="D388" s="26" t="s">
        <v>1162</v>
      </c>
      <c r="E388" s="25" t="s">
        <v>1163</v>
      </c>
      <c r="F388" s="26" t="s">
        <v>1164</v>
      </c>
      <c r="G388" s="24" t="str">
        <f aca="false">IF($D388="","",IF(MID($D388,5,1)="S","S(봄)",IF(MID($D388,5,1)="M","M(여름)",IF(MID($D388,5,1)="X","X(사계절)",MID($D388,5,1)))))</f>
        <v>X(사계절)</v>
      </c>
      <c r="H388" s="25" t="s">
        <v>67</v>
      </c>
      <c r="I388" s="24" t="s">
        <v>71</v>
      </c>
      <c r="J388" s="27" t="s">
        <v>296</v>
      </c>
      <c r="K388" s="28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8" t="n">
        <f aca="false">IF($K388="","",$K388-기준정보!$C$5)</f>
        <v>46395</v>
      </c>
      <c r="M388" s="28" t="n">
        <f aca="false">IF($L388="","",$L388-기준정보!$C$6)</f>
        <v>46305</v>
      </c>
      <c r="N388" s="29" t="n">
        <f aca="false">IF($M388="","",$M388-기준정보!$C$4)</f>
        <v>63</v>
      </c>
      <c r="O388" s="27" t="s">
        <v>71</v>
      </c>
      <c r="P388" s="27" t="s">
        <v>71</v>
      </c>
      <c r="Q388" s="30"/>
      <c r="R388" s="26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S388" s="25" t="s">
        <v>1105</v>
      </c>
      <c r="T388" s="25" t="s">
        <v>119</v>
      </c>
      <c r="U388" s="31" t="n">
        <v>4300</v>
      </c>
      <c r="V388" s="26" t="s">
        <v>296</v>
      </c>
      <c r="W388" s="26" t="str">
        <f aca="false">IF($K388="","출고일 미정",IF($O388="X","작지 미발행",IF($O388="부분","작지 일부 미발행",IF(AND($Q388&lt;&gt;"",$Q388&gt;$M388),"소재입고 마감("&amp;TEXT($M388,"MM/DD")&amp;") 초과",IF($O388="","발행여부 확인 필요",IF($Q388="","소재 입고일정 확인 필요","정상"))))))</f>
        <v>작지 미발행</v>
      </c>
      <c r="X388" s="24" t="str">
        <f aca="false">IF($K388="","",IF(OR(LEFT($W388,2)="작지",LEFT($W388,4)="소재입고"),IF(LEFT($G388,1)="S","★ 납기위험(S코드)","◆ 지연주의"),IF($W388="정상","✓ 정상","? 확인필요")))</f>
        <v>◆ 지연주의</v>
      </c>
      <c r="Y388" s="27"/>
      <c r="Z388" s="32"/>
    </row>
    <row r="389" customFormat="false" ht="15" hidden="false" customHeight="false" outlineLevel="0" collapsed="false">
      <c r="A389" s="24" t="n">
        <v>385</v>
      </c>
      <c r="B389" s="25" t="s">
        <v>212</v>
      </c>
      <c r="C389" s="25" t="s">
        <v>483</v>
      </c>
      <c r="D389" s="26" t="s">
        <v>1165</v>
      </c>
      <c r="E389" s="25" t="s">
        <v>1166</v>
      </c>
      <c r="F389" s="26" t="s">
        <v>1167</v>
      </c>
      <c r="G389" s="24" t="str">
        <f aca="false">IF($D389="","",IF(MID($D389,5,1)="S","S(봄)",IF(MID($D389,5,1)="M","M(여름)",IF(MID($D389,5,1)="X","X(사계절)",MID($D389,5,1)))))</f>
        <v>X(사계절)</v>
      </c>
      <c r="H389" s="25" t="s">
        <v>67</v>
      </c>
      <c r="I389" s="24" t="s">
        <v>71</v>
      </c>
      <c r="J389" s="27" t="s">
        <v>296</v>
      </c>
      <c r="K389" s="28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8" t="n">
        <f aca="false">IF($K389="","",$K389-기준정보!$C$5)</f>
        <v>46395</v>
      </c>
      <c r="M389" s="28" t="n">
        <f aca="false">IF($L389="","",$L389-기준정보!$C$6)</f>
        <v>46305</v>
      </c>
      <c r="N389" s="29" t="n">
        <f aca="false">IF($M389="","",$M389-기준정보!$C$4)</f>
        <v>63</v>
      </c>
      <c r="O389" s="27" t="s">
        <v>71</v>
      </c>
      <c r="P389" s="27" t="s">
        <v>71</v>
      </c>
      <c r="Q389" s="30"/>
      <c r="R389" s="26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S389" s="25" t="s">
        <v>1105</v>
      </c>
      <c r="T389" s="25" t="s">
        <v>119</v>
      </c>
      <c r="U389" s="31" t="n">
        <v>4100</v>
      </c>
      <c r="V389" s="26" t="s">
        <v>296</v>
      </c>
      <c r="W389" s="26" t="str">
        <f aca="false">IF($K389="","출고일 미정",IF($O389="X","작지 미발행",IF($O389="부분","작지 일부 미발행",IF(AND($Q389&lt;&gt;"",$Q389&gt;$M389),"소재입고 마감("&amp;TEXT($M389,"MM/DD")&amp;") 초과",IF($O389="","발행여부 확인 필요",IF($Q389="","소재 입고일정 확인 필요","정상"))))))</f>
        <v>작지 미발행</v>
      </c>
      <c r="X389" s="24" t="str">
        <f aca="false">IF($K389="","",IF(OR(LEFT($W389,2)="작지",LEFT($W389,4)="소재입고"),IF(LEFT($G389,1)="S","★ 납기위험(S코드)","◆ 지연주의"),IF($W389="정상","✓ 정상","? 확인필요")))</f>
        <v>◆ 지연주의</v>
      </c>
      <c r="Y389" s="27"/>
      <c r="Z389" s="32"/>
    </row>
    <row r="390" customFormat="false" ht="15" hidden="false" customHeight="false" outlineLevel="0" collapsed="false">
      <c r="A390" s="24" t="n">
        <v>386</v>
      </c>
      <c r="B390" s="25" t="s">
        <v>212</v>
      </c>
      <c r="C390" s="25" t="s">
        <v>483</v>
      </c>
      <c r="D390" s="26" t="s">
        <v>1168</v>
      </c>
      <c r="E390" s="25" t="s">
        <v>1169</v>
      </c>
      <c r="F390" s="26" t="s">
        <v>1155</v>
      </c>
      <c r="G390" s="24" t="str">
        <f aca="false">IF($D390="","",IF(MID($D390,5,1)="S","S(봄)",IF(MID($D390,5,1)="M","M(여름)",IF(MID($D390,5,1)="X","X(사계절)",MID($D390,5,1)))))</f>
        <v>X(사계절)</v>
      </c>
      <c r="H390" s="25" t="s">
        <v>67</v>
      </c>
      <c r="I390" s="24" t="s">
        <v>71</v>
      </c>
      <c r="J390" s="27" t="s">
        <v>296</v>
      </c>
      <c r="K390" s="28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8" t="n">
        <f aca="false">IF($K390="","",$K390-기준정보!$C$5)</f>
        <v>46395</v>
      </c>
      <c r="M390" s="28" t="n">
        <f aca="false">IF($L390="","",$L390-기준정보!$C$6)</f>
        <v>46305</v>
      </c>
      <c r="N390" s="29" t="n">
        <f aca="false">IF($M390="","",$M390-기준정보!$C$4)</f>
        <v>63</v>
      </c>
      <c r="O390" s="27" t="s">
        <v>71</v>
      </c>
      <c r="P390" s="27" t="s">
        <v>71</v>
      </c>
      <c r="Q390" s="30"/>
      <c r="R390" s="26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S390" s="25" t="s">
        <v>1105</v>
      </c>
      <c r="T390" s="25" t="s">
        <v>119</v>
      </c>
      <c r="U390" s="31" t="n">
        <v>1600</v>
      </c>
      <c r="V390" s="26" t="s">
        <v>296</v>
      </c>
      <c r="W390" s="26" t="str">
        <f aca="false">IF($K390="","출고일 미정",IF($O390="X","작지 미발행",IF($O390="부분","작지 일부 미발행",IF(AND($Q390&lt;&gt;"",$Q390&gt;$M390),"소재입고 마감("&amp;TEXT($M390,"MM/DD")&amp;") 초과",IF($O390="","발행여부 확인 필요",IF($Q390="","소재 입고일정 확인 필요","정상"))))))</f>
        <v>작지 미발행</v>
      </c>
      <c r="X390" s="24" t="str">
        <f aca="false">IF($K390="","",IF(OR(LEFT($W390,2)="작지",LEFT($W390,4)="소재입고"),IF(LEFT($G390,1)="S","★ 납기위험(S코드)","◆ 지연주의"),IF($W390="정상","✓ 정상","? 확인필요")))</f>
        <v>◆ 지연주의</v>
      </c>
      <c r="Y390" s="27"/>
      <c r="Z390" s="32"/>
    </row>
    <row r="391" customFormat="false" ht="15" hidden="false" customHeight="false" outlineLevel="0" collapsed="false">
      <c r="A391" s="24" t="n">
        <v>387</v>
      </c>
      <c r="B391" s="25" t="s">
        <v>212</v>
      </c>
      <c r="C391" s="25" t="s">
        <v>483</v>
      </c>
      <c r="D391" s="26" t="s">
        <v>1170</v>
      </c>
      <c r="E391" s="25" t="s">
        <v>1171</v>
      </c>
      <c r="F391" s="26" t="s">
        <v>148</v>
      </c>
      <c r="G391" s="24" t="str">
        <f aca="false">IF($D391="","",IF(MID($D391,5,1)="S","S(봄)",IF(MID($D391,5,1)="M","M(여름)",IF(MID($D391,5,1)="X","X(사계절)",MID($D391,5,1)))))</f>
        <v>X(사계절)</v>
      </c>
      <c r="H391" s="25" t="s">
        <v>67</v>
      </c>
      <c r="I391" s="24" t="s">
        <v>71</v>
      </c>
      <c r="J391" s="27" t="s">
        <v>296</v>
      </c>
      <c r="K391" s="28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8" t="n">
        <f aca="false">IF($K391="","",$K391-기준정보!$C$5)</f>
        <v>46395</v>
      </c>
      <c r="M391" s="28" t="n">
        <f aca="false">IF($L391="","",$L391-기준정보!$C$6)</f>
        <v>46305</v>
      </c>
      <c r="N391" s="29" t="n">
        <f aca="false">IF($M391="","",$M391-기준정보!$C$4)</f>
        <v>63</v>
      </c>
      <c r="O391" s="27" t="s">
        <v>71</v>
      </c>
      <c r="P391" s="27" t="s">
        <v>71</v>
      </c>
      <c r="Q391" s="30"/>
      <c r="R391" s="26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S391" s="25" t="s">
        <v>1105</v>
      </c>
      <c r="T391" s="25" t="s">
        <v>119</v>
      </c>
      <c r="U391" s="31" t="n">
        <v>1000</v>
      </c>
      <c r="V391" s="26" t="s">
        <v>296</v>
      </c>
      <c r="W391" s="26" t="str">
        <f aca="false">IF($K391="","출고일 미정",IF($O391="X","작지 미발행",IF($O391="부분","작지 일부 미발행",IF(AND($Q391&lt;&gt;"",$Q391&gt;$M391),"소재입고 마감("&amp;TEXT($M391,"MM/DD")&amp;") 초과",IF($O391="","발행여부 확인 필요",IF($Q391="","소재 입고일정 확인 필요","정상"))))))</f>
        <v>작지 미발행</v>
      </c>
      <c r="X391" s="24" t="str">
        <f aca="false">IF($K391="","",IF(OR(LEFT($W391,2)="작지",LEFT($W391,4)="소재입고"),IF(LEFT($G391,1)="S","★ 납기위험(S코드)","◆ 지연주의"),IF($W391="정상","✓ 정상","? 확인필요")))</f>
        <v>◆ 지연주의</v>
      </c>
      <c r="Y391" s="27"/>
      <c r="Z391" s="32"/>
    </row>
    <row r="392" customFormat="false" ht="15" hidden="false" customHeight="false" outlineLevel="0" collapsed="false">
      <c r="A392" s="24" t="n">
        <v>388</v>
      </c>
      <c r="B392" s="25" t="s">
        <v>212</v>
      </c>
      <c r="C392" s="25" t="s">
        <v>483</v>
      </c>
      <c r="D392" s="26" t="s">
        <v>1172</v>
      </c>
      <c r="E392" s="25" t="s">
        <v>1173</v>
      </c>
      <c r="F392" s="26" t="s">
        <v>1174</v>
      </c>
      <c r="G392" s="24" t="str">
        <f aca="false">IF($D392="","",IF(MID($D392,5,1)="S","S(봄)",IF(MID($D392,5,1)="M","M(여름)",IF(MID($D392,5,1)="X","X(사계절)",MID($D392,5,1)))))</f>
        <v>X(사계절)</v>
      </c>
      <c r="H392" s="25" t="s">
        <v>67</v>
      </c>
      <c r="I392" s="24" t="s">
        <v>71</v>
      </c>
      <c r="J392" s="27" t="s">
        <v>296</v>
      </c>
      <c r="K392" s="28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8" t="n">
        <f aca="false">IF($K392="","",$K392-기준정보!$C$5)</f>
        <v>46395</v>
      </c>
      <c r="M392" s="28" t="n">
        <f aca="false">IF($L392="","",$L392-기준정보!$C$6)</f>
        <v>46305</v>
      </c>
      <c r="N392" s="29" t="n">
        <f aca="false">IF($M392="","",$M392-기준정보!$C$4)</f>
        <v>63</v>
      </c>
      <c r="O392" s="27" t="s">
        <v>71</v>
      </c>
      <c r="P392" s="27" t="s">
        <v>71</v>
      </c>
      <c r="Q392" s="30"/>
      <c r="R392" s="26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S392" s="25" t="s">
        <v>1105</v>
      </c>
      <c r="T392" s="25" t="s">
        <v>119</v>
      </c>
      <c r="U392" s="31" t="n">
        <v>1000</v>
      </c>
      <c r="V392" s="26" t="s">
        <v>296</v>
      </c>
      <c r="W392" s="26" t="str">
        <f aca="false">IF($K392="","출고일 미정",IF($O392="X","작지 미발행",IF($O392="부분","작지 일부 미발행",IF(AND($Q392&lt;&gt;"",$Q392&gt;$M392),"소재입고 마감("&amp;TEXT($M392,"MM/DD")&amp;") 초과",IF($O392="","발행여부 확인 필요",IF($Q392="","소재 입고일정 확인 필요","정상"))))))</f>
        <v>작지 미발행</v>
      </c>
      <c r="X392" s="24" t="str">
        <f aca="false">IF($K392="","",IF(OR(LEFT($W392,2)="작지",LEFT($W392,4)="소재입고"),IF(LEFT($G392,1)="S","★ 납기위험(S코드)","◆ 지연주의"),IF($W392="정상","✓ 정상","? 확인필요")))</f>
        <v>◆ 지연주의</v>
      </c>
      <c r="Y392" s="27"/>
      <c r="Z392" s="32"/>
    </row>
    <row r="393" customFormat="false" ht="15" hidden="false" customHeight="false" outlineLevel="0" collapsed="false">
      <c r="A393" s="24" t="n">
        <v>389</v>
      </c>
      <c r="B393" s="25" t="s">
        <v>212</v>
      </c>
      <c r="C393" s="25" t="s">
        <v>483</v>
      </c>
      <c r="D393" s="26" t="s">
        <v>1175</v>
      </c>
      <c r="E393" s="25" t="s">
        <v>1176</v>
      </c>
      <c r="F393" s="26" t="s">
        <v>1152</v>
      </c>
      <c r="G393" s="24" t="str">
        <f aca="false">IF($D393="","",IF(MID($D393,5,1)="S","S(봄)",IF(MID($D393,5,1)="M","M(여름)",IF(MID($D393,5,1)="X","X(사계절)",MID($D393,5,1)))))</f>
        <v>X(사계절)</v>
      </c>
      <c r="H393" s="25" t="s">
        <v>67</v>
      </c>
      <c r="I393" s="24"/>
      <c r="J393" s="27" t="s">
        <v>296</v>
      </c>
      <c r="K393" s="28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8" t="n">
        <f aca="false">IF($K393="","",$K393-기준정보!$C$5)</f>
        <v>46395</v>
      </c>
      <c r="M393" s="28" t="n">
        <f aca="false">IF($L393="","",$L393-기준정보!$C$6)</f>
        <v>46305</v>
      </c>
      <c r="N393" s="29" t="n">
        <f aca="false">IF($M393="","",$M393-기준정보!$C$4)</f>
        <v>63</v>
      </c>
      <c r="O393" s="27" t="s">
        <v>71</v>
      </c>
      <c r="P393" s="27" t="s">
        <v>71</v>
      </c>
      <c r="Q393" s="30"/>
      <c r="R393" s="26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S393" s="25" t="s">
        <v>1105</v>
      </c>
      <c r="T393" s="25" t="s">
        <v>119</v>
      </c>
      <c r="U393" s="31" t="n">
        <v>2500</v>
      </c>
      <c r="V393" s="26"/>
      <c r="W393" s="26" t="str">
        <f aca="false">IF($K393="","출고일 미정",IF($O393="X","작지 미발행",IF($O393="부분","작지 일부 미발행",IF(AND($Q393&lt;&gt;"",$Q393&gt;$M393),"소재입고 마감("&amp;TEXT($M393,"MM/DD")&amp;") 초과",IF($O393="","발행여부 확인 필요",IF($Q393="","소재 입고일정 확인 필요","정상"))))))</f>
        <v>작지 미발행</v>
      </c>
      <c r="X393" s="24" t="str">
        <f aca="false">IF($K393="","",IF(OR(LEFT($W393,2)="작지",LEFT($W393,4)="소재입고"),IF(LEFT($G393,1)="S","★ 납기위험(S코드)","◆ 지연주의"),IF($W393="정상","✓ 정상","? 확인필요")))</f>
        <v>◆ 지연주의</v>
      </c>
      <c r="Y393" s="27"/>
      <c r="Z393" s="32"/>
    </row>
    <row r="394" customFormat="false" ht="15" hidden="false" customHeight="false" outlineLevel="0" collapsed="false">
      <c r="A394" s="24" t="n">
        <v>390</v>
      </c>
      <c r="B394" s="25" t="s">
        <v>212</v>
      </c>
      <c r="C394" s="25" t="s">
        <v>483</v>
      </c>
      <c r="D394" s="26" t="s">
        <v>1177</v>
      </c>
      <c r="E394" s="25" t="s">
        <v>1178</v>
      </c>
      <c r="F394" s="26" t="s">
        <v>723</v>
      </c>
      <c r="G394" s="24" t="str">
        <f aca="false">IF($D394="","",IF(MID($D394,5,1)="S","S(봄)",IF(MID($D394,5,1)="M","M(여름)",IF(MID($D394,5,1)="X","X(사계절)",MID($D394,5,1)))))</f>
        <v>X(사계절)</v>
      </c>
      <c r="H394" s="25" t="s">
        <v>67</v>
      </c>
      <c r="I394" s="24" t="s">
        <v>1179</v>
      </c>
      <c r="J394" s="27" t="s">
        <v>296</v>
      </c>
      <c r="K394" s="28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8" t="n">
        <f aca="false">IF($K394="","",$K394-기준정보!$C$5)</f>
        <v>46395</v>
      </c>
      <c r="M394" s="28" t="n">
        <f aca="false">IF($L394="","",$L394-기준정보!$C$6)</f>
        <v>46305</v>
      </c>
      <c r="N394" s="29" t="n">
        <f aca="false">IF($M394="","",$M394-기준정보!$C$4)</f>
        <v>63</v>
      </c>
      <c r="O394" s="27" t="s">
        <v>71</v>
      </c>
      <c r="P394" s="27"/>
      <c r="Q394" s="30"/>
      <c r="R394" s="26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S394" s="25" t="s">
        <v>1144</v>
      </c>
      <c r="T394" s="25" t="s">
        <v>73</v>
      </c>
      <c r="U394" s="31" t="n">
        <v>2000</v>
      </c>
      <c r="V394" s="26"/>
      <c r="W394" s="26" t="str">
        <f aca="false">IF($K394="","출고일 미정",IF($O394="X","작지 미발행",IF($O394="부분","작지 일부 미발행",IF(AND($Q394&lt;&gt;"",$Q394&gt;$M394),"소재입고 마감("&amp;TEXT($M394,"MM/DD")&amp;") 초과",IF($O394="","발행여부 확인 필요",IF($Q394="","소재 입고일정 확인 필요","정상"))))))</f>
        <v>작지 미발행</v>
      </c>
      <c r="X394" s="24" t="str">
        <f aca="false">IF($K394="","",IF(OR(LEFT($W394,2)="작지",LEFT($W394,4)="소재입고"),IF(LEFT($G394,1)="S","★ 납기위험(S코드)","◆ 지연주의"),IF($W394="정상","✓ 정상","? 확인필요")))</f>
        <v>◆ 지연주의</v>
      </c>
      <c r="Y394" s="27"/>
      <c r="Z394" s="32"/>
    </row>
    <row r="395" customFormat="false" ht="15" hidden="false" customHeight="false" outlineLevel="0" collapsed="false">
      <c r="A395" s="24" t="n">
        <v>391</v>
      </c>
      <c r="B395" s="25" t="s">
        <v>192</v>
      </c>
      <c r="C395" s="25" t="s">
        <v>483</v>
      </c>
      <c r="D395" s="26" t="s">
        <v>1180</v>
      </c>
      <c r="E395" s="25" t="s">
        <v>1181</v>
      </c>
      <c r="F395" s="26" t="s">
        <v>1182</v>
      </c>
      <c r="G395" s="24" t="str">
        <f aca="false">IF($D395="","",IF(MID($D395,5,1)="S","S(봄)",IF(MID($D395,5,1)="M","M(여름)",IF(MID($D395,5,1)="X","X(사계절)",MID($D395,5,1)))))</f>
        <v>X(사계절)</v>
      </c>
      <c r="H395" s="25" t="s">
        <v>67</v>
      </c>
      <c r="I395" s="24"/>
      <c r="J395" s="27" t="s">
        <v>296</v>
      </c>
      <c r="K395" s="28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8" t="n">
        <f aca="false">IF($K395="","",$K395-기준정보!$C$5)</f>
        <v>46395</v>
      </c>
      <c r="M395" s="28" t="n">
        <f aca="false">IF($L395="","",$L395-기준정보!$C$6)</f>
        <v>46305</v>
      </c>
      <c r="N395" s="29" t="n">
        <f aca="false">IF($M395="","",$M395-기준정보!$C$4)</f>
        <v>63</v>
      </c>
      <c r="O395" s="27" t="s">
        <v>71</v>
      </c>
      <c r="P395" s="27" t="s">
        <v>71</v>
      </c>
      <c r="Q395" s="30"/>
      <c r="R395" s="26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S395" s="25" t="s">
        <v>487</v>
      </c>
      <c r="T395" s="25" t="s">
        <v>73</v>
      </c>
      <c r="U395" s="31" t="n">
        <v>5500</v>
      </c>
      <c r="V395" s="26"/>
      <c r="W395" s="26" t="str">
        <f aca="false">IF($K395="","출고일 미정",IF($O395="X","작지 미발행",IF($O395="부분","작지 일부 미발행",IF(AND($Q395&lt;&gt;"",$Q395&gt;$M395),"소재입고 마감("&amp;TEXT($M395,"MM/DD")&amp;") 초과",IF($O395="","발행여부 확인 필요",IF($Q395="","소재 입고일정 확인 필요","정상"))))))</f>
        <v>작지 미발행</v>
      </c>
      <c r="X395" s="24" t="str">
        <f aca="false">IF($K395="","",IF(OR(LEFT($W395,2)="작지",LEFT($W395,4)="소재입고"),IF(LEFT($G395,1)="S","★ 납기위험(S코드)","◆ 지연주의"),IF($W395="정상","✓ 정상","? 확인필요")))</f>
        <v>◆ 지연주의</v>
      </c>
      <c r="Y395" s="27"/>
      <c r="Z395" s="32"/>
    </row>
    <row r="396" customFormat="false" ht="15" hidden="false" customHeight="false" outlineLevel="0" collapsed="false">
      <c r="A396" s="24" t="n">
        <v>392</v>
      </c>
      <c r="B396" s="25" t="s">
        <v>192</v>
      </c>
      <c r="C396" s="25" t="s">
        <v>483</v>
      </c>
      <c r="D396" s="26" t="s">
        <v>1183</v>
      </c>
      <c r="E396" s="25" t="s">
        <v>1184</v>
      </c>
      <c r="F396" s="26" t="s">
        <v>1185</v>
      </c>
      <c r="G396" s="24" t="str">
        <f aca="false">IF($D396="","",IF(MID($D396,5,1)="S","S(봄)",IF(MID($D396,5,1)="M","M(여름)",IF(MID($D396,5,1)="X","X(사계절)",MID($D396,5,1)))))</f>
        <v>X(사계절)</v>
      </c>
      <c r="H396" s="25" t="s">
        <v>67</v>
      </c>
      <c r="I396" s="24"/>
      <c r="J396" s="27" t="s">
        <v>296</v>
      </c>
      <c r="K396" s="28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8" t="n">
        <f aca="false">IF($K396="","",$K396-기준정보!$C$5)</f>
        <v>46395</v>
      </c>
      <c r="M396" s="28" t="n">
        <f aca="false">IF($L396="","",$L396-기준정보!$C$6)</f>
        <v>46305</v>
      </c>
      <c r="N396" s="29" t="n">
        <f aca="false">IF($M396="","",$M396-기준정보!$C$4)</f>
        <v>63</v>
      </c>
      <c r="O396" s="27" t="s">
        <v>71</v>
      </c>
      <c r="P396" s="27"/>
      <c r="Q396" s="30"/>
      <c r="R396" s="26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S396" s="25" t="s">
        <v>487</v>
      </c>
      <c r="T396" s="25" t="s">
        <v>73</v>
      </c>
      <c r="U396" s="31" t="n">
        <v>5100</v>
      </c>
      <c r="V396" s="26"/>
      <c r="W396" s="26" t="str">
        <f aca="false">IF($K396="","출고일 미정",IF($O396="X","작지 미발행",IF($O396="부분","작지 일부 미발행",IF(AND($Q396&lt;&gt;"",$Q396&gt;$M396),"소재입고 마감("&amp;TEXT($M396,"MM/DD")&amp;") 초과",IF($O396="","발행여부 확인 필요",IF($Q396="","소재 입고일정 확인 필요","정상"))))))</f>
        <v>작지 미발행</v>
      </c>
      <c r="X396" s="24" t="str">
        <f aca="false">IF($K396="","",IF(OR(LEFT($W396,2)="작지",LEFT($W396,4)="소재입고"),IF(LEFT($G396,1)="S","★ 납기위험(S코드)","◆ 지연주의"),IF($W396="정상","✓ 정상","? 확인필요")))</f>
        <v>◆ 지연주의</v>
      </c>
      <c r="Y396" s="27"/>
      <c r="Z396" s="32"/>
    </row>
    <row r="397" customFormat="false" ht="15" hidden="false" customHeight="false" outlineLevel="0" collapsed="false">
      <c r="A397" s="24" t="n">
        <v>393</v>
      </c>
      <c r="B397" s="25" t="s">
        <v>688</v>
      </c>
      <c r="C397" s="26"/>
      <c r="D397" s="26" t="s">
        <v>1186</v>
      </c>
      <c r="E397" s="25" t="s">
        <v>1187</v>
      </c>
      <c r="F397" s="26" t="s">
        <v>1188</v>
      </c>
      <c r="G397" s="24" t="str">
        <f aca="false">IF($D397="","",IF(MID($D397,5,1)="S","S(봄)",IF(MID($D397,5,1)="M","M(여름)",IF(MID($D397,5,1)="X","X(사계절)",MID($D397,5,1)))))</f>
        <v>X(사계절)</v>
      </c>
      <c r="H397" s="25" t="s">
        <v>67</v>
      </c>
      <c r="I397" s="24"/>
      <c r="J397" s="27" t="s">
        <v>447</v>
      </c>
      <c r="K397" s="28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8" t="n">
        <f aca="false">IF($K397="","",$K397-기준정보!$C$5)</f>
        <v>46426</v>
      </c>
      <c r="M397" s="28" t="n">
        <f aca="false">IF($L397="","",$L397-기준정보!$C$6)</f>
        <v>46336</v>
      </c>
      <c r="N397" s="29" t="n">
        <f aca="false">IF($M397="","",$M397-기준정보!$C$4)</f>
        <v>94</v>
      </c>
      <c r="O397" s="27" t="s">
        <v>71</v>
      </c>
      <c r="P397" s="27"/>
      <c r="Q397" s="30"/>
      <c r="R397" s="26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S397" s="26"/>
      <c r="T397" s="26"/>
      <c r="U397" s="31" t="n">
        <v>2000</v>
      </c>
      <c r="V397" s="26"/>
      <c r="W397" s="26" t="str">
        <f aca="false">IF($K397="","출고일 미정",IF($O397="X","작지 미발행",IF($O397="부분","작지 일부 미발행",IF(AND($Q397&lt;&gt;"",$Q397&gt;$M397),"소재입고 마감("&amp;TEXT($M397,"MM/DD")&amp;") 초과",IF($O397="","발행여부 확인 필요",IF($Q397="","소재 입고일정 확인 필요","정상"))))))</f>
        <v>작지 미발행</v>
      </c>
      <c r="X397" s="24" t="str">
        <f aca="false">IF($K397="","",IF(OR(LEFT($W397,2)="작지",LEFT($W397,4)="소재입고"),IF(LEFT($G397,1)="S","★ 납기위험(S코드)","◆ 지연주의"),IF($W397="정상","✓ 정상","? 확인필요")))</f>
        <v>◆ 지연주의</v>
      </c>
      <c r="Y397" s="27"/>
      <c r="Z397" s="32"/>
    </row>
    <row r="398" customFormat="false" ht="15" hidden="false" customHeight="false" outlineLevel="0" collapsed="false">
      <c r="A398" s="24" t="n">
        <v>394</v>
      </c>
      <c r="B398" s="25" t="s">
        <v>688</v>
      </c>
      <c r="C398" s="26"/>
      <c r="D398" s="26" t="s">
        <v>1189</v>
      </c>
      <c r="E398" s="25" t="s">
        <v>1190</v>
      </c>
      <c r="F398" s="26" t="s">
        <v>723</v>
      </c>
      <c r="G398" s="24" t="str">
        <f aca="false">IF($D398="","",IF(MID($D398,5,1)="S","S(봄)",IF(MID($D398,5,1)="M","M(여름)",IF(MID($D398,5,1)="X","X(사계절)",MID($D398,5,1)))))</f>
        <v>X(사계절)</v>
      </c>
      <c r="H398" s="25" t="s">
        <v>67</v>
      </c>
      <c r="I398" s="24"/>
      <c r="J398" s="27" t="s">
        <v>447</v>
      </c>
      <c r="K398" s="28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8" t="n">
        <f aca="false">IF($K398="","",$K398-기준정보!$C$5)</f>
        <v>46426</v>
      </c>
      <c r="M398" s="28" t="n">
        <f aca="false">IF($L398="","",$L398-기준정보!$C$6)</f>
        <v>46336</v>
      </c>
      <c r="N398" s="29" t="n">
        <f aca="false">IF($M398="","",$M398-기준정보!$C$4)</f>
        <v>94</v>
      </c>
      <c r="O398" s="27" t="s">
        <v>71</v>
      </c>
      <c r="P398" s="27"/>
      <c r="Q398" s="30"/>
      <c r="R398" s="26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S398" s="26"/>
      <c r="T398" s="26"/>
      <c r="U398" s="31" t="n">
        <v>3500</v>
      </c>
      <c r="V398" s="26"/>
      <c r="W398" s="26" t="str">
        <f aca="false">IF($K398="","출고일 미정",IF($O398="X","작지 미발행",IF($O398="부분","작지 일부 미발행",IF(AND($Q398&lt;&gt;"",$Q398&gt;$M398),"소재입고 마감("&amp;TEXT($M398,"MM/DD")&amp;") 초과",IF($O398="","발행여부 확인 필요",IF($Q398="","소재 입고일정 확인 필요","정상"))))))</f>
        <v>작지 미발행</v>
      </c>
      <c r="X398" s="24" t="str">
        <f aca="false">IF($K398="","",IF(OR(LEFT($W398,2)="작지",LEFT($W398,4)="소재입고"),IF(LEFT($G398,1)="S","★ 납기위험(S코드)","◆ 지연주의"),IF($W398="정상","✓ 정상","? 확인필요")))</f>
        <v>◆ 지연주의</v>
      </c>
      <c r="Y398" s="27"/>
      <c r="Z398" s="32"/>
    </row>
    <row r="399" customFormat="false" ht="15" hidden="false" customHeight="false" outlineLevel="0" collapsed="false">
      <c r="A399" s="24" t="n">
        <v>395</v>
      </c>
      <c r="B399" s="25" t="s">
        <v>688</v>
      </c>
      <c r="C399" s="26"/>
      <c r="D399" s="26" t="s">
        <v>1191</v>
      </c>
      <c r="E399" s="25" t="s">
        <v>1192</v>
      </c>
      <c r="F399" s="26" t="s">
        <v>723</v>
      </c>
      <c r="G399" s="24" t="str">
        <f aca="false">IF($D399="","",IF(MID($D399,5,1)="S","S(봄)",IF(MID($D399,5,1)="M","M(여름)",IF(MID($D399,5,1)="X","X(사계절)",MID($D399,5,1)))))</f>
        <v>X(사계절)</v>
      </c>
      <c r="H399" s="25" t="s">
        <v>67</v>
      </c>
      <c r="I399" s="24"/>
      <c r="J399" s="27" t="s">
        <v>447</v>
      </c>
      <c r="K399" s="28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8" t="n">
        <f aca="false">IF($K399="","",$K399-기준정보!$C$5)</f>
        <v>46426</v>
      </c>
      <c r="M399" s="28" t="n">
        <f aca="false">IF($L399="","",$L399-기준정보!$C$6)</f>
        <v>46336</v>
      </c>
      <c r="N399" s="29" t="n">
        <f aca="false">IF($M399="","",$M399-기준정보!$C$4)</f>
        <v>94</v>
      </c>
      <c r="O399" s="27" t="s">
        <v>71</v>
      </c>
      <c r="P399" s="27"/>
      <c r="Q399" s="30"/>
      <c r="R399" s="26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S399" s="26"/>
      <c r="T399" s="26"/>
      <c r="U399" s="31" t="n">
        <v>2000</v>
      </c>
      <c r="V399" s="26"/>
      <c r="W399" s="26" t="str">
        <f aca="false">IF($K399="","출고일 미정",IF($O399="X","작지 미발행",IF($O399="부분","작지 일부 미발행",IF(AND($Q399&lt;&gt;"",$Q399&gt;$M399),"소재입고 마감("&amp;TEXT($M399,"MM/DD")&amp;") 초과",IF($O399="","발행여부 확인 필요",IF($Q399="","소재 입고일정 확인 필요","정상"))))))</f>
        <v>작지 미발행</v>
      </c>
      <c r="X399" s="24" t="str">
        <f aca="false">IF($K399="","",IF(OR(LEFT($W399,2)="작지",LEFT($W399,4)="소재입고"),IF(LEFT($G399,1)="S","★ 납기위험(S코드)","◆ 지연주의"),IF($W399="정상","✓ 정상","? 확인필요")))</f>
        <v>◆ 지연주의</v>
      </c>
      <c r="Y399" s="27"/>
      <c r="Z399" s="32"/>
    </row>
    <row r="400" customFormat="false" ht="15" hidden="false" customHeight="false" outlineLevel="0" collapsed="false">
      <c r="A400" s="24" t="n">
        <v>396</v>
      </c>
      <c r="B400" s="25" t="s">
        <v>688</v>
      </c>
      <c r="C400" s="26"/>
      <c r="D400" s="26" t="s">
        <v>1193</v>
      </c>
      <c r="E400" s="25" t="s">
        <v>1194</v>
      </c>
      <c r="F400" s="26" t="s">
        <v>723</v>
      </c>
      <c r="G400" s="24" t="str">
        <f aca="false">IF($D400="","",IF(MID($D400,5,1)="S","S(봄)",IF(MID($D400,5,1)="M","M(여름)",IF(MID($D400,5,1)="X","X(사계절)",MID($D400,5,1)))))</f>
        <v>X(사계절)</v>
      </c>
      <c r="H400" s="25" t="s">
        <v>67</v>
      </c>
      <c r="I400" s="24"/>
      <c r="J400" s="27" t="s">
        <v>447</v>
      </c>
      <c r="K400" s="28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8" t="n">
        <f aca="false">IF($K400="","",$K400-기준정보!$C$5)</f>
        <v>46426</v>
      </c>
      <c r="M400" s="28" t="n">
        <f aca="false">IF($L400="","",$L400-기준정보!$C$6)</f>
        <v>46336</v>
      </c>
      <c r="N400" s="29" t="n">
        <f aca="false">IF($M400="","",$M400-기준정보!$C$4)</f>
        <v>94</v>
      </c>
      <c r="O400" s="27" t="s">
        <v>71</v>
      </c>
      <c r="P400" s="27"/>
      <c r="Q400" s="30"/>
      <c r="R400" s="26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S400" s="26"/>
      <c r="T400" s="26"/>
      <c r="U400" s="31" t="n">
        <v>1500</v>
      </c>
      <c r="V400" s="26"/>
      <c r="W400" s="26" t="str">
        <f aca="false">IF($K400="","출고일 미정",IF($O400="X","작지 미발행",IF($O400="부분","작지 일부 미발행",IF(AND($Q400&lt;&gt;"",$Q400&gt;$M400),"소재입고 마감("&amp;TEXT($M400,"MM/DD")&amp;") 초과",IF($O400="","발행여부 확인 필요",IF($Q400="","소재 입고일정 확인 필요","정상"))))))</f>
        <v>작지 미발행</v>
      </c>
      <c r="X400" s="24" t="str">
        <f aca="false">IF($K400="","",IF(OR(LEFT($W400,2)="작지",LEFT($W400,4)="소재입고"),IF(LEFT($G400,1)="S","★ 납기위험(S코드)","◆ 지연주의"),IF($W400="정상","✓ 정상","? 확인필요")))</f>
        <v>◆ 지연주의</v>
      </c>
      <c r="Y400" s="27"/>
      <c r="Z400" s="32"/>
    </row>
    <row r="401" customFormat="false" ht="15" hidden="false" customHeight="false" outlineLevel="0" collapsed="false">
      <c r="A401" s="24" t="n">
        <v>397</v>
      </c>
      <c r="B401" s="25" t="s">
        <v>688</v>
      </c>
      <c r="C401" s="26"/>
      <c r="D401" s="26" t="s">
        <v>1195</v>
      </c>
      <c r="E401" s="25" t="s">
        <v>1196</v>
      </c>
      <c r="F401" s="26" t="s">
        <v>1188</v>
      </c>
      <c r="G401" s="24" t="str">
        <f aca="false">IF($D401="","",IF(MID($D401,5,1)="S","S(봄)",IF(MID($D401,5,1)="M","M(여름)",IF(MID($D401,5,1)="X","X(사계절)",MID($D401,5,1)))))</f>
        <v>X(사계절)</v>
      </c>
      <c r="H401" s="25" t="s">
        <v>67</v>
      </c>
      <c r="I401" s="24"/>
      <c r="J401" s="27" t="s">
        <v>447</v>
      </c>
      <c r="K401" s="28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8" t="n">
        <f aca="false">IF($K401="","",$K401-기준정보!$C$5)</f>
        <v>46426</v>
      </c>
      <c r="M401" s="28" t="n">
        <f aca="false">IF($L401="","",$L401-기준정보!$C$6)</f>
        <v>46336</v>
      </c>
      <c r="N401" s="29" t="n">
        <f aca="false">IF($M401="","",$M401-기준정보!$C$4)</f>
        <v>94</v>
      </c>
      <c r="O401" s="27" t="s">
        <v>71</v>
      </c>
      <c r="P401" s="27"/>
      <c r="Q401" s="30"/>
      <c r="R401" s="26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S401" s="26"/>
      <c r="T401" s="26"/>
      <c r="U401" s="31" t="n">
        <v>2000</v>
      </c>
      <c r="V401" s="26"/>
      <c r="W401" s="26" t="str">
        <f aca="false">IF($K401="","출고일 미정",IF($O401="X","작지 미발행",IF($O401="부분","작지 일부 미발행",IF(AND($Q401&lt;&gt;"",$Q401&gt;$M401),"소재입고 마감("&amp;TEXT($M401,"MM/DD")&amp;") 초과",IF($O401="","발행여부 확인 필요",IF($Q401="","소재 입고일정 확인 필요","정상"))))))</f>
        <v>작지 미발행</v>
      </c>
      <c r="X401" s="24" t="str">
        <f aca="false">IF($K401="","",IF(OR(LEFT($W401,2)="작지",LEFT($W401,4)="소재입고"),IF(LEFT($G401,1)="S","★ 납기위험(S코드)","◆ 지연주의"),IF($W401="정상","✓ 정상","? 확인필요")))</f>
        <v>◆ 지연주의</v>
      </c>
      <c r="Y401" s="27"/>
      <c r="Z401" s="32"/>
    </row>
    <row r="402" customFormat="false" ht="15" hidden="false" customHeight="false" outlineLevel="0" collapsed="false">
      <c r="A402" s="24" t="n">
        <v>398</v>
      </c>
      <c r="B402" s="25" t="s">
        <v>688</v>
      </c>
      <c r="C402" s="26"/>
      <c r="D402" s="26" t="s">
        <v>1197</v>
      </c>
      <c r="E402" s="25" t="s">
        <v>1198</v>
      </c>
      <c r="F402" s="26" t="s">
        <v>1199</v>
      </c>
      <c r="G402" s="24" t="str">
        <f aca="false">IF($D402="","",IF(MID($D402,5,1)="S","S(봄)",IF(MID($D402,5,1)="M","M(여름)",IF(MID($D402,5,1)="X","X(사계절)",MID($D402,5,1)))))</f>
        <v>X(사계절)</v>
      </c>
      <c r="H402" s="25" t="s">
        <v>67</v>
      </c>
      <c r="I402" s="24"/>
      <c r="J402" s="27" t="s">
        <v>447</v>
      </c>
      <c r="K402" s="28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8" t="n">
        <f aca="false">IF($K402="","",$K402-기준정보!$C$5)</f>
        <v>46426</v>
      </c>
      <c r="M402" s="28" t="n">
        <f aca="false">IF($L402="","",$L402-기준정보!$C$6)</f>
        <v>46336</v>
      </c>
      <c r="N402" s="29" t="n">
        <f aca="false">IF($M402="","",$M402-기준정보!$C$4)</f>
        <v>94</v>
      </c>
      <c r="O402" s="27" t="s">
        <v>71</v>
      </c>
      <c r="P402" s="27"/>
      <c r="Q402" s="30"/>
      <c r="R402" s="26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S402" s="26"/>
      <c r="T402" s="26"/>
      <c r="U402" s="31" t="n">
        <v>3000</v>
      </c>
      <c r="V402" s="26"/>
      <c r="W402" s="26" t="str">
        <f aca="false">IF($K402="","출고일 미정",IF($O402="X","작지 미발행",IF($O402="부분","작지 일부 미발행",IF(AND($Q402&lt;&gt;"",$Q402&gt;$M402),"소재입고 마감("&amp;TEXT($M402,"MM/DD")&amp;") 초과",IF($O402="","발행여부 확인 필요",IF($Q402="","소재 입고일정 확인 필요","정상"))))))</f>
        <v>작지 미발행</v>
      </c>
      <c r="X402" s="24" t="str">
        <f aca="false">IF($K402="","",IF(OR(LEFT($W402,2)="작지",LEFT($W402,4)="소재입고"),IF(LEFT($G402,1)="S","★ 납기위험(S코드)","◆ 지연주의"),IF($W402="정상","✓ 정상","? 확인필요")))</f>
        <v>◆ 지연주의</v>
      </c>
      <c r="Y402" s="27"/>
      <c r="Z402" s="32"/>
    </row>
    <row r="403" customFormat="false" ht="15" hidden="false" customHeight="false" outlineLevel="0" collapsed="false">
      <c r="A403" s="24" t="n">
        <v>399</v>
      </c>
      <c r="B403" s="25" t="s">
        <v>688</v>
      </c>
      <c r="C403" s="26"/>
      <c r="D403" s="26" t="s">
        <v>1200</v>
      </c>
      <c r="E403" s="25" t="s">
        <v>1201</v>
      </c>
      <c r="F403" s="26" t="s">
        <v>1202</v>
      </c>
      <c r="G403" s="24" t="str">
        <f aca="false">IF($D403="","",IF(MID($D403,5,1)="S","S(봄)",IF(MID($D403,5,1)="M","M(여름)",IF(MID($D403,5,1)="X","X(사계절)",MID($D403,5,1)))))</f>
        <v>X(사계절)</v>
      </c>
      <c r="H403" s="25" t="s">
        <v>67</v>
      </c>
      <c r="I403" s="24"/>
      <c r="J403" s="27" t="s">
        <v>447</v>
      </c>
      <c r="K403" s="28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8" t="n">
        <f aca="false">IF($K403="","",$K403-기준정보!$C$5)</f>
        <v>46426</v>
      </c>
      <c r="M403" s="28" t="n">
        <f aca="false">IF($L403="","",$L403-기준정보!$C$6)</f>
        <v>46336</v>
      </c>
      <c r="N403" s="29" t="n">
        <f aca="false">IF($M403="","",$M403-기준정보!$C$4)</f>
        <v>94</v>
      </c>
      <c r="O403" s="27" t="s">
        <v>71</v>
      </c>
      <c r="P403" s="27"/>
      <c r="Q403" s="30"/>
      <c r="R403" s="26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S403" s="26"/>
      <c r="T403" s="26"/>
      <c r="U403" s="31" t="n">
        <v>4000</v>
      </c>
      <c r="V403" s="26"/>
      <c r="W403" s="26" t="str">
        <f aca="false">IF($K403="","출고일 미정",IF($O403="X","작지 미발행",IF($O403="부분","작지 일부 미발행",IF(AND($Q403&lt;&gt;"",$Q403&gt;$M403),"소재입고 마감("&amp;TEXT($M403,"MM/DD")&amp;") 초과",IF($O403="","발행여부 확인 필요",IF($Q403="","소재 입고일정 확인 필요","정상"))))))</f>
        <v>작지 미발행</v>
      </c>
      <c r="X403" s="24" t="str">
        <f aca="false">IF($K403="","",IF(OR(LEFT($W403,2)="작지",LEFT($W403,4)="소재입고"),IF(LEFT($G403,1)="S","★ 납기위험(S코드)","◆ 지연주의"),IF($W403="정상","✓ 정상","? 확인필요")))</f>
        <v>◆ 지연주의</v>
      </c>
      <c r="Y403" s="27"/>
      <c r="Z403" s="32"/>
    </row>
    <row r="404" customFormat="false" ht="15" hidden="false" customHeight="false" outlineLevel="0" collapsed="false">
      <c r="A404" s="24" t="n">
        <v>400</v>
      </c>
      <c r="B404" s="25" t="s">
        <v>688</v>
      </c>
      <c r="C404" s="26"/>
      <c r="D404" s="26" t="s">
        <v>1203</v>
      </c>
      <c r="E404" s="25" t="s">
        <v>1204</v>
      </c>
      <c r="F404" s="26" t="s">
        <v>520</v>
      </c>
      <c r="G404" s="24" t="str">
        <f aca="false">IF($D404="","",IF(MID($D404,5,1)="S","S(봄)",IF(MID($D404,5,1)="M","M(여름)",IF(MID($D404,5,1)="X","X(사계절)",MID($D404,5,1)))))</f>
        <v>X(사계절)</v>
      </c>
      <c r="H404" s="25" t="s">
        <v>67</v>
      </c>
      <c r="I404" s="24"/>
      <c r="J404" s="27" t="s">
        <v>447</v>
      </c>
      <c r="K404" s="28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8" t="n">
        <f aca="false">IF($K404="","",$K404-기준정보!$C$5)</f>
        <v>46426</v>
      </c>
      <c r="M404" s="28" t="n">
        <f aca="false">IF($L404="","",$L404-기준정보!$C$6)</f>
        <v>46336</v>
      </c>
      <c r="N404" s="29" t="n">
        <f aca="false">IF($M404="","",$M404-기준정보!$C$4)</f>
        <v>94</v>
      </c>
      <c r="O404" s="27" t="s">
        <v>71</v>
      </c>
      <c r="P404" s="27"/>
      <c r="Q404" s="30"/>
      <c r="R404" s="26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S404" s="26"/>
      <c r="T404" s="26"/>
      <c r="U404" s="31" t="n">
        <v>2000</v>
      </c>
      <c r="V404" s="26"/>
      <c r="W404" s="26" t="str">
        <f aca="false">IF($K404="","출고일 미정",IF($O404="X","작지 미발행",IF($O404="부분","작지 일부 미발행",IF(AND($Q404&lt;&gt;"",$Q404&gt;$M404),"소재입고 마감("&amp;TEXT($M404,"MM/DD")&amp;") 초과",IF($O404="","발행여부 확인 필요",IF($Q404="","소재 입고일정 확인 필요","정상"))))))</f>
        <v>작지 미발행</v>
      </c>
      <c r="X404" s="24" t="str">
        <f aca="false">IF($K404="","",IF(OR(LEFT($W404,2)="작지",LEFT($W404,4)="소재입고"),IF(LEFT($G404,1)="S","★ 납기위험(S코드)","◆ 지연주의"),IF($W404="정상","✓ 정상","? 확인필요")))</f>
        <v>◆ 지연주의</v>
      </c>
      <c r="Y404" s="27"/>
      <c r="Z404" s="32"/>
    </row>
    <row r="405" customFormat="false" ht="15" hidden="false" customHeight="false" outlineLevel="0" collapsed="false">
      <c r="A405" s="24" t="n">
        <v>401</v>
      </c>
      <c r="B405" s="25" t="s">
        <v>688</v>
      </c>
      <c r="C405" s="26"/>
      <c r="D405" s="26" t="s">
        <v>1205</v>
      </c>
      <c r="E405" s="25" t="s">
        <v>1206</v>
      </c>
      <c r="F405" s="26" t="s">
        <v>723</v>
      </c>
      <c r="G405" s="24" t="str">
        <f aca="false">IF($D405="","",IF(MID($D405,5,1)="S","S(봄)",IF(MID($D405,5,1)="M","M(여름)",IF(MID($D405,5,1)="X","X(사계절)",MID($D405,5,1)))))</f>
        <v>X(사계절)</v>
      </c>
      <c r="H405" s="25" t="s">
        <v>67</v>
      </c>
      <c r="I405" s="24"/>
      <c r="J405" s="27" t="s">
        <v>447</v>
      </c>
      <c r="K405" s="28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8" t="n">
        <f aca="false">IF($K405="","",$K405-기준정보!$C$5)</f>
        <v>46426</v>
      </c>
      <c r="M405" s="28" t="n">
        <f aca="false">IF($L405="","",$L405-기준정보!$C$6)</f>
        <v>46336</v>
      </c>
      <c r="N405" s="29" t="n">
        <f aca="false">IF($M405="","",$M405-기준정보!$C$4)</f>
        <v>94</v>
      </c>
      <c r="O405" s="27" t="s">
        <v>71</v>
      </c>
      <c r="P405" s="27"/>
      <c r="Q405" s="30"/>
      <c r="R405" s="26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S405" s="26"/>
      <c r="T405" s="26"/>
      <c r="U405" s="31" t="n">
        <v>3000</v>
      </c>
      <c r="V405" s="26"/>
      <c r="W405" s="26" t="str">
        <f aca="false">IF($K405="","출고일 미정",IF($O405="X","작지 미발행",IF($O405="부분","작지 일부 미발행",IF(AND($Q405&lt;&gt;"",$Q405&gt;$M405),"소재입고 마감("&amp;TEXT($M405,"MM/DD")&amp;") 초과",IF($O405="","발행여부 확인 필요",IF($Q405="","소재 입고일정 확인 필요","정상"))))))</f>
        <v>작지 미발행</v>
      </c>
      <c r="X405" s="24" t="str">
        <f aca="false">IF($K405="","",IF(OR(LEFT($W405,2)="작지",LEFT($W405,4)="소재입고"),IF(LEFT($G405,1)="S","★ 납기위험(S코드)","◆ 지연주의"),IF($W405="정상","✓ 정상","? 확인필요")))</f>
        <v>◆ 지연주의</v>
      </c>
      <c r="Y405" s="27"/>
      <c r="Z405" s="32"/>
    </row>
    <row r="406" customFormat="false" ht="15" hidden="false" customHeight="false" outlineLevel="0" collapsed="false">
      <c r="A406" s="24" t="n">
        <v>402</v>
      </c>
      <c r="B406" s="25" t="s">
        <v>688</v>
      </c>
      <c r="C406" s="26"/>
      <c r="D406" s="26" t="s">
        <v>1207</v>
      </c>
      <c r="E406" s="25" t="s">
        <v>1208</v>
      </c>
      <c r="F406" s="26" t="s">
        <v>1202</v>
      </c>
      <c r="G406" s="24" t="str">
        <f aca="false">IF($D406="","",IF(MID($D406,5,1)="S","S(봄)",IF(MID($D406,5,1)="M","M(여름)",IF(MID($D406,5,1)="X","X(사계절)",MID($D406,5,1)))))</f>
        <v>X(사계절)</v>
      </c>
      <c r="H406" s="25" t="s">
        <v>67</v>
      </c>
      <c r="I406" s="24"/>
      <c r="J406" s="27" t="s">
        <v>447</v>
      </c>
      <c r="K406" s="28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8" t="n">
        <f aca="false">IF($K406="","",$K406-기준정보!$C$5)</f>
        <v>46426</v>
      </c>
      <c r="M406" s="28" t="n">
        <f aca="false">IF($L406="","",$L406-기준정보!$C$6)</f>
        <v>46336</v>
      </c>
      <c r="N406" s="29" t="n">
        <f aca="false">IF($M406="","",$M406-기준정보!$C$4)</f>
        <v>94</v>
      </c>
      <c r="O406" s="27" t="s">
        <v>71</v>
      </c>
      <c r="P406" s="27"/>
      <c r="Q406" s="30"/>
      <c r="R406" s="26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S406" s="26"/>
      <c r="T406" s="26"/>
      <c r="U406" s="31" t="n">
        <v>4000</v>
      </c>
      <c r="V406" s="26"/>
      <c r="W406" s="26" t="str">
        <f aca="false">IF($K406="","출고일 미정",IF($O406="X","작지 미발행",IF($O406="부분","작지 일부 미발행",IF(AND($Q406&lt;&gt;"",$Q406&gt;$M406),"소재입고 마감("&amp;TEXT($M406,"MM/DD")&amp;") 초과",IF($O406="","발행여부 확인 필요",IF($Q406="","소재 입고일정 확인 필요","정상"))))))</f>
        <v>작지 미발행</v>
      </c>
      <c r="X406" s="24" t="str">
        <f aca="false">IF($K406="","",IF(OR(LEFT($W406,2)="작지",LEFT($W406,4)="소재입고"),IF(LEFT($G406,1)="S","★ 납기위험(S코드)","◆ 지연주의"),IF($W406="정상","✓ 정상","? 확인필요")))</f>
        <v>◆ 지연주의</v>
      </c>
      <c r="Y406" s="27"/>
      <c r="Z406" s="32"/>
    </row>
    <row r="407" customFormat="false" ht="15" hidden="false" customHeight="false" outlineLevel="0" collapsed="false">
      <c r="A407" s="24" t="n">
        <v>403</v>
      </c>
      <c r="B407" s="25" t="s">
        <v>688</v>
      </c>
      <c r="C407" s="25" t="s">
        <v>483</v>
      </c>
      <c r="D407" s="26" t="s">
        <v>1209</v>
      </c>
      <c r="E407" s="25" t="s">
        <v>1210</v>
      </c>
      <c r="F407" s="26" t="s">
        <v>1211</v>
      </c>
      <c r="G407" s="24" t="str">
        <f aca="false">IF($D407="","",IF(MID($D407,5,1)="S","S(봄)",IF(MID($D407,5,1)="M","M(여름)",IF(MID($D407,5,1)="X","X(사계절)",MID($D407,5,1)))))</f>
        <v>X(사계절)</v>
      </c>
      <c r="H407" s="25" t="s">
        <v>67</v>
      </c>
      <c r="I407" s="24"/>
      <c r="J407" s="27" t="s">
        <v>447</v>
      </c>
      <c r="K407" s="28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8" t="n">
        <f aca="false">IF($K407="","",$K407-기준정보!$C$5)</f>
        <v>46426</v>
      </c>
      <c r="M407" s="28" t="n">
        <f aca="false">IF($L407="","",$L407-기준정보!$C$6)</f>
        <v>46336</v>
      </c>
      <c r="N407" s="29" t="n">
        <f aca="false">IF($M407="","",$M407-기준정보!$C$4)</f>
        <v>94</v>
      </c>
      <c r="O407" s="27" t="s">
        <v>71</v>
      </c>
      <c r="P407" s="27" t="s">
        <v>71</v>
      </c>
      <c r="Q407" s="30"/>
      <c r="R407" s="26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S407" s="25" t="s">
        <v>888</v>
      </c>
      <c r="T407" s="25" t="s">
        <v>889</v>
      </c>
      <c r="U407" s="31" t="n">
        <v>7000</v>
      </c>
      <c r="V407" s="26"/>
      <c r="W407" s="26" t="str">
        <f aca="false">IF($K407="","출고일 미정",IF($O407="X","작지 미발행",IF($O407="부분","작지 일부 미발행",IF(AND($Q407&lt;&gt;"",$Q407&gt;$M407),"소재입고 마감("&amp;TEXT($M407,"MM/DD")&amp;") 초과",IF($O407="","발행여부 확인 필요",IF($Q407="","소재 입고일정 확인 필요","정상"))))))</f>
        <v>작지 미발행</v>
      </c>
      <c r="X407" s="24" t="str">
        <f aca="false">IF($K407="","",IF(OR(LEFT($W407,2)="작지",LEFT($W407,4)="소재입고"),IF(LEFT($G407,1)="S","★ 납기위험(S코드)","◆ 지연주의"),IF($W407="정상","✓ 정상","? 확인필요")))</f>
        <v>◆ 지연주의</v>
      </c>
      <c r="Y407" s="27"/>
      <c r="Z407" s="32"/>
    </row>
    <row r="408" customFormat="false" ht="15" hidden="false" customHeight="false" outlineLevel="0" collapsed="false">
      <c r="A408" s="24" t="n">
        <v>404</v>
      </c>
      <c r="B408" s="25" t="s">
        <v>688</v>
      </c>
      <c r="C408" s="25" t="s">
        <v>483</v>
      </c>
      <c r="D408" s="26" t="s">
        <v>1212</v>
      </c>
      <c r="E408" s="25" t="s">
        <v>1213</v>
      </c>
      <c r="F408" s="26" t="s">
        <v>1214</v>
      </c>
      <c r="G408" s="24" t="str">
        <f aca="false">IF($D408="","",IF(MID($D408,5,1)="S","S(봄)",IF(MID($D408,5,1)="M","M(여름)",IF(MID($D408,5,1)="X","X(사계절)",MID($D408,5,1)))))</f>
        <v>X(사계절)</v>
      </c>
      <c r="H408" s="25" t="s">
        <v>67</v>
      </c>
      <c r="I408" s="24"/>
      <c r="J408" s="27" t="s">
        <v>447</v>
      </c>
      <c r="K408" s="28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8" t="n">
        <f aca="false">IF($K408="","",$K408-기준정보!$C$5)</f>
        <v>46426</v>
      </c>
      <c r="M408" s="28" t="n">
        <f aca="false">IF($L408="","",$L408-기준정보!$C$6)</f>
        <v>46336</v>
      </c>
      <c r="N408" s="29" t="n">
        <f aca="false">IF($M408="","",$M408-기준정보!$C$4)</f>
        <v>94</v>
      </c>
      <c r="O408" s="27" t="s">
        <v>71</v>
      </c>
      <c r="P408" s="27" t="s">
        <v>71</v>
      </c>
      <c r="Q408" s="30"/>
      <c r="R408" s="26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S408" s="25" t="s">
        <v>888</v>
      </c>
      <c r="T408" s="25" t="s">
        <v>889</v>
      </c>
      <c r="U408" s="31" t="n">
        <v>1400</v>
      </c>
      <c r="V408" s="26"/>
      <c r="W408" s="26" t="str">
        <f aca="false">IF($K408="","출고일 미정",IF($O408="X","작지 미발행",IF($O408="부분","작지 일부 미발행",IF(AND($Q408&lt;&gt;"",$Q408&gt;$M408),"소재입고 마감("&amp;TEXT($M408,"MM/DD")&amp;") 초과",IF($O408="","발행여부 확인 필요",IF($Q408="","소재 입고일정 확인 필요","정상"))))))</f>
        <v>작지 미발행</v>
      </c>
      <c r="X408" s="24" t="str">
        <f aca="false">IF($K408="","",IF(OR(LEFT($W408,2)="작지",LEFT($W408,4)="소재입고"),IF(LEFT($G408,1)="S","★ 납기위험(S코드)","◆ 지연주의"),IF($W408="정상","✓ 정상","? 확인필요")))</f>
        <v>◆ 지연주의</v>
      </c>
      <c r="Y408" s="27"/>
      <c r="Z408" s="32"/>
    </row>
    <row r="409" customFormat="false" ht="15" hidden="false" customHeight="false" outlineLevel="0" collapsed="false">
      <c r="A409" s="24" t="n">
        <v>405</v>
      </c>
      <c r="B409" s="25" t="s">
        <v>688</v>
      </c>
      <c r="C409" s="25" t="s">
        <v>689</v>
      </c>
      <c r="D409" s="26" t="s">
        <v>1215</v>
      </c>
      <c r="E409" s="25" t="s">
        <v>1216</v>
      </c>
      <c r="F409" s="26" t="s">
        <v>1217</v>
      </c>
      <c r="G409" s="24" t="str">
        <f aca="false">IF($D409="","",IF(MID($D409,5,1)="S","S(봄)",IF(MID($D409,5,1)="M","M(여름)",IF(MID($D409,5,1)="X","X(사계절)",MID($D409,5,1)))))</f>
        <v>X(사계절)</v>
      </c>
      <c r="H409" s="25" t="s">
        <v>67</v>
      </c>
      <c r="I409" s="24"/>
      <c r="J409" s="27" t="s">
        <v>447</v>
      </c>
      <c r="K409" s="28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8" t="n">
        <f aca="false">IF($K409="","",$K409-기준정보!$C$5)</f>
        <v>46426</v>
      </c>
      <c r="M409" s="28" t="n">
        <f aca="false">IF($L409="","",$L409-기준정보!$C$6)</f>
        <v>46336</v>
      </c>
      <c r="N409" s="29" t="n">
        <f aca="false">IF($M409="","",$M409-기준정보!$C$4)</f>
        <v>94</v>
      </c>
      <c r="O409" s="27" t="s">
        <v>71</v>
      </c>
      <c r="P409" s="27" t="s">
        <v>71</v>
      </c>
      <c r="Q409" s="30"/>
      <c r="R409" s="26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S409" s="25" t="s">
        <v>153</v>
      </c>
      <c r="T409" s="25" t="s">
        <v>154</v>
      </c>
      <c r="U409" s="31" t="n">
        <v>4700</v>
      </c>
      <c r="V409" s="26"/>
      <c r="W409" s="26" t="str">
        <f aca="false">IF($K409="","출고일 미정",IF($O409="X","작지 미발행",IF($O409="부분","작지 일부 미발행",IF(AND($Q409&lt;&gt;"",$Q409&gt;$M409),"소재입고 마감("&amp;TEXT($M409,"MM/DD")&amp;") 초과",IF($O409="","발행여부 확인 필요",IF($Q409="","소재 입고일정 확인 필요","정상"))))))</f>
        <v>작지 미발행</v>
      </c>
      <c r="X409" s="24" t="str">
        <f aca="false">IF($K409="","",IF(OR(LEFT($W409,2)="작지",LEFT($W409,4)="소재입고"),IF(LEFT($G409,1)="S","★ 납기위험(S코드)","◆ 지연주의"),IF($W409="정상","✓ 정상","? 확인필요")))</f>
        <v>◆ 지연주의</v>
      </c>
      <c r="Y409" s="27"/>
      <c r="Z409" s="32"/>
    </row>
    <row r="410" customFormat="false" ht="15" hidden="false" customHeight="false" outlineLevel="0" collapsed="false">
      <c r="A410" s="24" t="n">
        <v>406</v>
      </c>
      <c r="B410" s="25" t="s">
        <v>688</v>
      </c>
      <c r="C410" s="25" t="s">
        <v>689</v>
      </c>
      <c r="D410" s="26" t="s">
        <v>1218</v>
      </c>
      <c r="E410" s="25" t="s">
        <v>1219</v>
      </c>
      <c r="F410" s="26" t="s">
        <v>1220</v>
      </c>
      <c r="G410" s="24" t="str">
        <f aca="false">IF($D410="","",IF(MID($D410,5,1)="S","S(봄)",IF(MID($D410,5,1)="M","M(여름)",IF(MID($D410,5,1)="X","X(사계절)",MID($D410,5,1)))))</f>
        <v>X(사계절)</v>
      </c>
      <c r="H410" s="25" t="s">
        <v>67</v>
      </c>
      <c r="I410" s="24"/>
      <c r="J410" s="27" t="s">
        <v>447</v>
      </c>
      <c r="K410" s="28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8" t="n">
        <f aca="false">IF($K410="","",$K410-기준정보!$C$5)</f>
        <v>46426</v>
      </c>
      <c r="M410" s="28" t="n">
        <f aca="false">IF($L410="","",$L410-기준정보!$C$6)</f>
        <v>46336</v>
      </c>
      <c r="N410" s="29" t="n">
        <f aca="false">IF($M410="","",$M410-기준정보!$C$4)</f>
        <v>94</v>
      </c>
      <c r="O410" s="27" t="s">
        <v>71</v>
      </c>
      <c r="P410" s="27" t="s">
        <v>71</v>
      </c>
      <c r="Q410" s="30"/>
      <c r="R410" s="26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S410" s="25" t="s">
        <v>153</v>
      </c>
      <c r="T410" s="25" t="s">
        <v>154</v>
      </c>
      <c r="U410" s="31" t="n">
        <v>6000</v>
      </c>
      <c r="V410" s="26"/>
      <c r="W410" s="26" t="str">
        <f aca="false">IF($K410="","출고일 미정",IF($O410="X","작지 미발행",IF($O410="부분","작지 일부 미발행",IF(AND($Q410&lt;&gt;"",$Q410&gt;$M410),"소재입고 마감("&amp;TEXT($M410,"MM/DD")&amp;") 초과",IF($O410="","발행여부 확인 필요",IF($Q410="","소재 입고일정 확인 필요","정상"))))))</f>
        <v>작지 미발행</v>
      </c>
      <c r="X410" s="24" t="str">
        <f aca="false">IF($K410="","",IF(OR(LEFT($W410,2)="작지",LEFT($W410,4)="소재입고"),IF(LEFT($G410,1)="S","★ 납기위험(S코드)","◆ 지연주의"),IF($W410="정상","✓ 정상","? 확인필요")))</f>
        <v>◆ 지연주의</v>
      </c>
      <c r="Y410" s="27"/>
      <c r="Z410" s="32"/>
    </row>
    <row r="411" customFormat="false" ht="15" hidden="false" customHeight="false" outlineLevel="0" collapsed="false">
      <c r="A411" s="24" t="n">
        <v>407</v>
      </c>
      <c r="B411" s="25" t="s">
        <v>688</v>
      </c>
      <c r="C411" s="25" t="s">
        <v>689</v>
      </c>
      <c r="D411" s="26" t="s">
        <v>1221</v>
      </c>
      <c r="E411" s="25" t="s">
        <v>1222</v>
      </c>
      <c r="F411" s="26" t="s">
        <v>1129</v>
      </c>
      <c r="G411" s="24" t="str">
        <f aca="false">IF($D411="","",IF(MID($D411,5,1)="S","S(봄)",IF(MID($D411,5,1)="M","M(여름)",IF(MID($D411,5,1)="X","X(사계절)",MID($D411,5,1)))))</f>
        <v>X(사계절)</v>
      </c>
      <c r="H411" s="25" t="s">
        <v>67</v>
      </c>
      <c r="I411" s="24"/>
      <c r="J411" s="27" t="s">
        <v>447</v>
      </c>
      <c r="K411" s="28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8" t="n">
        <f aca="false">IF($K411="","",$K411-기준정보!$C$5)</f>
        <v>46426</v>
      </c>
      <c r="M411" s="28" t="n">
        <f aca="false">IF($L411="","",$L411-기준정보!$C$6)</f>
        <v>46336</v>
      </c>
      <c r="N411" s="29" t="n">
        <f aca="false">IF($M411="","",$M411-기준정보!$C$4)</f>
        <v>94</v>
      </c>
      <c r="O411" s="27" t="s">
        <v>71</v>
      </c>
      <c r="P411" s="27" t="s">
        <v>71</v>
      </c>
      <c r="Q411" s="30"/>
      <c r="R411" s="26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S411" s="25" t="s">
        <v>1223</v>
      </c>
      <c r="T411" s="25" t="s">
        <v>154</v>
      </c>
      <c r="U411" s="31" t="n">
        <v>4000</v>
      </c>
      <c r="V411" s="26"/>
      <c r="W411" s="26" t="str">
        <f aca="false">IF($K411="","출고일 미정",IF($O411="X","작지 미발행",IF($O411="부분","작지 일부 미발행",IF(AND($Q411&lt;&gt;"",$Q411&gt;$M411),"소재입고 마감("&amp;TEXT($M411,"MM/DD")&amp;") 초과",IF($O411="","발행여부 확인 필요",IF($Q411="","소재 입고일정 확인 필요","정상"))))))</f>
        <v>작지 미발행</v>
      </c>
      <c r="X411" s="24" t="str">
        <f aca="false">IF($K411="","",IF(OR(LEFT($W411,2)="작지",LEFT($W411,4)="소재입고"),IF(LEFT($G411,1)="S","★ 납기위험(S코드)","◆ 지연주의"),IF($W411="정상","✓ 정상","? 확인필요")))</f>
        <v>◆ 지연주의</v>
      </c>
      <c r="Y411" s="27"/>
      <c r="Z411" s="32"/>
    </row>
    <row r="412" customFormat="false" ht="15" hidden="false" customHeight="false" outlineLevel="0" collapsed="false">
      <c r="A412" s="24" t="n">
        <v>408</v>
      </c>
      <c r="B412" s="25" t="s">
        <v>688</v>
      </c>
      <c r="C412" s="25" t="s">
        <v>689</v>
      </c>
      <c r="D412" s="26" t="s">
        <v>1224</v>
      </c>
      <c r="E412" s="25" t="s">
        <v>1225</v>
      </c>
      <c r="F412" s="26" t="s">
        <v>1226</v>
      </c>
      <c r="G412" s="24" t="str">
        <f aca="false">IF($D412="","",IF(MID($D412,5,1)="S","S(봄)",IF(MID($D412,5,1)="M","M(여름)",IF(MID($D412,5,1)="X","X(사계절)",MID($D412,5,1)))))</f>
        <v>X(사계절)</v>
      </c>
      <c r="H412" s="25" t="s">
        <v>67</v>
      </c>
      <c r="I412" s="24"/>
      <c r="J412" s="27" t="s">
        <v>447</v>
      </c>
      <c r="K412" s="28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8" t="n">
        <f aca="false">IF($K412="","",$K412-기준정보!$C$5)</f>
        <v>46426</v>
      </c>
      <c r="M412" s="28" t="n">
        <f aca="false">IF($L412="","",$L412-기준정보!$C$6)</f>
        <v>46336</v>
      </c>
      <c r="N412" s="29" t="n">
        <f aca="false">IF($M412="","",$M412-기준정보!$C$4)</f>
        <v>94</v>
      </c>
      <c r="O412" s="27" t="s">
        <v>71</v>
      </c>
      <c r="P412" s="27" t="s">
        <v>71</v>
      </c>
      <c r="Q412" s="30"/>
      <c r="R412" s="26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S412" s="25" t="s">
        <v>153</v>
      </c>
      <c r="T412" s="25" t="s">
        <v>154</v>
      </c>
      <c r="U412" s="31" t="n">
        <v>7000</v>
      </c>
      <c r="V412" s="26"/>
      <c r="W412" s="26" t="str">
        <f aca="false">IF($K412="","출고일 미정",IF($O412="X","작지 미발행",IF($O412="부분","작지 일부 미발행",IF(AND($Q412&lt;&gt;"",$Q412&gt;$M412),"소재입고 마감("&amp;TEXT($M412,"MM/DD")&amp;") 초과",IF($O412="","발행여부 확인 필요",IF($Q412="","소재 입고일정 확인 필요","정상"))))))</f>
        <v>작지 미발행</v>
      </c>
      <c r="X412" s="24" t="str">
        <f aca="false">IF($K412="","",IF(OR(LEFT($W412,2)="작지",LEFT($W412,4)="소재입고"),IF(LEFT($G412,1)="S","★ 납기위험(S코드)","◆ 지연주의"),IF($W412="정상","✓ 정상","? 확인필요")))</f>
        <v>◆ 지연주의</v>
      </c>
      <c r="Y412" s="27"/>
      <c r="Z412" s="32"/>
    </row>
    <row r="413" customFormat="false" ht="15" hidden="false" customHeight="false" outlineLevel="0" collapsed="false">
      <c r="A413" s="24" t="n">
        <v>409</v>
      </c>
      <c r="B413" s="25" t="s">
        <v>688</v>
      </c>
      <c r="C413" s="25" t="s">
        <v>689</v>
      </c>
      <c r="D413" s="26" t="s">
        <v>1227</v>
      </c>
      <c r="E413" s="25" t="s">
        <v>1228</v>
      </c>
      <c r="F413" s="26" t="s">
        <v>1229</v>
      </c>
      <c r="G413" s="24" t="str">
        <f aca="false">IF($D413="","",IF(MID($D413,5,1)="S","S(봄)",IF(MID($D413,5,1)="M","M(여름)",IF(MID($D413,5,1)="X","X(사계절)",MID($D413,5,1)))))</f>
        <v>X(사계절)</v>
      </c>
      <c r="H413" s="25" t="s">
        <v>67</v>
      </c>
      <c r="I413" s="24"/>
      <c r="J413" s="27" t="s">
        <v>447</v>
      </c>
      <c r="K413" s="28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8" t="n">
        <f aca="false">IF($K413="","",$K413-기준정보!$C$5)</f>
        <v>46426</v>
      </c>
      <c r="M413" s="28" t="n">
        <f aca="false">IF($L413="","",$L413-기준정보!$C$6)</f>
        <v>46336</v>
      </c>
      <c r="N413" s="29" t="n">
        <f aca="false">IF($M413="","",$M413-기준정보!$C$4)</f>
        <v>94</v>
      </c>
      <c r="O413" s="27" t="s">
        <v>71</v>
      </c>
      <c r="P413" s="27" t="s">
        <v>71</v>
      </c>
      <c r="Q413" s="30"/>
      <c r="R413" s="26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S413" s="25" t="s">
        <v>1223</v>
      </c>
      <c r="T413" s="25" t="s">
        <v>154</v>
      </c>
      <c r="U413" s="31" t="n">
        <v>4500</v>
      </c>
      <c r="V413" s="26"/>
      <c r="W413" s="26" t="str">
        <f aca="false">IF($K413="","출고일 미정",IF($O413="X","작지 미발행",IF($O413="부분","작지 일부 미발행",IF(AND($Q413&lt;&gt;"",$Q413&gt;$M413),"소재입고 마감("&amp;TEXT($M413,"MM/DD")&amp;") 초과",IF($O413="","발행여부 확인 필요",IF($Q413="","소재 입고일정 확인 필요","정상"))))))</f>
        <v>작지 미발행</v>
      </c>
      <c r="X413" s="24" t="str">
        <f aca="false">IF($K413="","",IF(OR(LEFT($W413,2)="작지",LEFT($W413,4)="소재입고"),IF(LEFT($G413,1)="S","★ 납기위험(S코드)","◆ 지연주의"),IF($W413="정상","✓ 정상","? 확인필요")))</f>
        <v>◆ 지연주의</v>
      </c>
      <c r="Y413" s="27"/>
      <c r="Z413" s="32"/>
    </row>
    <row r="414" customFormat="false" ht="15" hidden="false" customHeight="false" outlineLevel="0" collapsed="false">
      <c r="A414" s="24" t="n">
        <v>410</v>
      </c>
      <c r="B414" s="25" t="s">
        <v>688</v>
      </c>
      <c r="C414" s="25" t="s">
        <v>689</v>
      </c>
      <c r="D414" s="26" t="s">
        <v>1230</v>
      </c>
      <c r="E414" s="25" t="s">
        <v>1231</v>
      </c>
      <c r="F414" s="26" t="s">
        <v>1129</v>
      </c>
      <c r="G414" s="24" t="str">
        <f aca="false">IF($D414="","",IF(MID($D414,5,1)="S","S(봄)",IF(MID($D414,5,1)="M","M(여름)",IF(MID($D414,5,1)="X","X(사계절)",MID($D414,5,1)))))</f>
        <v>X(사계절)</v>
      </c>
      <c r="H414" s="25" t="s">
        <v>67</v>
      </c>
      <c r="I414" s="24"/>
      <c r="J414" s="27" t="s">
        <v>447</v>
      </c>
      <c r="K414" s="28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8" t="n">
        <f aca="false">IF($K414="","",$K414-기준정보!$C$5)</f>
        <v>46426</v>
      </c>
      <c r="M414" s="28" t="n">
        <f aca="false">IF($L414="","",$L414-기준정보!$C$6)</f>
        <v>46336</v>
      </c>
      <c r="N414" s="29" t="n">
        <f aca="false">IF($M414="","",$M414-기준정보!$C$4)</f>
        <v>94</v>
      </c>
      <c r="O414" s="27" t="s">
        <v>71</v>
      </c>
      <c r="P414" s="27" t="s">
        <v>71</v>
      </c>
      <c r="Q414" s="30"/>
      <c r="R414" s="26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S414" s="25" t="s">
        <v>1223</v>
      </c>
      <c r="T414" s="25" t="s">
        <v>154</v>
      </c>
      <c r="U414" s="31" t="n">
        <v>3500</v>
      </c>
      <c r="V414" s="26"/>
      <c r="W414" s="26" t="str">
        <f aca="false">IF($K414="","출고일 미정",IF($O414="X","작지 미발행",IF($O414="부분","작지 일부 미발행",IF(AND($Q414&lt;&gt;"",$Q414&gt;$M414),"소재입고 마감("&amp;TEXT($M414,"MM/DD")&amp;") 초과",IF($O414="","발행여부 확인 필요",IF($Q414="","소재 입고일정 확인 필요","정상"))))))</f>
        <v>작지 미발행</v>
      </c>
      <c r="X414" s="24" t="str">
        <f aca="false">IF($K414="","",IF(OR(LEFT($W414,2)="작지",LEFT($W414,4)="소재입고"),IF(LEFT($G414,1)="S","★ 납기위험(S코드)","◆ 지연주의"),IF($W414="정상","✓ 정상","? 확인필요")))</f>
        <v>◆ 지연주의</v>
      </c>
      <c r="Y414" s="27"/>
      <c r="Z414" s="32"/>
    </row>
    <row r="415" customFormat="false" ht="15" hidden="false" customHeight="false" outlineLevel="0" collapsed="false">
      <c r="A415" s="24" t="n">
        <v>411</v>
      </c>
      <c r="B415" s="25" t="s">
        <v>688</v>
      </c>
      <c r="C415" s="25" t="s">
        <v>689</v>
      </c>
      <c r="D415" s="26" t="s">
        <v>1232</v>
      </c>
      <c r="E415" s="25" t="s">
        <v>1233</v>
      </c>
      <c r="F415" s="26" t="s">
        <v>1234</v>
      </c>
      <c r="G415" s="24" t="str">
        <f aca="false">IF($D415="","",IF(MID($D415,5,1)="S","S(봄)",IF(MID($D415,5,1)="M","M(여름)",IF(MID($D415,5,1)="X","X(사계절)",MID($D415,5,1)))))</f>
        <v>X(사계절)</v>
      </c>
      <c r="H415" s="25" t="s">
        <v>67</v>
      </c>
      <c r="I415" s="24"/>
      <c r="J415" s="27" t="s">
        <v>447</v>
      </c>
      <c r="K415" s="28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8" t="n">
        <f aca="false">IF($K415="","",$K415-기준정보!$C$5)</f>
        <v>46426</v>
      </c>
      <c r="M415" s="28" t="n">
        <f aca="false">IF($L415="","",$L415-기준정보!$C$6)</f>
        <v>46336</v>
      </c>
      <c r="N415" s="29" t="n">
        <f aca="false">IF($M415="","",$M415-기준정보!$C$4)</f>
        <v>94</v>
      </c>
      <c r="O415" s="27" t="s">
        <v>71</v>
      </c>
      <c r="P415" s="27" t="s">
        <v>71</v>
      </c>
      <c r="Q415" s="30"/>
      <c r="R415" s="26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S415" s="25" t="s">
        <v>1223</v>
      </c>
      <c r="T415" s="25" t="s">
        <v>154</v>
      </c>
      <c r="U415" s="31" t="n">
        <v>4500</v>
      </c>
      <c r="V415" s="26"/>
      <c r="W415" s="26" t="str">
        <f aca="false">IF($K415="","출고일 미정",IF($O415="X","작지 미발행",IF($O415="부분","작지 일부 미발행",IF(AND($Q415&lt;&gt;"",$Q415&gt;$M415),"소재입고 마감("&amp;TEXT($M415,"MM/DD")&amp;") 초과",IF($O415="","발행여부 확인 필요",IF($Q415="","소재 입고일정 확인 필요","정상"))))))</f>
        <v>작지 미발행</v>
      </c>
      <c r="X415" s="24" t="str">
        <f aca="false">IF($K415="","",IF(OR(LEFT($W415,2)="작지",LEFT($W415,4)="소재입고"),IF(LEFT($G415,1)="S","★ 납기위험(S코드)","◆ 지연주의"),IF($W415="정상","✓ 정상","? 확인필요")))</f>
        <v>◆ 지연주의</v>
      </c>
      <c r="Y415" s="27"/>
      <c r="Z415" s="32"/>
    </row>
    <row r="416" customFormat="false" ht="15" hidden="false" customHeight="false" outlineLevel="0" collapsed="false">
      <c r="A416" s="24" t="n">
        <v>412</v>
      </c>
      <c r="B416" s="25" t="s">
        <v>212</v>
      </c>
      <c r="C416" s="25" t="s">
        <v>689</v>
      </c>
      <c r="D416" s="26" t="s">
        <v>1235</v>
      </c>
      <c r="E416" s="26" t="s">
        <v>1236</v>
      </c>
      <c r="F416" s="26" t="s">
        <v>1237</v>
      </c>
      <c r="G416" s="24" t="str">
        <f aca="false">IF($D416="","",IF(MID($D416,5,1)="S","S(봄)",IF(MID($D416,5,1)="M","M(여름)",IF(MID($D416,5,1)="X","X(사계절)",MID($D416,5,1)))))</f>
        <v>X(사계절)</v>
      </c>
      <c r="H416" s="25" t="s">
        <v>67</v>
      </c>
      <c r="I416" s="24" t="s">
        <v>469</v>
      </c>
      <c r="J416" s="27" t="s">
        <v>529</v>
      </c>
      <c r="K416" s="28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8" t="n">
        <f aca="false">IF($K416="","",$K416-기준정보!$C$5)</f>
        <v>46433</v>
      </c>
      <c r="M416" s="28" t="n">
        <f aca="false">IF($L416="","",$L416-기준정보!$C$6)</f>
        <v>46343</v>
      </c>
      <c r="N416" s="29" t="n">
        <f aca="false">IF($M416="","",$M416-기준정보!$C$4)</f>
        <v>101</v>
      </c>
      <c r="O416" s="27" t="s">
        <v>71</v>
      </c>
      <c r="P416" s="27" t="s">
        <v>71</v>
      </c>
      <c r="Q416" s="30"/>
      <c r="R416" s="26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S416" s="25" t="s">
        <v>1238</v>
      </c>
      <c r="T416" s="25" t="s">
        <v>154</v>
      </c>
      <c r="U416" s="31" t="n">
        <v>1100</v>
      </c>
      <c r="V416" s="26" t="s">
        <v>529</v>
      </c>
      <c r="W416" s="26" t="str">
        <f aca="false">IF($K416="","출고일 미정",IF($O416="X","작지 미발행",IF($O416="부분","작지 일부 미발행",IF(AND($Q416&lt;&gt;"",$Q416&gt;$M416),"소재입고 마감("&amp;TEXT($M416,"MM/DD")&amp;") 초과",IF($O416="","발행여부 확인 필요",IF($Q416="","소재 입고일정 확인 필요","정상"))))))</f>
        <v>작지 미발행</v>
      </c>
      <c r="X416" s="24" t="str">
        <f aca="false">IF($K416="","",IF(OR(LEFT($W416,2)="작지",LEFT($W416,4)="소재입고"),IF(LEFT($G416,1)="S","★ 납기위험(S코드)","◆ 지연주의"),IF($W416="정상","✓ 정상","? 확인필요")))</f>
        <v>◆ 지연주의</v>
      </c>
      <c r="Y416" s="27"/>
      <c r="Z416" s="32"/>
    </row>
    <row r="417" customFormat="false" ht="15" hidden="false" customHeight="false" outlineLevel="0" collapsed="false">
      <c r="A417" s="24" t="n">
        <v>413</v>
      </c>
      <c r="B417" s="25" t="s">
        <v>212</v>
      </c>
      <c r="C417" s="25" t="s">
        <v>689</v>
      </c>
      <c r="D417" s="26" t="s">
        <v>1239</v>
      </c>
      <c r="E417" s="26" t="s">
        <v>1240</v>
      </c>
      <c r="F417" s="26" t="s">
        <v>148</v>
      </c>
      <c r="G417" s="24" t="str">
        <f aca="false">IF($D417="","",IF(MID($D417,5,1)="S","S(봄)",IF(MID($D417,5,1)="M","M(여름)",IF(MID($D417,5,1)="X","X(사계절)",MID($D417,5,1)))))</f>
        <v>X(사계절)</v>
      </c>
      <c r="H417" s="25" t="s">
        <v>67</v>
      </c>
      <c r="I417" s="24" t="s">
        <v>469</v>
      </c>
      <c r="J417" s="27" t="s">
        <v>529</v>
      </c>
      <c r="K417" s="28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8" t="n">
        <f aca="false">IF($K417="","",$K417-기준정보!$C$5)</f>
        <v>46433</v>
      </c>
      <c r="M417" s="28" t="n">
        <f aca="false">IF($L417="","",$L417-기준정보!$C$6)</f>
        <v>46343</v>
      </c>
      <c r="N417" s="29" t="n">
        <f aca="false">IF($M417="","",$M417-기준정보!$C$4)</f>
        <v>101</v>
      </c>
      <c r="O417" s="27" t="s">
        <v>71</v>
      </c>
      <c r="P417" s="27" t="s">
        <v>70</v>
      </c>
      <c r="Q417" s="30"/>
      <c r="R417" s="26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S417" s="25" t="s">
        <v>1144</v>
      </c>
      <c r="T417" s="25" t="s">
        <v>73</v>
      </c>
      <c r="U417" s="31" t="n">
        <v>1600</v>
      </c>
      <c r="V417" s="26"/>
      <c r="W417" s="26" t="str">
        <f aca="false">IF($K417="","출고일 미정",IF($O417="X","작지 미발행",IF($O417="부분","작지 일부 미발행",IF(AND($Q417&lt;&gt;"",$Q417&gt;$M417),"소재입고 마감("&amp;TEXT($M417,"MM/DD")&amp;") 초과",IF($O417="","발행여부 확인 필요",IF($Q417="","소재 입고일정 확인 필요","정상"))))))</f>
        <v>작지 미발행</v>
      </c>
      <c r="X417" s="24" t="str">
        <f aca="false">IF($K417="","",IF(OR(LEFT($W417,2)="작지",LEFT($W417,4)="소재입고"),IF(LEFT($G417,1)="S","★ 납기위험(S코드)","◆ 지연주의"),IF($W417="정상","✓ 정상","? 확인필요")))</f>
        <v>◆ 지연주의</v>
      </c>
      <c r="Y417" s="27"/>
      <c r="Z417" s="32"/>
    </row>
    <row r="418" customFormat="false" ht="15" hidden="false" customHeight="false" outlineLevel="0" collapsed="false">
      <c r="A418" s="24" t="n">
        <v>414</v>
      </c>
      <c r="B418" s="25" t="s">
        <v>212</v>
      </c>
      <c r="C418" s="25" t="s">
        <v>689</v>
      </c>
      <c r="D418" s="26" t="s">
        <v>1241</v>
      </c>
      <c r="E418" s="26" t="s">
        <v>1242</v>
      </c>
      <c r="F418" s="26" t="s">
        <v>148</v>
      </c>
      <c r="G418" s="24" t="str">
        <f aca="false">IF($D418="","",IF(MID($D418,5,1)="S","S(봄)",IF(MID($D418,5,1)="M","M(여름)",IF(MID($D418,5,1)="X","X(사계절)",MID($D418,5,1)))))</f>
        <v>X(사계절)</v>
      </c>
      <c r="H418" s="25" t="s">
        <v>67</v>
      </c>
      <c r="I418" s="24" t="s">
        <v>469</v>
      </c>
      <c r="J418" s="27" t="s">
        <v>529</v>
      </c>
      <c r="K418" s="28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8" t="n">
        <f aca="false">IF($K418="","",$K418-기준정보!$C$5)</f>
        <v>46433</v>
      </c>
      <c r="M418" s="28" t="n">
        <f aca="false">IF($L418="","",$L418-기준정보!$C$6)</f>
        <v>46343</v>
      </c>
      <c r="N418" s="29" t="n">
        <f aca="false">IF($M418="","",$M418-기준정보!$C$4)</f>
        <v>101</v>
      </c>
      <c r="O418" s="27" t="s">
        <v>71</v>
      </c>
      <c r="P418" s="27"/>
      <c r="Q418" s="30"/>
      <c r="R418" s="26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S418" s="25" t="s">
        <v>1144</v>
      </c>
      <c r="T418" s="25" t="s">
        <v>73</v>
      </c>
      <c r="U418" s="31" t="n">
        <v>500</v>
      </c>
      <c r="V418" s="26"/>
      <c r="W418" s="26" t="str">
        <f aca="false">IF($K418="","출고일 미정",IF($O418="X","작지 미발행",IF($O418="부분","작지 일부 미발행",IF(AND($Q418&lt;&gt;"",$Q418&gt;$M418),"소재입고 마감("&amp;TEXT($M418,"MM/DD")&amp;") 초과",IF($O418="","발행여부 확인 필요",IF($Q418="","소재 입고일정 확인 필요","정상"))))))</f>
        <v>작지 미발행</v>
      </c>
      <c r="X418" s="24" t="str">
        <f aca="false">IF($K418="","",IF(OR(LEFT($W418,2)="작지",LEFT($W418,4)="소재입고"),IF(LEFT($G418,1)="S","★ 납기위험(S코드)","◆ 지연주의"),IF($W418="정상","✓ 정상","? 확인필요")))</f>
        <v>◆ 지연주의</v>
      </c>
      <c r="Y418" s="27"/>
      <c r="Z418" s="32"/>
    </row>
    <row r="419" customFormat="false" ht="15" hidden="false" customHeight="false" outlineLevel="0" collapsed="false">
      <c r="A419" s="24" t="n">
        <v>415</v>
      </c>
      <c r="B419" s="25" t="s">
        <v>212</v>
      </c>
      <c r="C419" s="25" t="s">
        <v>689</v>
      </c>
      <c r="D419" s="26" t="s">
        <v>1243</v>
      </c>
      <c r="E419" s="26" t="s">
        <v>1244</v>
      </c>
      <c r="F419" s="26" t="s">
        <v>1245</v>
      </c>
      <c r="G419" s="24" t="str">
        <f aca="false">IF($D419="","",IF(MID($D419,5,1)="S","S(봄)",IF(MID($D419,5,1)="M","M(여름)",IF(MID($D419,5,1)="X","X(사계절)",MID($D419,5,1)))))</f>
        <v>X(사계절)</v>
      </c>
      <c r="H419" s="25" t="s">
        <v>67</v>
      </c>
      <c r="I419" s="24" t="s">
        <v>469</v>
      </c>
      <c r="J419" s="27" t="s">
        <v>529</v>
      </c>
      <c r="K419" s="28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8" t="n">
        <f aca="false">IF($K419="","",$K419-기준정보!$C$5)</f>
        <v>46433</v>
      </c>
      <c r="M419" s="28" t="n">
        <f aca="false">IF($L419="","",$L419-기준정보!$C$6)</f>
        <v>46343</v>
      </c>
      <c r="N419" s="29" t="n">
        <f aca="false">IF($M419="","",$M419-기준정보!$C$4)</f>
        <v>101</v>
      </c>
      <c r="O419" s="27" t="s">
        <v>71</v>
      </c>
      <c r="P419" s="27" t="s">
        <v>70</v>
      </c>
      <c r="Q419" s="30"/>
      <c r="R419" s="26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S419" s="25" t="s">
        <v>1144</v>
      </c>
      <c r="T419" s="25" t="s">
        <v>73</v>
      </c>
      <c r="U419" s="31" t="n">
        <v>1200</v>
      </c>
      <c r="V419" s="26"/>
      <c r="W419" s="26" t="str">
        <f aca="false">IF($K419="","출고일 미정",IF($O419="X","작지 미발행",IF($O419="부분","작지 일부 미발행",IF(AND($Q419&lt;&gt;"",$Q419&gt;$M419),"소재입고 마감("&amp;TEXT($M419,"MM/DD")&amp;") 초과",IF($O419="","발행여부 확인 필요",IF($Q419="","소재 입고일정 확인 필요","정상"))))))</f>
        <v>작지 미발행</v>
      </c>
      <c r="X419" s="24" t="str">
        <f aca="false">IF($K419="","",IF(OR(LEFT($W419,2)="작지",LEFT($W419,4)="소재입고"),IF(LEFT($G419,1)="S","★ 납기위험(S코드)","◆ 지연주의"),IF($W419="정상","✓ 정상","? 확인필요")))</f>
        <v>◆ 지연주의</v>
      </c>
      <c r="Y419" s="27"/>
      <c r="Z419" s="32"/>
    </row>
    <row r="420" customFormat="false" ht="15" hidden="false" customHeight="false" outlineLevel="0" collapsed="false">
      <c r="A420" s="24" t="n">
        <v>416</v>
      </c>
      <c r="B420" s="25" t="s">
        <v>212</v>
      </c>
      <c r="C420" s="25" t="s">
        <v>689</v>
      </c>
      <c r="D420" s="26" t="s">
        <v>1246</v>
      </c>
      <c r="E420" s="26" t="s">
        <v>1247</v>
      </c>
      <c r="F420" s="26" t="s">
        <v>1248</v>
      </c>
      <c r="G420" s="24" t="str">
        <f aca="false">IF($D420="","",IF(MID($D420,5,1)="S","S(봄)",IF(MID($D420,5,1)="M","M(여름)",IF(MID($D420,5,1)="X","X(사계절)",MID($D420,5,1)))))</f>
        <v>X(사계절)</v>
      </c>
      <c r="H420" s="25" t="s">
        <v>67</v>
      </c>
      <c r="I420" s="24" t="s">
        <v>469</v>
      </c>
      <c r="J420" s="27" t="s">
        <v>529</v>
      </c>
      <c r="K420" s="28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8" t="n">
        <f aca="false">IF($K420="","",$K420-기준정보!$C$5)</f>
        <v>46433</v>
      </c>
      <c r="M420" s="28" t="n">
        <f aca="false">IF($L420="","",$L420-기준정보!$C$6)</f>
        <v>46343</v>
      </c>
      <c r="N420" s="29" t="n">
        <f aca="false">IF($M420="","",$M420-기준정보!$C$4)</f>
        <v>101</v>
      </c>
      <c r="O420" s="27" t="s">
        <v>71</v>
      </c>
      <c r="P420" s="27" t="s">
        <v>70</v>
      </c>
      <c r="Q420" s="30"/>
      <c r="R420" s="26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S420" s="25" t="s">
        <v>1144</v>
      </c>
      <c r="T420" s="25" t="s">
        <v>73</v>
      </c>
      <c r="U420" s="31" t="n">
        <v>1300</v>
      </c>
      <c r="V420" s="26"/>
      <c r="W420" s="26" t="str">
        <f aca="false">IF($K420="","출고일 미정",IF($O420="X","작지 미발행",IF($O420="부분","작지 일부 미발행",IF(AND($Q420&lt;&gt;"",$Q420&gt;$M420),"소재입고 마감("&amp;TEXT($M420,"MM/DD")&amp;") 초과",IF($O420="","발행여부 확인 필요",IF($Q420="","소재 입고일정 확인 필요","정상"))))))</f>
        <v>작지 미발행</v>
      </c>
      <c r="X420" s="24" t="str">
        <f aca="false">IF($K420="","",IF(OR(LEFT($W420,2)="작지",LEFT($W420,4)="소재입고"),IF(LEFT($G420,1)="S","★ 납기위험(S코드)","◆ 지연주의"),IF($W420="정상","✓ 정상","? 확인필요")))</f>
        <v>◆ 지연주의</v>
      </c>
      <c r="Y420" s="27"/>
      <c r="Z420" s="32"/>
    </row>
    <row r="421" customFormat="false" ht="15" hidden="false" customHeight="false" outlineLevel="0" collapsed="false">
      <c r="A421" s="24" t="n">
        <v>417</v>
      </c>
      <c r="B421" s="25" t="s">
        <v>212</v>
      </c>
      <c r="C421" s="25" t="s">
        <v>689</v>
      </c>
      <c r="D421" s="26" t="s">
        <v>1249</v>
      </c>
      <c r="E421" s="26" t="s">
        <v>1250</v>
      </c>
      <c r="F421" s="26" t="s">
        <v>1251</v>
      </c>
      <c r="G421" s="24" t="str">
        <f aca="false">IF($D421="","",IF(MID($D421,5,1)="S","S(봄)",IF(MID($D421,5,1)="M","M(여름)",IF(MID($D421,5,1)="X","X(사계절)",MID($D421,5,1)))))</f>
        <v>X(사계절)</v>
      </c>
      <c r="H421" s="25" t="s">
        <v>67</v>
      </c>
      <c r="I421" s="24" t="s">
        <v>469</v>
      </c>
      <c r="J421" s="27" t="s">
        <v>529</v>
      </c>
      <c r="K421" s="28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8" t="n">
        <f aca="false">IF($K421="","",$K421-기준정보!$C$5)</f>
        <v>46433</v>
      </c>
      <c r="M421" s="28" t="n">
        <f aca="false">IF($L421="","",$L421-기준정보!$C$6)</f>
        <v>46343</v>
      </c>
      <c r="N421" s="29" t="n">
        <f aca="false">IF($M421="","",$M421-기준정보!$C$4)</f>
        <v>101</v>
      </c>
      <c r="O421" s="27" t="s">
        <v>71</v>
      </c>
      <c r="P421" s="27" t="s">
        <v>71</v>
      </c>
      <c r="Q421" s="30"/>
      <c r="R421" s="26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S421" s="25" t="s">
        <v>1117</v>
      </c>
      <c r="T421" s="25" t="s">
        <v>154</v>
      </c>
      <c r="U421" s="31" t="n">
        <v>1600</v>
      </c>
      <c r="V421" s="26"/>
      <c r="W421" s="26" t="str">
        <f aca="false">IF($K421="","출고일 미정",IF($O421="X","작지 미발행",IF($O421="부분","작지 일부 미발행",IF(AND($Q421&lt;&gt;"",$Q421&gt;$M421),"소재입고 마감("&amp;TEXT($M421,"MM/DD")&amp;") 초과",IF($O421="","발행여부 확인 필요",IF($Q421="","소재 입고일정 확인 필요","정상"))))))</f>
        <v>작지 미발행</v>
      </c>
      <c r="X421" s="24" t="str">
        <f aca="false">IF($K421="","",IF(OR(LEFT($W421,2)="작지",LEFT($W421,4)="소재입고"),IF(LEFT($G421,1)="S","★ 납기위험(S코드)","◆ 지연주의"),IF($W421="정상","✓ 정상","? 확인필요")))</f>
        <v>◆ 지연주의</v>
      </c>
      <c r="Y421" s="27"/>
      <c r="Z421" s="32"/>
    </row>
    <row r="422" customFormat="false" ht="15" hidden="false" customHeight="false" outlineLevel="0" collapsed="false">
      <c r="A422" s="24" t="n">
        <v>418</v>
      </c>
      <c r="B422" s="25" t="s">
        <v>212</v>
      </c>
      <c r="C422" s="25" t="s">
        <v>689</v>
      </c>
      <c r="D422" s="26" t="s">
        <v>1252</v>
      </c>
      <c r="E422" s="26" t="s">
        <v>1253</v>
      </c>
      <c r="F422" s="26" t="s">
        <v>1254</v>
      </c>
      <c r="G422" s="24" t="str">
        <f aca="false">IF($D422="","",IF(MID($D422,5,1)="S","S(봄)",IF(MID($D422,5,1)="M","M(여름)",IF(MID($D422,5,1)="X","X(사계절)",MID($D422,5,1)))))</f>
        <v>X(사계절)</v>
      </c>
      <c r="H422" s="25" t="s">
        <v>67</v>
      </c>
      <c r="I422" s="24" t="s">
        <v>469</v>
      </c>
      <c r="J422" s="27" t="s">
        <v>529</v>
      </c>
      <c r="K422" s="28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8" t="n">
        <f aca="false">IF($K422="","",$K422-기준정보!$C$5)</f>
        <v>46433</v>
      </c>
      <c r="M422" s="28" t="n">
        <f aca="false">IF($L422="","",$L422-기준정보!$C$6)</f>
        <v>46343</v>
      </c>
      <c r="N422" s="29" t="n">
        <f aca="false">IF($M422="","",$M422-기준정보!$C$4)</f>
        <v>101</v>
      </c>
      <c r="O422" s="27" t="s">
        <v>71</v>
      </c>
      <c r="P422" s="27" t="s">
        <v>70</v>
      </c>
      <c r="Q422" s="30"/>
      <c r="R422" s="26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S422" s="25" t="s">
        <v>158</v>
      </c>
      <c r="T422" s="25" t="s">
        <v>73</v>
      </c>
      <c r="U422" s="31" t="n">
        <v>1200</v>
      </c>
      <c r="V422" s="26"/>
      <c r="W422" s="26" t="str">
        <f aca="false">IF($K422="","출고일 미정",IF($O422="X","작지 미발행",IF($O422="부분","작지 일부 미발행",IF(AND($Q422&lt;&gt;"",$Q422&gt;$M422),"소재입고 마감("&amp;TEXT($M422,"MM/DD")&amp;") 초과",IF($O422="","발행여부 확인 필요",IF($Q422="","소재 입고일정 확인 필요","정상"))))))</f>
        <v>작지 미발행</v>
      </c>
      <c r="X422" s="24" t="str">
        <f aca="false">IF($K422="","",IF(OR(LEFT($W422,2)="작지",LEFT($W422,4)="소재입고"),IF(LEFT($G422,1)="S","★ 납기위험(S코드)","◆ 지연주의"),IF($W422="정상","✓ 정상","? 확인필요")))</f>
        <v>◆ 지연주의</v>
      </c>
      <c r="Y422" s="27"/>
      <c r="Z422" s="32"/>
    </row>
    <row r="423" customFormat="false" ht="15" hidden="false" customHeight="false" outlineLevel="0" collapsed="false">
      <c r="A423" s="24" t="n">
        <v>419</v>
      </c>
      <c r="B423" s="25" t="s">
        <v>212</v>
      </c>
      <c r="C423" s="25" t="s">
        <v>689</v>
      </c>
      <c r="D423" s="26" t="s">
        <v>1255</v>
      </c>
      <c r="E423" s="26" t="s">
        <v>1256</v>
      </c>
      <c r="F423" s="26" t="s">
        <v>1245</v>
      </c>
      <c r="G423" s="24" t="str">
        <f aca="false">IF($D423="","",IF(MID($D423,5,1)="S","S(봄)",IF(MID($D423,5,1)="M","M(여름)",IF(MID($D423,5,1)="X","X(사계절)",MID($D423,5,1)))))</f>
        <v>X(사계절)</v>
      </c>
      <c r="H423" s="25" t="s">
        <v>67</v>
      </c>
      <c r="I423" s="24" t="s">
        <v>469</v>
      </c>
      <c r="J423" s="27" t="s">
        <v>529</v>
      </c>
      <c r="K423" s="28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8" t="n">
        <f aca="false">IF($K423="","",$K423-기준정보!$C$5)</f>
        <v>46433</v>
      </c>
      <c r="M423" s="28" t="n">
        <f aca="false">IF($L423="","",$L423-기준정보!$C$6)</f>
        <v>46343</v>
      </c>
      <c r="N423" s="29" t="n">
        <f aca="false">IF($M423="","",$M423-기준정보!$C$4)</f>
        <v>101</v>
      </c>
      <c r="O423" s="27" t="s">
        <v>71</v>
      </c>
      <c r="P423" s="27" t="s">
        <v>70</v>
      </c>
      <c r="Q423" s="30"/>
      <c r="R423" s="26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S423" s="25" t="s">
        <v>158</v>
      </c>
      <c r="T423" s="25" t="s">
        <v>73</v>
      </c>
      <c r="U423" s="31" t="n">
        <v>900</v>
      </c>
      <c r="V423" s="26"/>
      <c r="W423" s="26" t="str">
        <f aca="false">IF($K423="","출고일 미정",IF($O423="X","작지 미발행",IF($O423="부분","작지 일부 미발행",IF(AND($Q423&lt;&gt;"",$Q423&gt;$M423),"소재입고 마감("&amp;TEXT($M423,"MM/DD")&amp;") 초과",IF($O423="","발행여부 확인 필요",IF($Q423="","소재 입고일정 확인 필요","정상"))))))</f>
        <v>작지 미발행</v>
      </c>
      <c r="X423" s="24" t="str">
        <f aca="false">IF($K423="","",IF(OR(LEFT($W423,2)="작지",LEFT($W423,4)="소재입고"),IF(LEFT($G423,1)="S","★ 납기위험(S코드)","◆ 지연주의"),IF($W423="정상","✓ 정상","? 확인필요")))</f>
        <v>◆ 지연주의</v>
      </c>
      <c r="Y423" s="27"/>
      <c r="Z423" s="32"/>
    </row>
    <row r="424" customFormat="false" ht="15" hidden="false" customHeight="false" outlineLevel="0" collapsed="false">
      <c r="A424" s="24" t="n">
        <v>420</v>
      </c>
      <c r="B424" s="25" t="s">
        <v>688</v>
      </c>
      <c r="C424" s="25" t="s">
        <v>483</v>
      </c>
      <c r="D424" s="26" t="s">
        <v>1257</v>
      </c>
      <c r="E424" s="25" t="s">
        <v>1258</v>
      </c>
      <c r="F424" s="26" t="s">
        <v>849</v>
      </c>
      <c r="G424" s="24" t="str">
        <f aca="false">IF($D424="","",IF(MID($D424,5,1)="S","S(봄)",IF(MID($D424,5,1)="M","M(여름)",IF(MID($D424,5,1)="X","X(사계절)",MID($D424,5,1)))))</f>
        <v>X(사계절)</v>
      </c>
      <c r="H424" s="25" t="s">
        <v>67</v>
      </c>
      <c r="I424" s="24"/>
      <c r="J424" s="27" t="s">
        <v>614</v>
      </c>
      <c r="K424" s="28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8" t="n">
        <f aca="false">IF($K424="","",$K424-기준정보!$C$5)</f>
        <v>46440</v>
      </c>
      <c r="M424" s="28" t="n">
        <f aca="false">IF($L424="","",$L424-기준정보!$C$6)</f>
        <v>46350</v>
      </c>
      <c r="N424" s="29" t="n">
        <f aca="false">IF($M424="","",$M424-기준정보!$C$4)</f>
        <v>108</v>
      </c>
      <c r="O424" s="27" t="s">
        <v>71</v>
      </c>
      <c r="P424" s="27" t="s">
        <v>71</v>
      </c>
      <c r="Q424" s="30"/>
      <c r="R424" s="26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S424" s="25" t="s">
        <v>888</v>
      </c>
      <c r="T424" s="25" t="s">
        <v>889</v>
      </c>
      <c r="U424" s="31" t="n">
        <v>2000</v>
      </c>
      <c r="V424" s="26"/>
      <c r="W424" s="26" t="str">
        <f aca="false">IF($K424="","출고일 미정",IF($O424="X","작지 미발행",IF($O424="부분","작지 일부 미발행",IF(AND($Q424&lt;&gt;"",$Q424&gt;$M424),"소재입고 마감("&amp;TEXT($M424,"MM/DD")&amp;") 초과",IF($O424="","발행여부 확인 필요",IF($Q424="","소재 입고일정 확인 필요","정상"))))))</f>
        <v>작지 미발행</v>
      </c>
      <c r="X424" s="24" t="str">
        <f aca="false">IF($K424="","",IF(OR(LEFT($W424,2)="작지",LEFT($W424,4)="소재입고"),IF(LEFT($G424,1)="S","★ 납기위험(S코드)","◆ 지연주의"),IF($W424="정상","✓ 정상","? 확인필요")))</f>
        <v>◆ 지연주의</v>
      </c>
      <c r="Y424" s="27"/>
      <c r="Z424" s="32"/>
    </row>
    <row r="425" customFormat="false" ht="15" hidden="false" customHeight="false" outlineLevel="0" collapsed="false">
      <c r="A425" s="24" t="n">
        <v>421</v>
      </c>
      <c r="B425" s="25" t="s">
        <v>688</v>
      </c>
      <c r="C425" s="25" t="s">
        <v>689</v>
      </c>
      <c r="D425" s="26" t="s">
        <v>1259</v>
      </c>
      <c r="E425" s="25" t="s">
        <v>1260</v>
      </c>
      <c r="F425" s="26" t="s">
        <v>1261</v>
      </c>
      <c r="G425" s="24" t="str">
        <f aca="false">IF($D425="","",IF(MID($D425,5,1)="S","S(봄)",IF(MID($D425,5,1)="M","M(여름)",IF(MID($D425,5,1)="X","X(사계절)",MID($D425,5,1)))))</f>
        <v>X(사계절)</v>
      </c>
      <c r="H425" s="25" t="s">
        <v>67</v>
      </c>
      <c r="I425" s="24" t="s">
        <v>404</v>
      </c>
      <c r="J425" s="27" t="s">
        <v>614</v>
      </c>
      <c r="K425" s="28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8" t="n">
        <f aca="false">IF($K425="","",$K425-기준정보!$C$5)</f>
        <v>46440</v>
      </c>
      <c r="M425" s="28" t="n">
        <f aca="false">IF($L425="","",$L425-기준정보!$C$6)</f>
        <v>46350</v>
      </c>
      <c r="N425" s="29" t="n">
        <f aca="false">IF($M425="","",$M425-기준정보!$C$4)</f>
        <v>108</v>
      </c>
      <c r="O425" s="27" t="s">
        <v>71</v>
      </c>
      <c r="P425" s="27" t="s">
        <v>70</v>
      </c>
      <c r="Q425" s="30"/>
      <c r="R425" s="26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S425" s="25" t="s">
        <v>692</v>
      </c>
      <c r="T425" s="25" t="s">
        <v>154</v>
      </c>
      <c r="U425" s="31" t="n">
        <v>5500</v>
      </c>
      <c r="V425" s="26"/>
      <c r="W425" s="26" t="str">
        <f aca="false">IF($K425="","출고일 미정",IF($O425="X","작지 미발행",IF($O425="부분","작지 일부 미발행",IF(AND($Q425&lt;&gt;"",$Q425&gt;$M425),"소재입고 마감("&amp;TEXT($M425,"MM/DD")&amp;") 초과",IF($O425="","발행여부 확인 필요",IF($Q425="","소재 입고일정 확인 필요","정상"))))))</f>
        <v>작지 미발행</v>
      </c>
      <c r="X425" s="24" t="str">
        <f aca="false">IF($K425="","",IF(OR(LEFT($W425,2)="작지",LEFT($W425,4)="소재입고"),IF(LEFT($G425,1)="S","★ 납기위험(S코드)","◆ 지연주의"),IF($W425="정상","✓ 정상","? 확인필요")))</f>
        <v>◆ 지연주의</v>
      </c>
      <c r="Y425" s="27"/>
      <c r="Z425" s="32"/>
    </row>
    <row r="426" customFormat="false" ht="15" hidden="false" customHeight="false" outlineLevel="0" collapsed="false">
      <c r="A426" s="24" t="n">
        <v>422</v>
      </c>
      <c r="B426" s="25" t="s">
        <v>688</v>
      </c>
      <c r="C426" s="25" t="s">
        <v>483</v>
      </c>
      <c r="D426" s="26" t="s">
        <v>1262</v>
      </c>
      <c r="E426" s="25" t="s">
        <v>1263</v>
      </c>
      <c r="F426" s="26" t="s">
        <v>584</v>
      </c>
      <c r="G426" s="24" t="str">
        <f aca="false">IF($D426="","",IF(MID($D426,5,1)="S","S(봄)",IF(MID($D426,5,1)="M","M(여름)",IF(MID($D426,5,1)="X","X(사계절)",MID($D426,5,1)))))</f>
        <v>X(사계절)</v>
      </c>
      <c r="H426" s="25" t="s">
        <v>67</v>
      </c>
      <c r="I426" s="24"/>
      <c r="J426" s="27" t="s">
        <v>793</v>
      </c>
      <c r="K426" s="28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8" t="n">
        <f aca="false">IF($K426="","",$K426-기준정보!$C$5)</f>
        <v>46454</v>
      </c>
      <c r="M426" s="28" t="n">
        <f aca="false">IF($L426="","",$L426-기준정보!$C$6)</f>
        <v>46364</v>
      </c>
      <c r="N426" s="29" t="n">
        <f aca="false">IF($M426="","",$M426-기준정보!$C$4)</f>
        <v>122</v>
      </c>
      <c r="O426" s="27" t="s">
        <v>71</v>
      </c>
      <c r="P426" s="27" t="s">
        <v>71</v>
      </c>
      <c r="Q426" s="30"/>
      <c r="R426" s="26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S426" s="25" t="s">
        <v>1105</v>
      </c>
      <c r="T426" s="25" t="s">
        <v>119</v>
      </c>
      <c r="U426" s="31" t="n">
        <v>900</v>
      </c>
      <c r="V426" s="26"/>
      <c r="W426" s="26" t="str">
        <f aca="false">IF($K426="","출고일 미정",IF($O426="X","작지 미발행",IF($O426="부분","작지 일부 미발행",IF(AND($Q426&lt;&gt;"",$Q426&gt;$M426),"소재입고 마감("&amp;TEXT($M426,"MM/DD")&amp;") 초과",IF($O426="","발행여부 확인 필요",IF($Q426="","소재 입고일정 확인 필요","정상"))))))</f>
        <v>작지 미발행</v>
      </c>
      <c r="X426" s="24" t="str">
        <f aca="false">IF($K426="","",IF(OR(LEFT($W426,2)="작지",LEFT($W426,4)="소재입고"),IF(LEFT($G426,1)="S","★ 납기위험(S코드)","◆ 지연주의"),IF($W426="정상","✓ 정상","? 확인필요")))</f>
        <v>◆ 지연주의</v>
      </c>
      <c r="Y426" s="27"/>
      <c r="Z426" s="32"/>
    </row>
    <row r="427" customFormat="false" ht="15" hidden="false" customHeight="false" outlineLevel="0" collapsed="false">
      <c r="A427" s="24" t="n">
        <v>423</v>
      </c>
      <c r="B427" s="25" t="s">
        <v>688</v>
      </c>
      <c r="C427" s="25" t="s">
        <v>483</v>
      </c>
      <c r="D427" s="26" t="s">
        <v>1264</v>
      </c>
      <c r="E427" s="25" t="s">
        <v>1265</v>
      </c>
      <c r="F427" s="26" t="s">
        <v>148</v>
      </c>
      <c r="G427" s="24" t="str">
        <f aca="false">IF($D427="","",IF(MID($D427,5,1)="S","S(봄)",IF(MID($D427,5,1)="M","M(여름)",IF(MID($D427,5,1)="X","X(사계절)",MID($D427,5,1)))))</f>
        <v>X(사계절)</v>
      </c>
      <c r="H427" s="25" t="s">
        <v>67</v>
      </c>
      <c r="I427" s="24"/>
      <c r="J427" s="27" t="s">
        <v>793</v>
      </c>
      <c r="K427" s="28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8" t="n">
        <f aca="false">IF($K427="","",$K427-기준정보!$C$5)</f>
        <v>46454</v>
      </c>
      <c r="M427" s="28" t="n">
        <f aca="false">IF($L427="","",$L427-기준정보!$C$6)</f>
        <v>46364</v>
      </c>
      <c r="N427" s="29" t="n">
        <f aca="false">IF($M427="","",$M427-기준정보!$C$4)</f>
        <v>122</v>
      </c>
      <c r="O427" s="27" t="s">
        <v>71</v>
      </c>
      <c r="P427" s="27" t="s">
        <v>71</v>
      </c>
      <c r="Q427" s="30"/>
      <c r="R427" s="26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S427" s="25" t="s">
        <v>1105</v>
      </c>
      <c r="T427" s="25" t="s">
        <v>119</v>
      </c>
      <c r="U427" s="31" t="n">
        <v>800</v>
      </c>
      <c r="V427" s="26"/>
      <c r="W427" s="26" t="str">
        <f aca="false">IF($K427="","출고일 미정",IF($O427="X","작지 미발행",IF($O427="부분","작지 일부 미발행",IF(AND($Q427&lt;&gt;"",$Q427&gt;$M427),"소재입고 마감("&amp;TEXT($M427,"MM/DD")&amp;") 초과",IF($O427="","발행여부 확인 필요",IF($Q427="","소재 입고일정 확인 필요","정상"))))))</f>
        <v>작지 미발행</v>
      </c>
      <c r="X427" s="24" t="str">
        <f aca="false">IF($K427="","",IF(OR(LEFT($W427,2)="작지",LEFT($W427,4)="소재입고"),IF(LEFT($G427,1)="S","★ 납기위험(S코드)","◆ 지연주의"),IF($W427="정상","✓ 정상","? 확인필요")))</f>
        <v>◆ 지연주의</v>
      </c>
      <c r="Y427" s="27"/>
      <c r="Z427" s="32"/>
    </row>
    <row r="428" customFormat="false" ht="15" hidden="false" customHeight="false" outlineLevel="0" collapsed="false">
      <c r="A428" s="24" t="n">
        <v>424</v>
      </c>
      <c r="B428" s="25" t="s">
        <v>688</v>
      </c>
      <c r="C428" s="25" t="s">
        <v>689</v>
      </c>
      <c r="D428" s="26" t="s">
        <v>1266</v>
      </c>
      <c r="E428" s="25" t="s">
        <v>1267</v>
      </c>
      <c r="F428" s="26" t="s">
        <v>1268</v>
      </c>
      <c r="G428" s="24" t="str">
        <f aca="false">IF($D428="","",IF(MID($D428,5,1)="S","S(봄)",IF(MID($D428,5,1)="M","M(여름)",IF(MID($D428,5,1)="X","X(사계절)",MID($D428,5,1)))))</f>
        <v>X(사계절)</v>
      </c>
      <c r="H428" s="25" t="s">
        <v>67</v>
      </c>
      <c r="I428" s="24" t="s">
        <v>404</v>
      </c>
      <c r="J428" s="27" t="s">
        <v>793</v>
      </c>
      <c r="K428" s="28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8" t="n">
        <f aca="false">IF($K428="","",$K428-기준정보!$C$5)</f>
        <v>46454</v>
      </c>
      <c r="M428" s="28" t="n">
        <f aca="false">IF($L428="","",$L428-기준정보!$C$6)</f>
        <v>46364</v>
      </c>
      <c r="N428" s="29" t="n">
        <f aca="false">IF($M428="","",$M428-기준정보!$C$4)</f>
        <v>122</v>
      </c>
      <c r="O428" s="27" t="s">
        <v>71</v>
      </c>
      <c r="P428" s="27" t="s">
        <v>70</v>
      </c>
      <c r="Q428" s="30"/>
      <c r="R428" s="26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S428" s="26" t="s">
        <v>881</v>
      </c>
      <c r="T428" s="25" t="s">
        <v>73</v>
      </c>
      <c r="U428" s="31" t="n">
        <v>2600</v>
      </c>
      <c r="V428" s="26"/>
      <c r="W428" s="26" t="str">
        <f aca="false">IF($K428="","출고일 미정",IF($O428="X","작지 미발행",IF($O428="부분","작지 일부 미발행",IF(AND($Q428&lt;&gt;"",$Q428&gt;$M428),"소재입고 마감("&amp;TEXT($M428,"MM/DD")&amp;") 초과",IF($O428="","발행여부 확인 필요",IF($Q428="","소재 입고일정 확인 필요","정상"))))))</f>
        <v>작지 미발행</v>
      </c>
      <c r="X428" s="24" t="str">
        <f aca="false">IF($K428="","",IF(OR(LEFT($W428,2)="작지",LEFT($W428,4)="소재입고"),IF(LEFT($G428,1)="S","★ 납기위험(S코드)","◆ 지연주의"),IF($W428="정상","✓ 정상","? 확인필요")))</f>
        <v>◆ 지연주의</v>
      </c>
      <c r="Y428" s="27"/>
      <c r="Z428" s="32"/>
    </row>
  </sheetData>
  <autoFilter ref="A4:Z428"/>
  <conditionalFormatting sqref="X5:X428">
    <cfRule type="containsText" priority="2" operator="containsText" aboveAverage="0" equalAverage="0" bottom="0" percent="0" rank="0" text="★" dxfId="10">
      <formula>NOT(ISERROR(SEARCH("★",X5)))</formula>
    </cfRule>
    <cfRule type="containsText" priority="3" operator="containsText" aboveAverage="0" equalAverage="0" bottom="0" percent="0" rank="0" text="◆" dxfId="11">
      <formula>NOT(ISERROR(SEARCH("◆",X5)))</formula>
    </cfRule>
    <cfRule type="containsText" priority="4" operator="containsText" aboveAverage="0" equalAverage="0" bottom="0" percent="0" rank="0" text="✓" dxfId="12">
      <formula>NOT(ISERROR(SEARCH("✓",X5)))</formula>
    </cfRule>
    <cfRule type="containsText" priority="5" operator="containsText" aboveAverage="0" equalAverage="0" bottom="0" percent="0" rank="0" text="?" dxfId="13">
      <formula>NOT(ISERROR(SEARCH("?",X5)))</formula>
    </cfRule>
  </conditionalFormatting>
  <dataValidations count="3">
    <dataValidation allowBlank="true" errorStyle="stop" operator="between" showDropDown="false" showErrorMessage="false" showInputMessage="false" sqref="O5:O428" type="list">
      <formula1>"O,부분,X"</formula1>
      <formula2>0</formula2>
    </dataValidation>
    <dataValidation allowBlank="true" errorStyle="stop" operator="between" showDropDown="false" showErrorMessage="false" showInputMessage="false" sqref="P5:P428" type="list">
      <formula1>"O,부분,X"</formula1>
      <formula2>0</formula2>
    </dataValidation>
    <dataValidation allowBlank="true" errorStyle="stop" operator="between" showDropDown="false" showErrorMessage="false" showInputMessage="false" sqref="Y5:Y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  <col collapsed="false" customWidth="true" hidden="false" outlineLevel="0" max="8" min="8" style="0" width="12"/>
  </cols>
  <sheetData>
    <row r="2" customFormat="false" ht="19.4" hidden="false" customHeight="false" outlineLevel="0" collapsed="false">
      <c r="B2" s="17" t="s">
        <v>1269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"&amp;(기준정보!$C$5+기준정보!$C$6)&amp;"일"&amp;"  ·  S "&amp;COUNTIF('소재역산 트래커'!$G$5:$G$428,"S(봄)")&amp;" / M "&amp;COUNTIF('소재역산 트래커'!$G$5:$G$428,"M(여름)")&amp;" / X "&amp;COUNTIF('소재역산 트래커'!$G$5:$G$428,"X(사계절)")</f>
        <v>기준일: 2026-08-08  ·  소재마감 = 출고일 − 104일  ·  S 108 / M 244 / X 72</v>
      </c>
    </row>
    <row r="5" customFormat="false" ht="15" hidden="false" customHeight="false" outlineLevel="0" collapsed="false">
      <c r="B5" s="18" t="s">
        <v>1270</v>
      </c>
      <c r="D5" s="6" t="s">
        <v>1271</v>
      </c>
      <c r="F5" s="18" t="s">
        <v>1272</v>
      </c>
      <c r="H5" s="18" t="s">
        <v>1273</v>
      </c>
      <c r="J5" s="18" t="s">
        <v>1274</v>
      </c>
    </row>
    <row r="6" customFormat="false" ht="26.8" hidden="false" customHeight="false" outlineLevel="0" collapsed="false">
      <c r="B6" s="34" t="n">
        <f aca="false">COUNTA('소재역산 트래커'!$D$5:$D$428)</f>
        <v>424</v>
      </c>
      <c r="D6" s="34" t="n">
        <f aca="false">COUNTIF('소재역산 트래커'!$G$5:$G$428,"S(봄)")</f>
        <v>108</v>
      </c>
      <c r="F6" s="35" t="n">
        <f aca="false">COUNTIF('소재역산 트래커'!$X$5:$X$428,"★*")</f>
        <v>17</v>
      </c>
      <c r="H6" s="36" t="n">
        <f aca="false">COUNTIF('소재역산 트래커'!$X$5:$X$428,"◆*")</f>
        <v>118</v>
      </c>
      <c r="J6" s="34" t="n">
        <f aca="false">COUNTIF('소재역산 트래커'!$P$5:$P$428,"O")</f>
        <v>17</v>
      </c>
    </row>
    <row r="9" customFormat="false" ht="16.4" hidden="false" customHeight="false" outlineLevel="0" collapsed="false">
      <c r="B9" s="37" t="s">
        <v>1275</v>
      </c>
    </row>
    <row r="10" customFormat="false" ht="15" hidden="false" customHeight="false" outlineLevel="0" collapsed="false">
      <c r="B10" s="38" t="s">
        <v>37</v>
      </c>
      <c r="C10" s="39" t="s">
        <v>1276</v>
      </c>
      <c r="D10" s="38" t="s">
        <v>1277</v>
      </c>
      <c r="E10" s="39" t="s">
        <v>1278</v>
      </c>
      <c r="F10" s="39" t="s">
        <v>1279</v>
      </c>
      <c r="G10" s="39" t="s">
        <v>1280</v>
      </c>
      <c r="H10" s="39" t="s">
        <v>1281</v>
      </c>
    </row>
    <row r="11" customFormat="false" ht="15" hidden="false" customHeight="false" outlineLevel="0" collapsed="false">
      <c r="B11" s="25" t="s">
        <v>112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트래커'!$G$5:$G$428,"S(봄)")</f>
        <v>9</v>
      </c>
      <c r="E11" s="24" t="n">
        <f aca="false">COUNTIFS('소재역산 트래커'!$B$5:$B$428,$B11,'소재역산 트래커'!$O$5:$O$428,"X")+COUNTIFS('소재역산 트래커'!$B$5:$B$428,$B11,'소재역산 트래커'!$O$5:$O$428,"부분")</f>
        <v>0</v>
      </c>
      <c r="F11" s="24" t="n">
        <f aca="false">COUNTIFS('소재역산 트래커'!$B$5:$B$428,$B11,'소재역산 트래커'!$P$5:$P$428,"X")+COUNTIFS('소재역산 트래커'!$B$5:$B$428,$B11,'소재역산 트래커'!$P$5:$P$428,"부분")</f>
        <v>41</v>
      </c>
      <c r="G11" s="24" t="n">
        <f aca="false">COUNTIFS('소재역산 트래커'!$B$5:$B$428,$B11,'소재역산 트래커'!$X$5:$X$428,"★*")</f>
        <v>0</v>
      </c>
      <c r="H11" s="24" t="n">
        <f aca="false">COUNTIFS('소재역산 트래커'!$B$5:$B$428,$B11,'소재역산 트래커'!$Y$5:$Y$428,"조율완료")</f>
        <v>0</v>
      </c>
    </row>
    <row r="12" customFormat="false" ht="15" hidden="false" customHeight="false" outlineLevel="0" collapsed="false">
      <c r="B12" s="25" t="s">
        <v>255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트래커'!$G$5:$G$428,"S(봄)")</f>
        <v>11</v>
      </c>
      <c r="E12" s="24" t="n">
        <f aca="false">COUNTIFS('소재역산 트래커'!$B$5:$B$428,$B12,'소재역산 트래커'!$O$5:$O$428,"X")+COUNTIFS('소재역산 트래커'!$B$5:$B$428,$B12,'소재역산 트래커'!$O$5:$O$428,"부분")</f>
        <v>1</v>
      </c>
      <c r="F12" s="24" t="n">
        <f aca="false">COUNTIFS('소재역산 트래커'!$B$5:$B$428,$B12,'소재역산 트래커'!$P$5:$P$428,"X")+COUNTIFS('소재역산 트래커'!$B$5:$B$428,$B12,'소재역산 트래커'!$P$5:$P$428,"부분")</f>
        <v>32</v>
      </c>
      <c r="G12" s="24" t="n">
        <f aca="false">COUNTIFS('소재역산 트래커'!$B$5:$B$428,$B12,'소재역산 트래커'!$X$5:$X$428,"★*")</f>
        <v>0</v>
      </c>
      <c r="H12" s="24" t="n">
        <f aca="false">COUNTIFS('소재역산 트래커'!$B$5:$B$428,$B12,'소재역산 트래커'!$Y$5:$Y$428,"조율완료")</f>
        <v>0</v>
      </c>
    </row>
    <row r="13" customFormat="false" ht="15" hidden="false" customHeight="false" outlineLevel="0" collapsed="false">
      <c r="B13" s="25" t="s">
        <v>212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트래커'!$G$5:$G$428,"S(봄)")</f>
        <v>4</v>
      </c>
      <c r="E13" s="24" t="n">
        <f aca="false">COUNTIFS('소재역산 트래커'!$B$5:$B$428,$B13,'소재역산 트래커'!$O$5:$O$428,"X")+COUNTIFS('소재역산 트래커'!$B$5:$B$428,$B13,'소재역산 트래커'!$O$5:$O$428,"부분")</f>
        <v>22</v>
      </c>
      <c r="F13" s="24" t="n">
        <f aca="false">COUNTIFS('소재역산 트래커'!$B$5:$B$428,$B13,'소재역산 트래커'!$P$5:$P$428,"X")+COUNTIFS('소재역산 트래커'!$B$5:$B$428,$B13,'소재역산 트래커'!$P$5:$P$428,"부분")</f>
        <v>50</v>
      </c>
      <c r="G13" s="24" t="n">
        <f aca="false">COUNTIFS('소재역산 트래커'!$B$5:$B$428,$B13,'소재역산 트래커'!$X$5:$X$428,"★*")</f>
        <v>0</v>
      </c>
      <c r="H13" s="24" t="n">
        <f aca="false">COUNTIFS('소재역산 트래커'!$B$5:$B$428,$B13,'소재역산 트래커'!$Y$5:$Y$428,"조율완료")</f>
        <v>0</v>
      </c>
    </row>
    <row r="14" customFormat="false" ht="15" hidden="false" customHeight="false" outlineLevel="0" collapsed="false">
      <c r="B14" s="25" t="s">
        <v>187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트래커'!$G$5:$G$428,"S(봄)")</f>
        <v>4</v>
      </c>
      <c r="E14" s="24" t="n">
        <f aca="false">COUNTIFS('소재역산 트래커'!$B$5:$B$428,$B14,'소재역산 트래커'!$O$5:$O$428,"X")+COUNTIFS('소재역산 트래커'!$B$5:$B$428,$B14,'소재역산 트래커'!$O$5:$O$428,"부분")</f>
        <v>0</v>
      </c>
      <c r="F14" s="24" t="n">
        <f aca="false">COUNTIFS('소재역산 트래커'!$B$5:$B$428,$B14,'소재역산 트래커'!$P$5:$P$428,"X")+COUNTIFS('소재역산 트래커'!$B$5:$B$428,$B14,'소재역산 트래커'!$P$5:$P$428,"부분")</f>
        <v>31</v>
      </c>
      <c r="G14" s="24" t="n">
        <f aca="false">COUNTIFS('소재역산 트래커'!$B$5:$B$428,$B14,'소재역산 트래커'!$X$5:$X$428,"★*")</f>
        <v>0</v>
      </c>
      <c r="H14" s="24" t="n">
        <f aca="false">COUNTIFS('소재역산 트래커'!$B$5:$B$428,$B14,'소재역산 트래커'!$Y$5:$Y$428,"조율완료")</f>
        <v>0</v>
      </c>
    </row>
    <row r="15" customFormat="false" ht="15" hidden="false" customHeight="false" outlineLevel="0" collapsed="false">
      <c r="B15" s="25" t="s">
        <v>192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트래커'!$G$5:$G$428,"S(봄)")</f>
        <v>9</v>
      </c>
      <c r="E15" s="24" t="n">
        <f aca="false">COUNTIFS('소재역산 트래커'!$B$5:$B$428,$B15,'소재역산 트래커'!$O$5:$O$428,"X")+COUNTIFS('소재역산 트래커'!$B$5:$B$428,$B15,'소재역산 트래커'!$O$5:$O$428,"부분")</f>
        <v>5</v>
      </c>
      <c r="F15" s="24" t="n">
        <f aca="false">COUNTIFS('소재역산 트래커'!$B$5:$B$428,$B15,'소재역산 트래커'!$P$5:$P$428,"X")+COUNTIFS('소재역산 트래커'!$B$5:$B$428,$B15,'소재역산 트래커'!$P$5:$P$428,"부분")</f>
        <v>47</v>
      </c>
      <c r="G15" s="24" t="n">
        <f aca="false">COUNTIFS('소재역산 트래커'!$B$5:$B$428,$B15,'소재역산 트래커'!$X$5:$X$428,"★*")</f>
        <v>0</v>
      </c>
      <c r="H15" s="24" t="n">
        <f aca="false">COUNTIFS('소재역산 트래커'!$B$5:$B$428,$B15,'소재역산 트래커'!$Y$5:$Y$428,"조율완료")</f>
        <v>0</v>
      </c>
    </row>
    <row r="16" customFormat="false" ht="15" hidden="false" customHeight="false" outlineLevel="0" collapsed="false">
      <c r="B16" s="25" t="s">
        <v>130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트래커'!$G$5:$G$428,"S(봄)")</f>
        <v>17</v>
      </c>
      <c r="E16" s="24" t="n">
        <f aca="false">COUNTIFS('소재역산 트래커'!$B$5:$B$428,$B16,'소재역산 트래커'!$O$5:$O$428,"X")+COUNTIFS('소재역산 트래커'!$B$5:$B$428,$B16,'소재역산 트래커'!$O$5:$O$428,"부분")</f>
        <v>53</v>
      </c>
      <c r="F16" s="24" t="n">
        <f aca="false">COUNTIFS('소재역산 트래커'!$B$5:$B$428,$B16,'소재역산 트래커'!$P$5:$P$428,"X")+COUNTIFS('소재역산 트래커'!$B$5:$B$428,$B16,'소재역산 트래커'!$P$5:$P$428,"부분")</f>
        <v>46</v>
      </c>
      <c r="G16" s="24" t="n">
        <f aca="false">COUNTIFS('소재역산 트래커'!$B$5:$B$428,$B16,'소재역산 트래커'!$X$5:$X$428,"★*")</f>
        <v>17</v>
      </c>
      <c r="H16" s="24" t="n">
        <f aca="false">COUNTIFS('소재역산 트래커'!$B$5:$B$428,$B16,'소재역산 트래커'!$Y$5:$Y$428,"조율완료")</f>
        <v>0</v>
      </c>
    </row>
    <row r="17" customFormat="false" ht="15" hidden="false" customHeight="false" outlineLevel="0" collapsed="false">
      <c r="B17" s="25" t="s">
        <v>208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트래커'!$G$5:$G$428,"S(봄)")</f>
        <v>19</v>
      </c>
      <c r="E17" s="24" t="n">
        <f aca="false">COUNTIFS('소재역산 트래커'!$B$5:$B$428,$B17,'소재역산 트래커'!$O$5:$O$428,"X")+COUNTIFS('소재역산 트래커'!$B$5:$B$428,$B17,'소재역산 트래커'!$O$5:$O$428,"부분")</f>
        <v>0</v>
      </c>
      <c r="F17" s="24" t="n">
        <f aca="false">COUNTIFS('소재역산 트래커'!$B$5:$B$428,$B17,'소재역산 트래커'!$P$5:$P$428,"X")+COUNTIFS('소재역산 트래커'!$B$5:$B$428,$B17,'소재역산 트래커'!$P$5:$P$428,"부분")</f>
        <v>41</v>
      </c>
      <c r="G17" s="24" t="n">
        <f aca="false">COUNTIFS('소재역산 트래커'!$B$5:$B$428,$B17,'소재역산 트래커'!$X$5:$X$428,"★*")</f>
        <v>0</v>
      </c>
      <c r="H17" s="24" t="n">
        <f aca="false">COUNTIFS('소재역산 트래커'!$B$5:$B$428,$B17,'소재역산 트래커'!$Y$5:$Y$428,"조율완료")</f>
        <v>0</v>
      </c>
    </row>
    <row r="18" customFormat="false" ht="15" hidden="false" customHeight="false" outlineLevel="0" collapsed="false">
      <c r="B18" s="25" t="s">
        <v>241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트래커'!$G$5:$G$428,"S(봄)")</f>
        <v>15</v>
      </c>
      <c r="E18" s="24" t="n">
        <f aca="false">COUNTIFS('소재역산 트래커'!$B$5:$B$428,$B18,'소재역산 트래커'!$O$5:$O$428,"X")+COUNTIFS('소재역산 트래커'!$B$5:$B$428,$B18,'소재역산 트래커'!$O$5:$O$428,"부분")</f>
        <v>0</v>
      </c>
      <c r="F18" s="24" t="n">
        <f aca="false">COUNTIFS('소재역산 트래커'!$B$5:$B$428,$B18,'소재역산 트래커'!$P$5:$P$428,"X")+COUNTIFS('소재역산 트래커'!$B$5:$B$428,$B18,'소재역산 트래커'!$P$5:$P$428,"부분")</f>
        <v>34</v>
      </c>
      <c r="G18" s="24" t="n">
        <f aca="false">COUNTIFS('소재역산 트래커'!$B$5:$B$428,$B18,'소재역산 트래커'!$X$5:$X$428,"★*")</f>
        <v>0</v>
      </c>
      <c r="H18" s="24" t="n">
        <f aca="false">COUNTIFS('소재역산 트래커'!$B$5:$B$428,$B18,'소재역산 트래커'!$Y$5:$Y$428,"조율완료")</f>
        <v>0</v>
      </c>
    </row>
    <row r="19" customFormat="false" ht="15" hidden="false" customHeight="false" outlineLevel="0" collapsed="false">
      <c r="B19" s="25" t="s">
        <v>688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트래커'!$G$5:$G$428,"S(봄)")</f>
        <v>0</v>
      </c>
      <c r="E19" s="24" t="n">
        <f aca="false">COUNTIFS('소재역산 트래커'!$B$5:$B$428,$B19,'소재역산 트래커'!$O$5:$O$428,"X")+COUNTIFS('소재역산 트래커'!$B$5:$B$428,$B19,'소재역산 트래커'!$O$5:$O$428,"부분")</f>
        <v>54</v>
      </c>
      <c r="F19" s="24" t="n">
        <f aca="false">COUNTIFS('소재역산 트래커'!$B$5:$B$428,$B19,'소재역산 트래커'!$P$5:$P$428,"X")+COUNTIFS('소재역산 트래커'!$B$5:$B$428,$B19,'소재역산 트래커'!$P$5:$P$428,"부분")</f>
        <v>35</v>
      </c>
      <c r="G19" s="24" t="n">
        <f aca="false">COUNTIFS('소재역산 트래커'!$B$5:$B$428,$B19,'소재역산 트래커'!$X$5:$X$428,"★*")</f>
        <v>0</v>
      </c>
      <c r="H19" s="24" t="n">
        <f aca="false">COUNTIFS('소재역산 트래커'!$B$5:$B$428,$B19,'소재역산 트래커'!$Y$5:$Y$428,"조율완료")</f>
        <v>0</v>
      </c>
    </row>
    <row r="20" customFormat="false" ht="15" hidden="false" customHeight="false" outlineLevel="0" collapsed="false">
      <c r="B20" s="25" t="s">
        <v>62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트래커'!$G$5:$G$428,"S(봄)")</f>
        <v>20</v>
      </c>
      <c r="E20" s="24" t="n">
        <f aca="false">COUNTIFS('소재역산 트래커'!$B$5:$B$428,$B20,'소재역산 트래커'!$O$5:$O$428,"X")+COUNTIFS('소재역산 트래커'!$B$5:$B$428,$B20,'소재역산 트래커'!$O$5:$O$428,"부분")</f>
        <v>0</v>
      </c>
      <c r="F20" s="24" t="n">
        <f aca="false">COUNTIFS('소재역산 트래커'!$B$5:$B$428,$B20,'소재역산 트래커'!$P$5:$P$428,"X")+COUNTIFS('소재역산 트래커'!$B$5:$B$428,$B20,'소재역산 트래커'!$P$5:$P$428,"부분")</f>
        <v>19</v>
      </c>
      <c r="G20" s="24" t="n">
        <f aca="false">COUNTIFS('소재역산 트래커'!$B$5:$B$428,$B20,'소재역산 트래커'!$X$5:$X$428,"★*")</f>
        <v>0</v>
      </c>
      <c r="H20" s="24" t="n">
        <f aca="false">COUNTIFS('소재역산 트래커'!$B$5:$B$428,$B20,'소재역산 트래커'!$Y$5:$Y$428,"조율완료")</f>
        <v>0</v>
      </c>
    </row>
    <row r="21" customFormat="false" ht="15" hidden="false" customHeight="false" outlineLevel="0" collapsed="false">
      <c r="B21" s="40" t="s">
        <v>1282</v>
      </c>
      <c r="C21" s="41" t="n">
        <f aca="false">SUM(C11:C20)</f>
        <v>424</v>
      </c>
      <c r="D21" s="41" t="n">
        <f aca="false">SUM(D11:D20)</f>
        <v>108</v>
      </c>
      <c r="E21" s="41" t="n">
        <f aca="false">SUM(E11:E20)</f>
        <v>135</v>
      </c>
      <c r="F21" s="41" t="n">
        <f aca="false">SUM(F11:F20)</f>
        <v>376</v>
      </c>
      <c r="G21" s="41" t="n">
        <f aca="false">SUM(G11:G20)</f>
        <v>17</v>
      </c>
      <c r="H21" s="41" t="n">
        <f aca="false">SUM(H11:H20)</f>
        <v>0</v>
      </c>
    </row>
    <row r="24" customFormat="false" ht="16.4" hidden="false" customHeight="false" outlineLevel="0" collapsed="false">
      <c r="B24" s="13" t="s">
        <v>1283</v>
      </c>
    </row>
    <row r="25" customFormat="false" ht="15" hidden="false" customHeight="true" outlineLevel="0" collapsed="false">
      <c r="B25" s="42" t="s">
        <v>1284</v>
      </c>
      <c r="C25" s="42"/>
      <c r="D25" s="42"/>
      <c r="E25" s="42"/>
      <c r="F25" s="42"/>
      <c r="G25" s="42"/>
      <c r="H25" s="42"/>
    </row>
    <row r="26" customFormat="false" ht="15" hidden="false" customHeight="false" outlineLevel="0" collapsed="false">
      <c r="B26" s="42"/>
      <c r="C26" s="42"/>
      <c r="D26" s="42"/>
      <c r="E26" s="42"/>
      <c r="F26" s="42"/>
      <c r="G26" s="42"/>
      <c r="H26" s="42"/>
    </row>
    <row r="27" customFormat="false" ht="15" hidden="false" customHeight="false" outlineLevel="0" collapsed="false">
      <c r="B27" s="42"/>
      <c r="C27" s="42"/>
      <c r="D27" s="42"/>
      <c r="E27" s="42"/>
      <c r="F27" s="42"/>
      <c r="G27" s="42"/>
      <c r="H27" s="42"/>
    </row>
    <row r="28" customFormat="false" ht="15" hidden="false" customHeight="false" outlineLevel="0" collapsed="false">
      <c r="B28" s="42"/>
      <c r="C28" s="42"/>
      <c r="D28" s="42"/>
      <c r="E28" s="42"/>
      <c r="F28" s="42"/>
      <c r="G28" s="42"/>
      <c r="H28" s="42"/>
    </row>
    <row r="29" customFormat="false" ht="15" hidden="false" customHeight="false" outlineLevel="0" collapsed="false">
      <c r="B29" s="42"/>
      <c r="C29" s="42"/>
      <c r="D29" s="42"/>
      <c r="E29" s="42"/>
      <c r="F29" s="42"/>
      <c r="G29" s="42"/>
      <c r="H29" s="42"/>
    </row>
    <row r="30" customFormat="false" ht="15" hidden="false" customHeight="false" outlineLevel="0" collapsed="false">
      <c r="B30" s="42"/>
      <c r="C30" s="42"/>
      <c r="D30" s="42"/>
      <c r="E30" s="42"/>
      <c r="F30" s="42"/>
      <c r="G30" s="42"/>
      <c r="H30" s="42"/>
    </row>
  </sheetData>
  <mergeCells count="1">
    <mergeCell ref="B25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2026-08-08T01:39:40Z</dcterms:created>
  <dc:creator>openpyxl</dc:creator>
  <dc:description/>
  <dc:language>en-US</dc:language>
  <cp:lastModifiedBy/>
  <dcterms:modified xsi:type="dcterms:W3CDTF">2026-08-08T01:39:41Z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