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기준정보" sheetId="2" state="visible" r:id="rId2"/>
    <sheet name="소재역산 트래커" sheetId="3" state="visible" r:id="rId3"/>
    <sheet name="금액 요약" sheetId="4" state="visible" r:id="rId4"/>
    <sheet name="리스크 요약" sheetId="5" state="visible" r:id="rId5"/>
  </sheets>
  <definedNames>
    <definedName name="_xlnm._FilterDatabase" localSheetId="2" hidden="1">'소재역산 트래커'!$A$4:$AG$429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0;[RED]-0"/>
    <numFmt numFmtId="167" formatCode="0.0%"/>
  </numFmts>
  <fonts count="2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2C5F2D"/>
      <sz val="12"/>
    </font>
    <font>
      <name val="맑은 고딕"/>
      <color rgb="00212121"/>
      <sz val="11"/>
    </font>
    <font>
      <name val="맑은 고딕"/>
      <b val="1"/>
      <color rgb="00E8474C"/>
      <sz val="12"/>
    </font>
    <font>
      <name val="맑은 고딕"/>
      <color rgb="00666666"/>
      <sz val="10"/>
    </font>
    <font>
      <name val="맑은 고딕"/>
      <b val="1"/>
      <color rgb="00FFFFFF"/>
      <sz val="13"/>
    </font>
    <font>
      <name val="맑은 고딕"/>
      <b val="1"/>
    </font>
    <font>
      <name val="맑은 고딕"/>
      <b val="1"/>
      <color rgb="000000FF"/>
    </font>
    <font>
      <name val="맑은 고딕"/>
      <color rgb="00666666"/>
      <sz val="9"/>
    </font>
    <font>
      <name val="맑은 고딕"/>
      <b val="1"/>
      <color rgb="00FFFFFF"/>
      <sz val="12"/>
    </font>
    <font>
      <name val="맑은 고딕"/>
      <b val="1"/>
      <color rgb="002C5F2D"/>
    </font>
    <font>
      <name val="맑은 고딕"/>
    </font>
    <font>
      <name val="맑은 고딕"/>
      <b val="1"/>
      <color rgb="00FFFFFF"/>
      <sz val="14"/>
    </font>
    <font>
      <name val="맑은 고딕"/>
      <b val="1"/>
      <sz val="10"/>
    </font>
    <font>
      <name val="맑은 고딕"/>
      <color rgb="00E8474C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sz val="11"/>
    </font>
    <font>
      <name val="맑은 고딕"/>
      <b val="1"/>
      <sz val="11"/>
    </font>
    <font>
      <name val="맑은 고딕"/>
      <b val="1"/>
      <color rgb="002C5F2D"/>
      <sz val="11"/>
    </font>
    <font>
      <name val="맑은 고딕"/>
      <b val="1"/>
      <color rgb="001B3A4B"/>
      <sz val="11"/>
    </font>
    <font>
      <name val="맑은 고딕"/>
      <b val="1"/>
      <color rgb="002C5F2D"/>
      <sz val="22"/>
    </font>
    <font>
      <name val="맑은 고딕"/>
      <b val="1"/>
      <color rgb="00E8474C"/>
      <sz val="22"/>
    </font>
    <font>
      <name val="맑은 고딕"/>
      <b val="1"/>
      <color rgb="00F18F01"/>
      <sz val="22"/>
    </font>
    <font>
      <name val="맑은 고딕"/>
      <b val="1"/>
      <color rgb="001B3A4B"/>
      <sz val="22"/>
    </font>
    <font>
      <name val="맑은 고딕"/>
      <b val="1"/>
      <color rgb="002C5F2D"/>
      <sz val="10"/>
    </font>
  </fonts>
  <fills count="8">
    <fill>
      <patternFill/>
    </fill>
    <fill>
      <patternFill patternType="gray125"/>
    </fill>
    <fill>
      <patternFill patternType="solid">
        <fgColor rgb="002C5F2D"/>
      </patternFill>
    </fill>
    <fill>
      <patternFill patternType="solid">
        <fgColor rgb="00FFFF0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DCEDF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164" fontId="8" fillId="3" borderId="1" pivotButton="0" quotePrefix="0" xfId="0"/>
    <xf numFmtId="0" fontId="9" fillId="0" borderId="0" pivotButton="0" quotePrefix="0" xfId="0"/>
    <xf numFmtId="0" fontId="8" fillId="3" borderId="1" pivotButton="0" quotePrefix="0" xfId="0"/>
    <xf numFmtId="0" fontId="10" fillId="2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0" pivotButton="0" quotePrefix="0" xfId="0"/>
    <xf numFmtId="164" fontId="14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/>
    </xf>
    <xf numFmtId="0" fontId="17" fillId="0" borderId="1" pivotButton="0" quotePrefix="0" xfId="0"/>
    <xf numFmtId="0" fontId="17" fillId="4" borderId="1" applyAlignment="1" pivotButton="0" quotePrefix="0" xfId="0">
      <alignment horizontal="center"/>
    </xf>
    <xf numFmtId="164" fontId="17" fillId="0" borderId="1" pivotButton="0" quotePrefix="0" xfId="0"/>
    <xf numFmtId="1" fontId="17" fillId="0" borderId="1" applyAlignment="1" pivotButton="0" quotePrefix="0" xfId="0">
      <alignment horizontal="center"/>
    </xf>
    <xf numFmtId="166" fontId="17" fillId="0" borderId="1" applyAlignment="1" pivotButton="0" quotePrefix="0" xfId="0">
      <alignment horizontal="center"/>
    </xf>
    <xf numFmtId="164" fontId="17" fillId="4" borderId="1" pivotButton="0" quotePrefix="0" xfId="0"/>
    <xf numFmtId="0" fontId="17" fillId="0" borderId="1" applyAlignment="1" pivotButton="0" quotePrefix="0" xfId="0">
      <alignment vertical="top" wrapText="1"/>
    </xf>
    <xf numFmtId="3" fontId="17" fillId="0" borderId="1" pivotButton="0" quotePrefix="0" xfId="0"/>
    <xf numFmtId="0" fontId="17" fillId="4" borderId="1" pivotButton="0" quotePrefix="0" xfId="0"/>
    <xf numFmtId="0" fontId="16" fillId="2" borderId="1" applyAlignment="1" pivotButton="0" quotePrefix="0" xfId="0">
      <alignment horizontal="center"/>
    </xf>
    <xf numFmtId="0" fontId="18" fillId="0" borderId="1" pivotButton="0" quotePrefix="0" xfId="0"/>
    <xf numFmtId="3" fontId="18" fillId="0" borderId="1" applyAlignment="1" pivotButton="0" quotePrefix="0" xfId="0">
      <alignment horizontal="right"/>
    </xf>
    <xf numFmtId="167" fontId="18" fillId="0" borderId="1" applyAlignment="1" pivotButton="0" quotePrefix="0" xfId="0">
      <alignment horizontal="right"/>
    </xf>
    <xf numFmtId="0" fontId="20" fillId="5" borderId="1" pivotButton="0" quotePrefix="0" xfId="0"/>
    <xf numFmtId="3" fontId="20" fillId="5" borderId="1" applyAlignment="1" pivotButton="0" quotePrefix="0" xfId="0">
      <alignment horizontal="right"/>
    </xf>
    <xf numFmtId="167" fontId="20" fillId="5" borderId="1" applyAlignment="1" pivotButton="0" quotePrefix="0" xfId="0">
      <alignment horizontal="right"/>
    </xf>
    <xf numFmtId="0" fontId="21" fillId="6" borderId="1" pivotButton="0" quotePrefix="0" xfId="0"/>
    <xf numFmtId="167" fontId="21" fillId="6" borderId="1" applyAlignment="1" pivotButton="0" quotePrefix="0" xfId="0">
      <alignment horizontal="right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5" borderId="1" pivotButton="0" quotePrefix="0" xfId="0"/>
    <xf numFmtId="0" fontId="26" fillId="5" borderId="1" applyAlignment="1" pivotButton="0" quotePrefix="0" xfId="0">
      <alignment horizontal="center"/>
    </xf>
    <xf numFmtId="0" fontId="18" fillId="7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맑은 고딕"/>
        <b val="1"/>
        <color rgb="00E8474C"/>
      </font>
      <fill>
        <patternFill patternType="solid">
          <fgColor rgb="00F8CBCC"/>
          <bgColor rgb="00F8CBCC"/>
        </patternFill>
      </fill>
    </dxf>
    <dxf>
      <font>
        <name val="맑은 고딕"/>
        <b val="1"/>
        <color rgb="009C5700"/>
      </font>
      <fill>
        <patternFill patternType="solid">
          <fgColor rgb="00FDE9CC"/>
          <bgColor rgb="00FDE9CC"/>
        </patternFill>
      </fill>
    </dxf>
    <dxf>
      <font>
        <name val="맑은 고딕"/>
        <b val="1"/>
        <color rgb="002C5F2D"/>
      </font>
      <fill>
        <patternFill patternType="solid">
          <fgColor rgb="00E8F5E9"/>
          <bgColor rgb="00E8F5E9"/>
        </patternFill>
      </fill>
    </dxf>
    <dxf>
      <font>
        <name val="맑은 고딕"/>
        <b val="1"/>
        <color rgb="00666666"/>
      </font>
      <fill>
        <patternFill patternType="solid">
          <fgColor rgb="00EEEEEE"/>
          <bgColor rgb="00EEEEEE"/>
        </patternFill>
      </fill>
    </dxf>
    <dxf>
      <font>
        <name val="맑은 고딕"/>
        <b val="1"/>
        <color rgb="001B3A4B"/>
      </font>
      <fill>
        <patternFill patternType="solid">
          <fgColor rgb="00DCEDF7"/>
          <bgColor rgb="00DCED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workbookViewId="0">
      <selection activeCell="A1" sqref="A1"/>
    </sheetView>
  </sheetViews>
  <sheetFormatPr baseColWidth="8" defaultRowHeight="15"/>
  <cols>
    <col width="114" customWidth="1" min="2" max="2"/>
  </cols>
  <sheetData>
    <row r="2">
      <c r="B2" s="1" t="inlineStr">
        <is>
          <t>27FW 소재일정 역산 트래커 — 생진테 출고일 기준, 띤쨘·르바란 보정 (v1)</t>
        </is>
      </c>
    </row>
    <row r="4">
      <c r="B4" s="2" t="inlineStr">
        <is>
          <t>정렬 순서</t>
        </is>
      </c>
    </row>
    <row r="5">
      <c r="B5" s="3" t="inlineStr">
        <is>
          <t>① A코드(가을) 전체 — 납기상 최우선 그룹</t>
        </is>
      </c>
    </row>
    <row r="6">
      <c r="B6" s="3" t="inlineStr">
        <is>
          <t>② 비수기 선정 스타일(가을 제외) — 27FW 비수기 선정 수령 시 반영 예정 (현재 공란)</t>
        </is>
      </c>
    </row>
    <row r="7">
      <c r="B7" s="3" t="inlineStr">
        <is>
          <t>③ 나머지 W(겨울) → X(사계절) — 각 그룹 안에서는 출고일 주차 순</t>
        </is>
      </c>
    </row>
    <row r="9">
      <c r="B9" s="2" t="inlineStr">
        <is>
          <t>계산 로직</t>
        </is>
      </c>
    </row>
    <row r="10">
      <c r="B10" s="3" t="inlineStr">
        <is>
          <t>① 출고예정일 = 생진테 출고일 주차를 날짜로 환산 (1주=1일, 2주=8일, 3주=15일, 4주=22일 / 전 주차 2027년)</t>
        </is>
      </c>
    </row>
    <row r="11">
      <c r="B11" s="3" t="inlineStr">
        <is>
          <t>② 제품입고 시점 = 출고예정일 − 2주(14일). 입고시점이 생산국 휴무에 걸치면 휴무 전으로 앞당김</t>
        </is>
      </c>
    </row>
    <row r="12">
      <c r="B12" s="3" t="inlineStr">
        <is>
          <t>③ 소재입고 마감일 = 제품입고 시점 − 100일 − 공장휴무 보정일 (FW 난이도 반영, 27SS는 90일)</t>
        </is>
      </c>
    </row>
    <row r="13">
      <c r="B13" s="3" t="inlineStr">
        <is>
          <t>④ 공장휴무 보정: 생산기간(마감~입고)이 휴무와 겹친 일수만큼 마감 추가 앞당김 —</t>
        </is>
      </c>
    </row>
    <row r="14">
      <c r="B14" s="3" t="inlineStr">
        <is>
          <t xml:space="preserve">   미얀마 생산분 = 띤쨘 4/9~4/18(10일), 인도네시아 생산분 = 르바란 3/4~3/17(14일). 기준정보에서 조정 가능</t>
        </is>
      </c>
    </row>
    <row r="15">
      <c r="B15" s="3" t="inlineStr">
        <is>
          <t>⑤ 작지 미발행(X/부분) 또는 소재입고일 &gt; 마감일 → A코드(가을) '★ 납기위험', W/X '◆ 지연주의'</t>
        </is>
      </c>
    </row>
    <row r="16">
      <c r="B16" s="3" t="inlineStr">
        <is>
          <t>⑥ 소재입고 책임: C(CMT) = 본사(소재팀) / 완(완사입) = 생산처 (수/C/완 기준 자동)</t>
        </is>
      </c>
    </row>
    <row r="18">
      <c r="B18" s="2" t="inlineStr">
        <is>
          <t>입력 안내 (노란색 셀 = 입력, 검정 = 자동계산)</t>
        </is>
      </c>
    </row>
    <row r="19">
      <c r="B19" s="3" t="inlineStr">
        <is>
          <t>· 출고일(주차) 수정 시 입고시점·소재마감·판정 자동 갱신 (형식: 8월1주)</t>
        </is>
      </c>
    </row>
    <row r="20">
      <c r="B20" s="3" t="inlineStr">
        <is>
          <t>· 비수기(O)·작지발행·사양확정(O/부분/X)은 데이터 수령 시 채움 — 수동 입력도 가능</t>
        </is>
      </c>
    </row>
    <row r="21">
      <c r="B21" s="3" t="inlineStr">
        <is>
          <t>· 소재입고 예정/실제일, 조율상태, 메모를 입력하세요.</t>
        </is>
      </c>
    </row>
    <row r="23">
      <c r="B23" s="4" t="inlineStr">
        <is>
          <t>데이터 출처</t>
        </is>
      </c>
    </row>
    <row r="24">
      <c r="B24" s="5" t="inlineStr">
        <is>
          <t>· 원본: (자동화)_KS_2027FW_GREEN Product Line Plan (생진테/리퀘스트 통합) Total(GR,YL통합) 탭</t>
        </is>
      </c>
    </row>
    <row r="25">
      <c r="B25" s="5" t="inlineStr">
        <is>
          <t xml:space="preserve">  → 27FW_생진테_추출 시트(IMPORTRANGE) 경유, 2026-09-16 기준 853 컬러행 → 425 스타일 집계</t>
        </is>
      </c>
    </row>
    <row r="26">
      <c r="B26" s="5" t="inlineStr">
        <is>
          <t>· 출고일 미입력 117 스타일은 '출고일 미정' 표시 — 생진테에 주차 입력되면 추출 시트 자동 갱신 (트래커는 재빌드 또는 수동 입력)</t>
        </is>
      </c>
    </row>
    <row r="27">
      <c r="B27" s="5" t="inlineStr">
        <is>
          <t>· 비수기 선정(27FW)·작지발행/사양확정(EDW)·소재DB(원단처/겉감/안감/LAB DIP)는 원본 수령 대기 — 해당 열 공란</t>
        </is>
      </c>
    </row>
    <row r="28">
      <c r="B28" s="5" t="inlineStr">
        <is>
          <t>· 이월 품번 1건 포함: QYHFW25421 (25년 기획, 생진테 등재분)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52" customWidth="1" min="3" max="3"/>
    <col width="56" customWidth="1" min="4" max="4"/>
  </cols>
  <sheetData>
    <row r="2">
      <c r="B2" s="6" t="inlineStr">
        <is>
          <t>기준정보 (노란색 = 조정 가능한 입력값)</t>
        </is>
      </c>
    </row>
    <row r="4">
      <c r="B4" s="7" t="inlineStr">
        <is>
          <t>기준일 (오늘)</t>
        </is>
      </c>
      <c r="C4" s="8">
        <f>TODAY()</f>
        <v/>
      </c>
      <c r="D4" s="9" t="inlineStr">
        <is>
          <t>판정 기준일. 파일 열 때 자동 갱신</t>
        </is>
      </c>
    </row>
    <row r="5">
      <c r="B5" s="7" t="inlineStr">
        <is>
          <t>입고 리드타임(일)</t>
        </is>
      </c>
      <c r="C5" s="10" t="n">
        <v>14</v>
      </c>
      <c r="D5" s="9" t="inlineStr">
        <is>
          <t>출고예정일 − 2주 = 제품입고 시점</t>
        </is>
      </c>
    </row>
    <row r="6">
      <c r="B6" s="7" t="inlineStr">
        <is>
          <t>소재 리드타임(일)</t>
        </is>
      </c>
      <c r="C6" s="10" t="n">
        <v>100</v>
      </c>
      <c r="D6" s="9" t="inlineStr">
        <is>
          <t>제품입고 시점 − 100일 = 소재입고 마감일 (FW 난이도 반영)</t>
        </is>
      </c>
    </row>
    <row r="7">
      <c r="B7" s="7" t="inlineStr">
        <is>
          <t>시즌 연도</t>
        </is>
      </c>
      <c r="C7" s="10" t="n">
        <v>2027</v>
      </c>
      <c r="D7" s="9" t="inlineStr">
        <is>
          <t>27FW 출고 주차는 전부 2027년으로 환산 (담당자 확정)</t>
        </is>
      </c>
    </row>
    <row r="8">
      <c r="B8" s="7" t="inlineStr">
        <is>
          <t>띤쨘 휴무 시작</t>
        </is>
      </c>
      <c r="C8" s="8" t="n">
        <v>46486</v>
      </c>
      <c r="D8" s="9" t="inlineStr">
        <is>
          <t>미얀마 생산분. 공휴일 4/13~17 + 앞뒤 생산처 추가 휴무</t>
        </is>
      </c>
    </row>
    <row r="9">
      <c r="B9" s="7" t="inlineStr">
        <is>
          <t>띤쨘 휴무 종료</t>
        </is>
      </c>
      <c r="C9" s="8" t="n">
        <v>46495</v>
      </c>
      <c r="D9" s="9" t="inlineStr">
        <is>
          <t>실제 공장별 휴무 확정 시 조정</t>
        </is>
      </c>
    </row>
    <row r="10">
      <c r="B10" s="7" t="inlineStr">
        <is>
          <t>르바란 휴무 시작</t>
        </is>
      </c>
      <c r="C10" s="8" t="n">
        <v>46450</v>
      </c>
      <c r="D10" s="9" t="inlineStr">
        <is>
          <t>인도네시아 생산분. Eid 3/10 전후 귀향(mudik) 포함 2주</t>
        </is>
      </c>
    </row>
    <row r="11">
      <c r="B11" s="7" t="inlineStr">
        <is>
          <t>르바란 휴무 종료</t>
        </is>
      </c>
      <c r="C11" s="8" t="n">
        <v>46463</v>
      </c>
      <c r="D11" s="9" t="inlineStr">
        <is>
          <t>실제 공장별 휴무 확정 시 조정</t>
        </is>
      </c>
    </row>
    <row r="13">
      <c r="B13" s="11" t="inlineStr">
        <is>
          <t>소재입고 책임 구분 (수/C/완 기준)</t>
        </is>
      </c>
    </row>
    <row r="14">
      <c r="B14" s="12" t="inlineStr">
        <is>
          <t>C / CMT</t>
        </is>
      </c>
      <c r="C14" s="13" t="inlineStr">
        <is>
          <t>본사(소재팀) 책임 — 소재 발주·입고 본사 컨트롤</t>
        </is>
      </c>
    </row>
    <row r="15">
      <c r="B15" s="12" t="inlineStr">
        <is>
          <t>완(완사입) / ODM</t>
        </is>
      </c>
      <c r="C15" s="13" t="inlineStr">
        <is>
          <t>생산처 책임 — 생산처가 소재 수배·입고 컨트롤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2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13" customWidth="1" min="4" max="4"/>
    <col width="30" customWidth="1" min="5" max="5"/>
    <col width="22" customWidth="1" min="6" max="6"/>
    <col width="10" customWidth="1" min="7" max="7"/>
    <col width="13" customWidth="1" min="8" max="8"/>
    <col width="12" customWidth="1" min="9" max="9"/>
    <col width="12" customWidth="1" min="10" max="10"/>
    <col width="14" customWidth="1" min="11" max="11"/>
    <col width="9" customWidth="1" min="12" max="12"/>
    <col width="14" customWidth="1" min="13" max="13"/>
    <col width="9" customWidth="1" min="14" max="14"/>
    <col width="9" customWidth="1" min="15" max="15"/>
    <col width="11" customWidth="1" min="16" max="16"/>
    <col width="11" customWidth="1" min="17" max="17"/>
    <col width="13" customWidth="1" min="18" max="18"/>
    <col width="13" customWidth="1" min="19" max="19"/>
    <col width="12" customWidth="1" min="20" max="20"/>
    <col width="10" customWidth="1" min="21" max="21"/>
    <col width="14" customWidth="1" min="22" max="22"/>
    <col width="22" customWidth="1" min="23" max="23"/>
    <col width="22" customWidth="1" min="24" max="24"/>
    <col width="13" customWidth="1" min="25" max="25"/>
    <col width="9" customWidth="1" min="26" max="26"/>
    <col width="14" customWidth="1" min="27" max="27"/>
    <col width="15" customWidth="1" min="28" max="28"/>
    <col width="13" customWidth="1" min="29" max="29"/>
    <col width="26" customWidth="1" min="30" max="30"/>
    <col width="16" customWidth="1" min="31" max="31"/>
    <col width="9" customWidth="1" min="32" max="32"/>
    <col width="24" customWidth="1" min="33" max="33"/>
  </cols>
  <sheetData>
    <row r="1">
      <c r="A1" s="14" t="inlineStr">
        <is>
          <t>27FW 소재일정 역산 트래커 — 정렬: A코드(가을) → 비수기 선정 → W→X (425 스타일)</t>
        </is>
      </c>
    </row>
    <row r="2">
      <c r="A2" s="5" t="inlineStr">
        <is>
          <t>기준일:</t>
        </is>
      </c>
      <c r="B2" s="15">
        <f>기준정보!$C$4</f>
        <v/>
      </c>
      <c r="C2" s="5" t="inlineStr">
        <is>
          <t>리드타임:</t>
        </is>
      </c>
      <c r="D2" s="16">
        <f>"입고 "&amp;기준정보!$C$5&amp;"일 + 소재 "&amp;기준정보!$C$6&amp;"일 + 휴무보정"</f>
        <v/>
      </c>
      <c r="G2" s="17" t="inlineStr">
        <is>
          <t>노란색 = 입력 · ★ = A코드 작지 미발행/소재마감 초과 · 비수기/작지/사양확정/소재DB 열은 원본 수령 대기</t>
        </is>
      </c>
    </row>
    <row r="4">
      <c r="A4" s="18" t="inlineStr">
        <is>
          <t>NO</t>
        </is>
      </c>
      <c r="B4" s="18" t="inlineStr">
        <is>
          <t>MD</t>
        </is>
      </c>
      <c r="C4" s="18" t="inlineStr">
        <is>
          <t>DS</t>
        </is>
      </c>
      <c r="D4" s="18" t="inlineStr">
        <is>
          <t>Style Code</t>
        </is>
      </c>
      <c r="E4" s="18" t="inlineStr">
        <is>
          <t>품명</t>
        </is>
      </c>
      <c r="F4" s="18" t="inlineStr">
        <is>
          <t>컬러 구성</t>
        </is>
      </c>
      <c r="G4" s="18" t="inlineStr">
        <is>
          <t>시즌</t>
        </is>
      </c>
      <c r="H4" s="18" t="inlineStr">
        <is>
          <t>생산형태 (수/C/완)</t>
        </is>
      </c>
      <c r="I4" s="18" t="inlineStr">
        <is>
          <t>출고일(주차)</t>
        </is>
      </c>
      <c r="J4" s="18" t="inlineStr">
        <is>
          <t>출고예정일</t>
        </is>
      </c>
      <c r="K4" s="18" t="inlineStr">
        <is>
          <t>제품입고 시점 (출고-2주, 휴무 보정)</t>
        </is>
      </c>
      <c r="L4" s="18" t="inlineStr">
        <is>
          <t>공장휴무 보정 (일)</t>
        </is>
      </c>
      <c r="M4" s="18" t="inlineStr">
        <is>
          <t>소재입고 마감일 (입고-100일-보정)</t>
        </is>
      </c>
      <c r="N4" s="18" t="inlineStr">
        <is>
          <t>마감까지 D-day</t>
        </is>
      </c>
      <c r="O4" s="18" t="inlineStr">
        <is>
          <t>비수기 선정 (대기)</t>
        </is>
      </c>
      <c r="P4" s="18" t="inlineStr">
        <is>
          <t>작지발행 (일매·EDW 대기)</t>
        </is>
      </c>
      <c r="Q4" s="18" t="inlineStr">
        <is>
          <t>사양확정 (EDW 대기)</t>
        </is>
      </c>
      <c r="R4" s="18" t="inlineStr">
        <is>
          <t>소재입고 예정/실제일</t>
        </is>
      </c>
      <c r="S4" s="18" t="inlineStr">
        <is>
          <t>소재입고 책임</t>
        </is>
      </c>
      <c r="T4" s="18" t="inlineStr">
        <is>
          <t>생산처</t>
        </is>
      </c>
      <c r="U4" s="18" t="inlineStr">
        <is>
          <t>원산지</t>
        </is>
      </c>
      <c r="V4" s="18" t="inlineStr">
        <is>
          <t>원단처 (소재DB 대기)</t>
        </is>
      </c>
      <c r="W4" s="18" t="inlineStr">
        <is>
          <t>겉감정보 (대기)</t>
        </is>
      </c>
      <c r="X4" s="18" t="inlineStr">
        <is>
          <t>안감정보 (대기)</t>
        </is>
      </c>
      <c r="Y4" s="18" t="inlineStr">
        <is>
          <t>LAB DIP CFM (대기)</t>
        </is>
      </c>
      <c r="Z4" s="18" t="inlineStr">
        <is>
          <t>기획수량</t>
        </is>
      </c>
      <c r="AA4" s="18" t="inlineStr">
        <is>
          <t>원가합 (원)</t>
        </is>
      </c>
      <c r="AB4" s="18" t="inlineStr">
        <is>
          <t>소매가합 (원)</t>
        </is>
      </c>
      <c r="AC4" s="18" t="inlineStr">
        <is>
          <t>입고예정일 (생진테 참고)</t>
        </is>
      </c>
      <c r="AD4" s="18" t="inlineStr">
        <is>
          <t>리스크 사유</t>
        </is>
      </c>
      <c r="AE4" s="18" t="inlineStr">
        <is>
          <t>판정</t>
        </is>
      </c>
      <c r="AF4" s="18" t="inlineStr">
        <is>
          <t>조율상태</t>
        </is>
      </c>
      <c r="AG4" s="18" t="inlineStr">
        <is>
          <t>메모/조치사항</t>
        </is>
      </c>
    </row>
    <row r="5">
      <c r="A5" s="19" t="n">
        <v>1</v>
      </c>
      <c r="B5" s="20" t="inlineStr">
        <is>
          <t>이재헌</t>
        </is>
      </c>
      <c r="C5" s="20" t="inlineStr">
        <is>
          <t>나영길</t>
        </is>
      </c>
      <c r="D5" s="20" t="inlineStr">
        <is>
          <t>JKJJA27402</t>
        </is>
      </c>
      <c r="E5" s="20" t="inlineStr">
        <is>
          <t>여성 경량 후디드 방풍 재킷</t>
        </is>
      </c>
      <c r="F5" s="20" t="inlineStr">
        <is>
          <t>ABE/EFL/DEB</t>
        </is>
      </c>
      <c r="G5" s="19">
        <f>IF($D5="","",IF(MID($D5,5,1)="A","A(가을)",IF(MID($D5,5,1)="W","W(겨울)",IF(MID($D5,5,1)="X","X(사계절)",MID($D5,5,1)))))</f>
        <v/>
      </c>
      <c r="H5" s="19" t="n"/>
      <c r="I5" s="21" t="inlineStr">
        <is>
          <t>8월1주</t>
        </is>
      </c>
      <c r="J5" s="22">
        <f>IF($I5="","",IFERROR(DATE(기준정보!$C$7,VALUE(LEFT($I5,FIND("월",$I5)-1)),1+7*(VALUE(SUBSTITUTE(MID($I5,FIND("월",$I5)+1,5),"주",""))-1)),""))</f>
        <v/>
      </c>
      <c r="K5" s="22">
        <f>IF($J5="","",IF(AND(ISNUMBER(SEARCH("미얀마",$U5)),$J5-기준정보!$C$5&gt;=기준정보!$C$8,$J5-기준정보!$C$5&lt;=기준정보!$C$9),기준정보!$C$8-1,IF(AND(ISNUMBER(SEARCH("인도네시아",$U5)),$J5-기준정보!$C$5&gt;=기준정보!$C$10,$J5-기준정보!$C$5&lt;=기준정보!$C$11),기준정보!$C$10-1,$J5-기준정보!$C$5)))</f>
        <v/>
      </c>
      <c r="L5" s="23">
        <f>IF($K5="","",IF(ISNUMBER(SEARCH("미얀마",$U5)),MAX(0,MIN($K5,기준정보!$C$9)-MAX($K5-기준정보!$C$6,기준정보!$C$8)+1),IF(ISNUMBER(SEARCH("인도네시아",$U5)),MAX(0,MIN($K5,기준정보!$C$11)-MAX($K5-기준정보!$C$6,기준정보!$C$10)+1),0)))</f>
        <v/>
      </c>
      <c r="M5" s="22">
        <f>IF($K5="","",$K5-기준정보!$C$6-$L5)</f>
        <v/>
      </c>
      <c r="N5" s="24">
        <f>IF($M5="","",$M5-기준정보!$C$4)</f>
        <v/>
      </c>
      <c r="O5" s="21" t="n"/>
      <c r="P5" s="21" t="n"/>
      <c r="Q5" s="21" t="n"/>
      <c r="R5" s="25" t="n"/>
      <c r="S5" s="20">
        <f>IF($H5="","",IF($H5="C","본사(소재팀)",IF($H5="완","생산처","확인 필요")))</f>
        <v/>
      </c>
      <c r="T5" s="20" t="inlineStr">
        <is>
          <t>기도</t>
        </is>
      </c>
      <c r="U5" s="20" t="inlineStr">
        <is>
          <t>베트남</t>
        </is>
      </c>
      <c r="V5" s="20" t="n"/>
      <c r="W5" s="26" t="n"/>
      <c r="X5" s="26" t="n"/>
      <c r="Y5" s="22" t="n"/>
      <c r="Z5" s="27" t="n">
        <v>300</v>
      </c>
      <c r="AA5" s="27" t="n">
        <v>20855400</v>
      </c>
      <c r="AB5" s="27" t="n">
        <v>66000000</v>
      </c>
      <c r="AC5" s="20" t="n"/>
      <c r="AD5" s="20">
        <f>IF($J5="","출고일 미정",IF($P5="X","작지 미발행",IF($P5="부분","작지 일부 미발행",IF(AND($R5&lt;&gt;"",$R5&gt;$M5),"소재입고 마감("&amp;TEXT($M5,"MM/DD")&amp;") 초과",IF($P5="","발행여부 확인 필요",IF($R5="","소재 입고일정 확인 필요","정상"))))))</f>
        <v/>
      </c>
      <c r="AE5" s="19">
        <f>IF($J5="","",IF(OR(LEFT($AD5,2)="작지",LEFT($AD5,4)="소재입고"),IF(LEFT($G5,1)="A","★ 납기위험(A코드)","◆ 지연주의"),IF($AD5="정상","✓ 정상","? 확인필요")))</f>
        <v/>
      </c>
      <c r="AF5" s="21" t="n"/>
      <c r="AG5" s="28" t="n"/>
    </row>
    <row r="6">
      <c r="A6" s="19" t="n">
        <v>2</v>
      </c>
      <c r="B6" s="20" t="inlineStr">
        <is>
          <t>문도혁</t>
        </is>
      </c>
      <c r="C6" s="20" t="inlineStr">
        <is>
          <t>엄창용</t>
        </is>
      </c>
      <c r="D6" s="20" t="inlineStr">
        <is>
          <t>JKPNA27612</t>
        </is>
      </c>
      <c r="E6" s="20" t="inlineStr">
        <is>
          <t>여성 릴렉스핏 벤틸레이션 팬츠</t>
        </is>
      </c>
      <c r="F6" s="20" t="inlineStr">
        <is>
          <t>DEP/CTP</t>
        </is>
      </c>
      <c r="G6" s="19">
        <f>IF($D6="","",IF(MID($D6,5,1)="A","A(가을)",IF(MID($D6,5,1)="W","W(겨울)",IF(MID($D6,5,1)="X","X(사계절)",MID($D6,5,1)))))</f>
        <v/>
      </c>
      <c r="H6" s="19" t="n"/>
      <c r="I6" s="21" t="inlineStr">
        <is>
          <t>8월1주</t>
        </is>
      </c>
      <c r="J6" s="22">
        <f>IF($I6="","",IFERROR(DATE(기준정보!$C$7,VALUE(LEFT($I6,FIND("월",$I6)-1)),1+7*(VALUE(SUBSTITUTE(MID($I6,FIND("월",$I6)+1,5),"주",""))-1)),""))</f>
        <v/>
      </c>
      <c r="K6" s="22">
        <f>IF($J6="","",IF(AND(ISNUMBER(SEARCH("미얀마",$U6)),$J6-기준정보!$C$5&gt;=기준정보!$C$8,$J6-기준정보!$C$5&lt;=기준정보!$C$9),기준정보!$C$8-1,IF(AND(ISNUMBER(SEARCH("인도네시아",$U6)),$J6-기준정보!$C$5&gt;=기준정보!$C$10,$J6-기준정보!$C$5&lt;=기준정보!$C$11),기준정보!$C$10-1,$J6-기준정보!$C$5)))</f>
        <v/>
      </c>
      <c r="L6" s="23">
        <f>IF($K6="","",IF(ISNUMBER(SEARCH("미얀마",$U6)),MAX(0,MIN($K6,기준정보!$C$9)-MAX($K6-기준정보!$C$6,기준정보!$C$8)+1),IF(ISNUMBER(SEARCH("인도네시아",$U6)),MAX(0,MIN($K6,기준정보!$C$11)-MAX($K6-기준정보!$C$6,기준정보!$C$10)+1),0)))</f>
        <v/>
      </c>
      <c r="M6" s="22">
        <f>IF($K6="","",$K6-기준정보!$C$6-$L6)</f>
        <v/>
      </c>
      <c r="N6" s="24">
        <f>IF($M6="","",$M6-기준정보!$C$4)</f>
        <v/>
      </c>
      <c r="O6" s="21" t="n"/>
      <c r="P6" s="21" t="n"/>
      <c r="Q6" s="21" t="n"/>
      <c r="R6" s="25" t="n"/>
      <c r="S6" s="20">
        <f>IF($H6="","",IF($H6="C","본사(소재팀)",IF($H6="완","생산처","확인 필요")))</f>
        <v/>
      </c>
      <c r="T6" s="20" t="inlineStr">
        <is>
          <t>TBO</t>
        </is>
      </c>
      <c r="U6" s="20" t="inlineStr">
        <is>
          <t>베트남</t>
        </is>
      </c>
      <c r="V6" s="20" t="n"/>
      <c r="W6" s="26" t="n"/>
      <c r="X6" s="26" t="n"/>
      <c r="Y6" s="22" t="n"/>
      <c r="Z6" s="27" t="n">
        <v>400</v>
      </c>
      <c r="AA6" s="27" t="n">
        <v>17200000</v>
      </c>
      <c r="AB6" s="27" t="n">
        <v>88000000</v>
      </c>
      <c r="AC6" s="20" t="n"/>
      <c r="AD6" s="20">
        <f>IF($J6="","출고일 미정",IF($P6="X","작지 미발행",IF($P6="부분","작지 일부 미발행",IF(AND($R6&lt;&gt;"",$R6&gt;$M6),"소재입고 마감("&amp;TEXT($M6,"MM/DD")&amp;") 초과",IF($P6="","발행여부 확인 필요",IF($R6="","소재 입고일정 확인 필요","정상"))))))</f>
        <v/>
      </c>
      <c r="AE6" s="19">
        <f>IF($J6="","",IF(OR(LEFT($AD6,2)="작지",LEFT($AD6,4)="소재입고"),IF(LEFT($G6,1)="A","★ 납기위험(A코드)","◆ 지연주의"),IF($AD6="정상","✓ 정상","? 확인필요")))</f>
        <v/>
      </c>
      <c r="AF6" s="21" t="n"/>
      <c r="AG6" s="28" t="n"/>
    </row>
    <row r="7">
      <c r="A7" s="19" t="n">
        <v>3</v>
      </c>
      <c r="B7" s="20" t="inlineStr">
        <is>
          <t>정영준</t>
        </is>
      </c>
      <c r="C7" s="20" t="inlineStr">
        <is>
          <t>엄창용</t>
        </is>
      </c>
      <c r="D7" s="20" t="inlineStr">
        <is>
          <t>JKSXA27612</t>
        </is>
      </c>
      <c r="E7" s="20" t="inlineStr">
        <is>
          <t>여성 긴팔 스트라이프 셔츠</t>
        </is>
      </c>
      <c r="F7" s="20" t="inlineStr">
        <is>
          <t>ABU/CHR</t>
        </is>
      </c>
      <c r="G7" s="19">
        <f>IF($D7="","",IF(MID($D7,5,1)="A","A(가을)",IF(MID($D7,5,1)="W","W(겨울)",IF(MID($D7,5,1)="X","X(사계절)",MID($D7,5,1)))))</f>
        <v/>
      </c>
      <c r="H7" s="19" t="n"/>
      <c r="I7" s="21" t="inlineStr">
        <is>
          <t>8월1주</t>
        </is>
      </c>
      <c r="J7" s="22">
        <f>IF($I7="","",IFERROR(DATE(기준정보!$C$7,VALUE(LEFT($I7,FIND("월",$I7)-1)),1+7*(VALUE(SUBSTITUTE(MID($I7,FIND("월",$I7)+1,5),"주",""))-1)),""))</f>
        <v/>
      </c>
      <c r="K7" s="22">
        <f>IF($J7="","",IF(AND(ISNUMBER(SEARCH("미얀마",$U7)),$J7-기준정보!$C$5&gt;=기준정보!$C$8,$J7-기준정보!$C$5&lt;=기준정보!$C$9),기준정보!$C$8-1,IF(AND(ISNUMBER(SEARCH("인도네시아",$U7)),$J7-기준정보!$C$5&gt;=기준정보!$C$10,$J7-기준정보!$C$5&lt;=기준정보!$C$11),기준정보!$C$10-1,$J7-기준정보!$C$5)))</f>
        <v/>
      </c>
      <c r="L7" s="23">
        <f>IF($K7="","",IF(ISNUMBER(SEARCH("미얀마",$U7)),MAX(0,MIN($K7,기준정보!$C$9)-MAX($K7-기준정보!$C$6,기준정보!$C$8)+1),IF(ISNUMBER(SEARCH("인도네시아",$U7)),MAX(0,MIN($K7,기준정보!$C$11)-MAX($K7-기준정보!$C$6,기준정보!$C$10)+1),0)))</f>
        <v/>
      </c>
      <c r="M7" s="22">
        <f>IF($K7="","",$K7-기준정보!$C$6-$L7)</f>
        <v/>
      </c>
      <c r="N7" s="24">
        <f>IF($M7="","",$M7-기준정보!$C$4)</f>
        <v/>
      </c>
      <c r="O7" s="21" t="n"/>
      <c r="P7" s="21" t="n"/>
      <c r="Q7" s="21" t="n"/>
      <c r="R7" s="25" t="n"/>
      <c r="S7" s="20">
        <f>IF($H7="","",IF($H7="C","본사(소재팀)",IF($H7="완","생산처","확인 필요")))</f>
        <v/>
      </c>
      <c r="T7" s="20" t="inlineStr">
        <is>
          <t>성원</t>
        </is>
      </c>
      <c r="U7" s="20" t="inlineStr">
        <is>
          <t>베트남</t>
        </is>
      </c>
      <c r="V7" s="20" t="n"/>
      <c r="W7" s="26" t="n"/>
      <c r="X7" s="26" t="n"/>
      <c r="Y7" s="22" t="n"/>
      <c r="Z7" s="27" t="n">
        <v>100</v>
      </c>
      <c r="AA7" s="27" t="n">
        <v>4800000</v>
      </c>
      <c r="AB7" s="27" t="n">
        <v>22000000</v>
      </c>
      <c r="AC7" s="20" t="n"/>
      <c r="AD7" s="20">
        <f>IF($J7="","출고일 미정",IF($P7="X","작지 미발행",IF($P7="부분","작지 일부 미발행",IF(AND($R7&lt;&gt;"",$R7&gt;$M7),"소재입고 마감("&amp;TEXT($M7,"MM/DD")&amp;") 초과",IF($P7="","발행여부 확인 필요",IF($R7="","소재 입고일정 확인 필요","정상"))))))</f>
        <v/>
      </c>
      <c r="AE7" s="19">
        <f>IF($J7="","",IF(OR(LEFT($AD7,2)="작지",LEFT($AD7,4)="소재입고"),IF(LEFT($G7,1)="A","★ 납기위험(A코드)","◆ 지연주의"),IF($AD7="정상","✓ 정상","? 확인필요")))</f>
        <v/>
      </c>
      <c r="AF7" s="21" t="n"/>
      <c r="AG7" s="28" t="n"/>
    </row>
    <row r="8">
      <c r="A8" s="19" t="n">
        <v>4</v>
      </c>
      <c r="B8" s="20" t="inlineStr">
        <is>
          <t>정영준</t>
        </is>
      </c>
      <c r="C8" s="20" t="inlineStr">
        <is>
          <t>엄창용</t>
        </is>
      </c>
      <c r="D8" s="20" t="inlineStr">
        <is>
          <t>JKTBA27612</t>
        </is>
      </c>
      <c r="E8" s="20" t="inlineStr">
        <is>
          <t>여성 긴팔 폴로</t>
        </is>
      </c>
      <c r="F8" s="20" t="inlineStr">
        <is>
          <t>DEB/AWH</t>
        </is>
      </c>
      <c r="G8" s="19">
        <f>IF($D8="","",IF(MID($D8,5,1)="A","A(가을)",IF(MID($D8,5,1)="W","W(겨울)",IF(MID($D8,5,1)="X","X(사계절)",MID($D8,5,1)))))</f>
        <v/>
      </c>
      <c r="H8" s="19" t="n"/>
      <c r="I8" s="21" t="inlineStr">
        <is>
          <t>8월1주</t>
        </is>
      </c>
      <c r="J8" s="22">
        <f>IF($I8="","",IFERROR(DATE(기준정보!$C$7,VALUE(LEFT($I8,FIND("월",$I8)-1)),1+7*(VALUE(SUBSTITUTE(MID($I8,FIND("월",$I8)+1,5),"주",""))-1)),""))</f>
        <v/>
      </c>
      <c r="K8" s="22">
        <f>IF($J8="","",IF(AND(ISNUMBER(SEARCH("미얀마",$U8)),$J8-기준정보!$C$5&gt;=기준정보!$C$8,$J8-기준정보!$C$5&lt;=기준정보!$C$9),기준정보!$C$8-1,IF(AND(ISNUMBER(SEARCH("인도네시아",$U8)),$J8-기준정보!$C$5&gt;=기준정보!$C$10,$J8-기준정보!$C$5&lt;=기준정보!$C$11),기준정보!$C$10-1,$J8-기준정보!$C$5)))</f>
        <v/>
      </c>
      <c r="L8" s="23">
        <f>IF($K8="","",IF(ISNUMBER(SEARCH("미얀마",$U8)),MAX(0,MIN($K8,기준정보!$C$9)-MAX($K8-기준정보!$C$6,기준정보!$C$8)+1),IF(ISNUMBER(SEARCH("인도네시아",$U8)),MAX(0,MIN($K8,기준정보!$C$11)-MAX($K8-기준정보!$C$6,기준정보!$C$10)+1),0)))</f>
        <v/>
      </c>
      <c r="M8" s="22">
        <f>IF($K8="","",$K8-기준정보!$C$6-$L8)</f>
        <v/>
      </c>
      <c r="N8" s="24">
        <f>IF($M8="","",$M8-기준정보!$C$4)</f>
        <v/>
      </c>
      <c r="O8" s="21" t="n"/>
      <c r="P8" s="21" t="n"/>
      <c r="Q8" s="21" t="n"/>
      <c r="R8" s="25" t="n"/>
      <c r="S8" s="20">
        <f>IF($H8="","",IF($H8="C","본사(소재팀)",IF($H8="완","생산처","확인 필요")))</f>
        <v/>
      </c>
      <c r="T8" s="20" t="inlineStr">
        <is>
          <t>IKG</t>
        </is>
      </c>
      <c r="U8" s="20" t="inlineStr">
        <is>
          <t>인도네시아</t>
        </is>
      </c>
      <c r="V8" s="20" t="n"/>
      <c r="W8" s="26" t="n"/>
      <c r="X8" s="26" t="n"/>
      <c r="Y8" s="22" t="n"/>
      <c r="Z8" s="27" t="n">
        <v>100</v>
      </c>
      <c r="AA8" s="27" t="n">
        <v>2900000</v>
      </c>
      <c r="AB8" s="27" t="n">
        <v>15800000</v>
      </c>
      <c r="AC8" s="20" t="n"/>
      <c r="AD8" s="20">
        <f>IF($J8="","출고일 미정",IF($P8="X","작지 미발행",IF($P8="부분","작지 일부 미발행",IF(AND($R8&lt;&gt;"",$R8&gt;$M8),"소재입고 마감("&amp;TEXT($M8,"MM/DD")&amp;") 초과",IF($P8="","발행여부 확인 필요",IF($R8="","소재 입고일정 확인 필요","정상"))))))</f>
        <v/>
      </c>
      <c r="AE8" s="19">
        <f>IF($J8="","",IF(OR(LEFT($AD8,2)="작지",LEFT($AD8,4)="소재입고"),IF(LEFT($G8,1)="A","★ 납기위험(A코드)","◆ 지연주의"),IF($AD8="정상","✓ 정상","? 확인필요")))</f>
        <v/>
      </c>
      <c r="AF8" s="21" t="n"/>
      <c r="AG8" s="28" t="n"/>
    </row>
    <row r="9">
      <c r="A9" s="19" t="n">
        <v>5</v>
      </c>
      <c r="B9" s="20" t="inlineStr">
        <is>
          <t>정영준</t>
        </is>
      </c>
      <c r="C9" s="20" t="inlineStr">
        <is>
          <t>엄창용</t>
        </is>
      </c>
      <c r="D9" s="20" t="inlineStr">
        <is>
          <t>JKTCA27612</t>
        </is>
      </c>
      <c r="E9" s="20" t="inlineStr">
        <is>
          <t>여성 핫멜트 집업 폴로 반팔 티셔츠</t>
        </is>
      </c>
      <c r="F9" s="20" t="inlineStr">
        <is>
          <t>CO1/CO2</t>
        </is>
      </c>
      <c r="G9" s="19">
        <f>IF($D9="","",IF(MID($D9,5,1)="A","A(가을)",IF(MID($D9,5,1)="W","W(겨울)",IF(MID($D9,5,1)="X","X(사계절)",MID($D9,5,1)))))</f>
        <v/>
      </c>
      <c r="H9" s="19" t="n"/>
      <c r="I9" s="21" t="inlineStr">
        <is>
          <t>8월1주</t>
        </is>
      </c>
      <c r="J9" s="22">
        <f>IF($I9="","",IFERROR(DATE(기준정보!$C$7,VALUE(LEFT($I9,FIND("월",$I9)-1)),1+7*(VALUE(SUBSTITUTE(MID($I9,FIND("월",$I9)+1,5),"주",""))-1)),""))</f>
        <v/>
      </c>
      <c r="K9" s="22">
        <f>IF($J9="","",IF(AND(ISNUMBER(SEARCH("미얀마",$U9)),$J9-기준정보!$C$5&gt;=기준정보!$C$8,$J9-기준정보!$C$5&lt;=기준정보!$C$9),기준정보!$C$8-1,IF(AND(ISNUMBER(SEARCH("인도네시아",$U9)),$J9-기준정보!$C$5&gt;=기준정보!$C$10,$J9-기준정보!$C$5&lt;=기준정보!$C$11),기준정보!$C$10-1,$J9-기준정보!$C$5)))</f>
        <v/>
      </c>
      <c r="L9" s="23">
        <f>IF($K9="","",IF(ISNUMBER(SEARCH("미얀마",$U9)),MAX(0,MIN($K9,기준정보!$C$9)-MAX($K9-기준정보!$C$6,기준정보!$C$8)+1),IF(ISNUMBER(SEARCH("인도네시아",$U9)),MAX(0,MIN($K9,기준정보!$C$11)-MAX($K9-기준정보!$C$6,기준정보!$C$10)+1),0)))</f>
        <v/>
      </c>
      <c r="M9" s="22">
        <f>IF($K9="","",$K9-기준정보!$C$6-$L9)</f>
        <v/>
      </c>
      <c r="N9" s="24">
        <f>IF($M9="","",$M9-기준정보!$C$4)</f>
        <v/>
      </c>
      <c r="O9" s="21" t="n"/>
      <c r="P9" s="21" t="n"/>
      <c r="Q9" s="21" t="n"/>
      <c r="R9" s="25" t="n"/>
      <c r="S9" s="20">
        <f>IF($H9="","",IF($H9="C","본사(소재팀)",IF($H9="완","생산처","확인 필요")))</f>
        <v/>
      </c>
      <c r="T9" s="20" t="n"/>
      <c r="U9" s="20" t="n"/>
      <c r="V9" s="20" t="n"/>
      <c r="W9" s="26" t="n"/>
      <c r="X9" s="26" t="n"/>
      <c r="Y9" s="22" t="n"/>
      <c r="Z9" s="27" t="n">
        <v>500</v>
      </c>
      <c r="AA9" s="27" t="n">
        <v>9500000</v>
      </c>
      <c r="AB9" s="27" t="n">
        <v>69000000</v>
      </c>
      <c r="AC9" s="20" t="n"/>
      <c r="AD9" s="20">
        <f>IF($J9="","출고일 미정",IF($P9="X","작지 미발행",IF($P9="부분","작지 일부 미발행",IF(AND($R9&lt;&gt;"",$R9&gt;$M9),"소재입고 마감("&amp;TEXT($M9,"MM/DD")&amp;") 초과",IF($P9="","발행여부 확인 필요",IF($R9="","소재 입고일정 확인 필요","정상"))))))</f>
        <v/>
      </c>
      <c r="AE9" s="19">
        <f>IF($J9="","",IF(OR(LEFT($AD9,2)="작지",LEFT($AD9,4)="소재입고"),IF(LEFT($G9,1)="A","★ 납기위험(A코드)","◆ 지연주의"),IF($AD9="정상","✓ 정상","? 확인필요")))</f>
        <v/>
      </c>
      <c r="AF9" s="21" t="n"/>
      <c r="AG9" s="28" t="n"/>
    </row>
    <row r="10">
      <c r="A10" s="19" t="n">
        <v>6</v>
      </c>
      <c r="B10" s="20" t="inlineStr">
        <is>
          <t>김준래</t>
        </is>
      </c>
      <c r="C10" s="20" t="inlineStr">
        <is>
          <t>엄창용</t>
        </is>
      </c>
      <c r="D10" s="20" t="inlineStr">
        <is>
          <t>JNTBA27613</t>
        </is>
      </c>
      <c r="E10" s="20" t="inlineStr">
        <is>
          <t>남녀공용 로고 긴팔 라운드 티셔츠</t>
        </is>
      </c>
      <c r="F10" s="20" t="inlineStr">
        <is>
          <t>AWH/DEB</t>
        </is>
      </c>
      <c r="G10" s="19">
        <f>IF($D10="","",IF(MID($D10,5,1)="A","A(가을)",IF(MID($D10,5,1)="W","W(겨울)",IF(MID($D10,5,1)="X","X(사계절)",MID($D10,5,1)))))</f>
        <v/>
      </c>
      <c r="H10" s="19" t="inlineStr">
        <is>
          <t>완</t>
        </is>
      </c>
      <c r="I10" s="21" t="inlineStr">
        <is>
          <t>8월1주</t>
        </is>
      </c>
      <c r="J10" s="22">
        <f>IF($I10="","",IFERROR(DATE(기준정보!$C$7,VALUE(LEFT($I10,FIND("월",$I10)-1)),1+7*(VALUE(SUBSTITUTE(MID($I10,FIND("월",$I10)+1,5),"주",""))-1)),""))</f>
        <v/>
      </c>
      <c r="K10" s="22">
        <f>IF($J10="","",IF(AND(ISNUMBER(SEARCH("미얀마",$U10)),$J10-기준정보!$C$5&gt;=기준정보!$C$8,$J10-기준정보!$C$5&lt;=기준정보!$C$9),기준정보!$C$8-1,IF(AND(ISNUMBER(SEARCH("인도네시아",$U10)),$J10-기준정보!$C$5&gt;=기준정보!$C$10,$J10-기준정보!$C$5&lt;=기준정보!$C$11),기준정보!$C$10-1,$J10-기준정보!$C$5)))</f>
        <v/>
      </c>
      <c r="L10" s="23">
        <f>IF($K10="","",IF(ISNUMBER(SEARCH("미얀마",$U10)),MAX(0,MIN($K10,기준정보!$C$9)-MAX($K10-기준정보!$C$6,기준정보!$C$8)+1),IF(ISNUMBER(SEARCH("인도네시아",$U10)),MAX(0,MIN($K10,기준정보!$C$11)-MAX($K10-기준정보!$C$6,기준정보!$C$10)+1),0)))</f>
        <v/>
      </c>
      <c r="M10" s="22">
        <f>IF($K10="","",$K10-기준정보!$C$6-$L10)</f>
        <v/>
      </c>
      <c r="N10" s="24">
        <f>IF($M10="","",$M10-기준정보!$C$4)</f>
        <v/>
      </c>
      <c r="O10" s="21" t="n"/>
      <c r="P10" s="21" t="n"/>
      <c r="Q10" s="21" t="n"/>
      <c r="R10" s="25" t="n"/>
      <c r="S10" s="20">
        <f>IF($H10="","",IF($H10="C","본사(소재팀)",IF($H10="완","생산처","확인 필요")))</f>
        <v/>
      </c>
      <c r="T10" s="20" t="inlineStr">
        <is>
          <t>IKG</t>
        </is>
      </c>
      <c r="U10" s="20" t="inlineStr">
        <is>
          <t>인도네시아</t>
        </is>
      </c>
      <c r="V10" s="20" t="n"/>
      <c r="W10" s="26" t="n"/>
      <c r="X10" s="26" t="n"/>
      <c r="Y10" s="22" t="n"/>
      <c r="Z10" s="27" t="n">
        <v>1000</v>
      </c>
      <c r="AA10" s="27" t="n">
        <v>20698000</v>
      </c>
      <c r="AB10" s="27" t="n">
        <v>98000000</v>
      </c>
      <c r="AC10" s="20" t="n"/>
      <c r="AD10" s="20">
        <f>IF($J10="","출고일 미정",IF($P10="X","작지 미발행",IF($P10="부분","작지 일부 미발행",IF(AND($R10&lt;&gt;"",$R10&gt;$M10),"소재입고 마감("&amp;TEXT($M10,"MM/DD")&amp;") 초과",IF($P10="","발행여부 확인 필요",IF($R10="","소재 입고일정 확인 필요","정상"))))))</f>
        <v/>
      </c>
      <c r="AE10" s="19">
        <f>IF($J10="","",IF(OR(LEFT($AD10,2)="작지",LEFT($AD10,4)="소재입고"),IF(LEFT($G10,1)="A","★ 납기위험(A코드)","◆ 지연주의"),IF($AD10="정상","✓ 정상","? 확인필요")))</f>
        <v/>
      </c>
      <c r="AF10" s="21" t="n"/>
      <c r="AG10" s="28" t="n"/>
    </row>
    <row r="11">
      <c r="A11" s="19" t="n">
        <v>7</v>
      </c>
      <c r="B11" s="20" t="inlineStr">
        <is>
          <t>김준래</t>
        </is>
      </c>
      <c r="C11" s="20" t="inlineStr">
        <is>
          <t>엄창용</t>
        </is>
      </c>
      <c r="D11" s="20" t="inlineStr">
        <is>
          <t>JNTCA27617</t>
        </is>
      </c>
      <c r="E11" s="20" t="inlineStr">
        <is>
          <t>남녀공용 로고 반팔 라운드 티셔츠</t>
        </is>
      </c>
      <c r="F11" s="20" t="inlineStr">
        <is>
          <t>CO1/CO2</t>
        </is>
      </c>
      <c r="G11" s="19">
        <f>IF($D11="","",IF(MID($D11,5,1)="A","A(가을)",IF(MID($D11,5,1)="W","W(겨울)",IF(MID($D11,5,1)="X","X(사계절)",MID($D11,5,1)))))</f>
        <v/>
      </c>
      <c r="H11" s="19" t="inlineStr">
        <is>
          <t>완</t>
        </is>
      </c>
      <c r="I11" s="21" t="inlineStr">
        <is>
          <t>8월1주</t>
        </is>
      </c>
      <c r="J11" s="22">
        <f>IF($I11="","",IFERROR(DATE(기준정보!$C$7,VALUE(LEFT($I11,FIND("월",$I11)-1)),1+7*(VALUE(SUBSTITUTE(MID($I11,FIND("월",$I11)+1,5),"주",""))-1)),""))</f>
        <v/>
      </c>
      <c r="K11" s="22">
        <f>IF($J11="","",IF(AND(ISNUMBER(SEARCH("미얀마",$U11)),$J11-기준정보!$C$5&gt;=기준정보!$C$8,$J11-기준정보!$C$5&lt;=기준정보!$C$9),기준정보!$C$8-1,IF(AND(ISNUMBER(SEARCH("인도네시아",$U11)),$J11-기준정보!$C$5&gt;=기준정보!$C$10,$J11-기준정보!$C$5&lt;=기준정보!$C$11),기준정보!$C$10-1,$J11-기준정보!$C$5)))</f>
        <v/>
      </c>
      <c r="L11" s="23">
        <f>IF($K11="","",IF(ISNUMBER(SEARCH("미얀마",$U11)),MAX(0,MIN($K11,기준정보!$C$9)-MAX($K11-기준정보!$C$6,기준정보!$C$8)+1),IF(ISNUMBER(SEARCH("인도네시아",$U11)),MAX(0,MIN($K11,기준정보!$C$11)-MAX($K11-기준정보!$C$6,기준정보!$C$10)+1),0)))</f>
        <v/>
      </c>
      <c r="M11" s="22">
        <f>IF($K11="","",$K11-기준정보!$C$6-$L11)</f>
        <v/>
      </c>
      <c r="N11" s="24">
        <f>IF($M11="","",$M11-기준정보!$C$4)</f>
        <v/>
      </c>
      <c r="O11" s="21" t="n"/>
      <c r="P11" s="21" t="n"/>
      <c r="Q11" s="21" t="n"/>
      <c r="R11" s="25" t="n"/>
      <c r="S11" s="20">
        <f>IF($H11="","",IF($H11="C","본사(소재팀)",IF($H11="완","생산처","확인 필요")))</f>
        <v/>
      </c>
      <c r="T11" s="20" t="inlineStr">
        <is>
          <t>IKG</t>
        </is>
      </c>
      <c r="U11" s="20" t="inlineStr">
        <is>
          <t>인도네시아</t>
        </is>
      </c>
      <c r="V11" s="20" t="n"/>
      <c r="W11" s="26" t="n"/>
      <c r="X11" s="26" t="n"/>
      <c r="Y11" s="22" t="n"/>
      <c r="Z11" s="27" t="n">
        <v>1000</v>
      </c>
      <c r="AA11" s="27" t="n">
        <v>15000000</v>
      </c>
      <c r="AB11" s="27" t="n">
        <v>88000000</v>
      </c>
      <c r="AC11" s="20" t="n"/>
      <c r="AD11" s="20">
        <f>IF($J11="","출고일 미정",IF($P11="X","작지 미발행",IF($P11="부분","작지 일부 미발행",IF(AND($R11&lt;&gt;"",$R11&gt;$M11),"소재입고 마감("&amp;TEXT($M11,"MM/DD")&amp;") 초과",IF($P11="","발행여부 확인 필요",IF($R11="","소재 입고일정 확인 필요","정상"))))))</f>
        <v/>
      </c>
      <c r="AE11" s="19">
        <f>IF($J11="","",IF(OR(LEFT($AD11,2)="작지",LEFT($AD11,4)="소재입고"),IF(LEFT($G11,1)="A","★ 납기위험(A코드)","◆ 지연주의"),IF($AD11="정상","✓ 정상","? 확인필요")))</f>
        <v/>
      </c>
      <c r="AF11" s="21" t="n"/>
      <c r="AG11" s="28" t="n"/>
    </row>
    <row r="12">
      <c r="A12" s="19" t="n">
        <v>8</v>
      </c>
      <c r="B12" s="20" t="inlineStr">
        <is>
          <t>이재헌</t>
        </is>
      </c>
      <c r="C12" s="20" t="inlineStr">
        <is>
          <t>나영길</t>
        </is>
      </c>
      <c r="D12" s="20" t="inlineStr">
        <is>
          <t>JWJJA27401</t>
        </is>
      </c>
      <c r="E12" s="20" t="inlineStr">
        <is>
          <t>남성 경량 후디드 방풍 재킷</t>
        </is>
      </c>
      <c r="F12" s="20" t="inlineStr">
        <is>
          <t>ASB/NEG/DEB</t>
        </is>
      </c>
      <c r="G12" s="19">
        <f>IF($D12="","",IF(MID($D12,5,1)="A","A(가을)",IF(MID($D12,5,1)="W","W(겨울)",IF(MID($D12,5,1)="X","X(사계절)",MID($D12,5,1)))))</f>
        <v/>
      </c>
      <c r="H12" s="19" t="n"/>
      <c r="I12" s="21" t="inlineStr">
        <is>
          <t>8월1주</t>
        </is>
      </c>
      <c r="J12" s="22">
        <f>IF($I12="","",IFERROR(DATE(기준정보!$C$7,VALUE(LEFT($I12,FIND("월",$I12)-1)),1+7*(VALUE(SUBSTITUTE(MID($I12,FIND("월",$I12)+1,5),"주",""))-1)),""))</f>
        <v/>
      </c>
      <c r="K12" s="22">
        <f>IF($J12="","",IF(AND(ISNUMBER(SEARCH("미얀마",$U12)),$J12-기준정보!$C$5&gt;=기준정보!$C$8,$J12-기준정보!$C$5&lt;=기준정보!$C$9),기준정보!$C$8-1,IF(AND(ISNUMBER(SEARCH("인도네시아",$U12)),$J12-기준정보!$C$5&gt;=기준정보!$C$10,$J12-기준정보!$C$5&lt;=기준정보!$C$11),기준정보!$C$10-1,$J12-기준정보!$C$5)))</f>
        <v/>
      </c>
      <c r="L12" s="23">
        <f>IF($K12="","",IF(ISNUMBER(SEARCH("미얀마",$U12)),MAX(0,MIN($K12,기준정보!$C$9)-MAX($K12-기준정보!$C$6,기준정보!$C$8)+1),IF(ISNUMBER(SEARCH("인도네시아",$U12)),MAX(0,MIN($K12,기준정보!$C$11)-MAX($K12-기준정보!$C$6,기준정보!$C$10)+1),0)))</f>
        <v/>
      </c>
      <c r="M12" s="22">
        <f>IF($K12="","",$K12-기준정보!$C$6-$L12)</f>
        <v/>
      </c>
      <c r="N12" s="24">
        <f>IF($M12="","",$M12-기준정보!$C$4)</f>
        <v/>
      </c>
      <c r="O12" s="21" t="n"/>
      <c r="P12" s="21" t="n"/>
      <c r="Q12" s="21" t="n"/>
      <c r="R12" s="25" t="n"/>
      <c r="S12" s="20">
        <f>IF($H12="","",IF($H12="C","본사(소재팀)",IF($H12="완","생산처","확인 필요")))</f>
        <v/>
      </c>
      <c r="T12" s="20" t="inlineStr">
        <is>
          <t>기도</t>
        </is>
      </c>
      <c r="U12" s="20" t="inlineStr">
        <is>
          <t>베트남</t>
        </is>
      </c>
      <c r="V12" s="20" t="n"/>
      <c r="W12" s="26" t="n"/>
      <c r="X12" s="26" t="n"/>
      <c r="Y12" s="22" t="n"/>
      <c r="Z12" s="27" t="n">
        <v>900</v>
      </c>
      <c r="AA12" s="27" t="n">
        <v>64382400</v>
      </c>
      <c r="AB12" s="27" t="n">
        <v>198000000</v>
      </c>
      <c r="AC12" s="20" t="n"/>
      <c r="AD12" s="20">
        <f>IF($J12="","출고일 미정",IF($P12="X","작지 미발행",IF($P12="부분","작지 일부 미발행",IF(AND($R12&lt;&gt;"",$R12&gt;$M12),"소재입고 마감("&amp;TEXT($M12,"MM/DD")&amp;") 초과",IF($P12="","발행여부 확인 필요",IF($R12="","소재 입고일정 확인 필요","정상"))))))</f>
        <v/>
      </c>
      <c r="AE12" s="19">
        <f>IF($J12="","",IF(OR(LEFT($AD12,2)="작지",LEFT($AD12,4)="소재입고"),IF(LEFT($G12,1)="A","★ 납기위험(A코드)","◆ 지연주의"),IF($AD12="정상","✓ 정상","? 확인필요")))</f>
        <v/>
      </c>
      <c r="AF12" s="21" t="n"/>
      <c r="AG12" s="28" t="n"/>
    </row>
    <row r="13">
      <c r="A13" s="19" t="n">
        <v>9</v>
      </c>
      <c r="B13" s="20" t="inlineStr">
        <is>
          <t>김준래</t>
        </is>
      </c>
      <c r="C13" s="20" t="inlineStr">
        <is>
          <t>강기환</t>
        </is>
      </c>
      <c r="D13" s="20" t="inlineStr">
        <is>
          <t>JWSXA27611</t>
        </is>
      </c>
      <c r="E13" s="20" t="inlineStr">
        <is>
          <t>남성 스트라이프 집업 긴팔 셔츠</t>
        </is>
      </c>
      <c r="F13" s="20" t="inlineStr">
        <is>
          <t>ABU/CHR</t>
        </is>
      </c>
      <c r="G13" s="19">
        <f>IF($D13="","",IF(MID($D13,5,1)="A","A(가을)",IF(MID($D13,5,1)="W","W(겨울)",IF(MID($D13,5,1)="X","X(사계절)",MID($D13,5,1)))))</f>
        <v/>
      </c>
      <c r="H13" s="19" t="inlineStr">
        <is>
          <t>완</t>
        </is>
      </c>
      <c r="I13" s="21" t="inlineStr">
        <is>
          <t>8월1주</t>
        </is>
      </c>
      <c r="J13" s="22">
        <f>IF($I13="","",IFERROR(DATE(기준정보!$C$7,VALUE(LEFT($I13,FIND("월",$I13)-1)),1+7*(VALUE(SUBSTITUTE(MID($I13,FIND("월",$I13)+1,5),"주",""))-1)),""))</f>
        <v/>
      </c>
      <c r="K13" s="22">
        <f>IF($J13="","",IF(AND(ISNUMBER(SEARCH("미얀마",$U13)),$J13-기준정보!$C$5&gt;=기준정보!$C$8,$J13-기준정보!$C$5&lt;=기준정보!$C$9),기준정보!$C$8-1,IF(AND(ISNUMBER(SEARCH("인도네시아",$U13)),$J13-기준정보!$C$5&gt;=기준정보!$C$10,$J13-기준정보!$C$5&lt;=기준정보!$C$11),기준정보!$C$10-1,$J13-기준정보!$C$5)))</f>
        <v/>
      </c>
      <c r="L13" s="23">
        <f>IF($K13="","",IF(ISNUMBER(SEARCH("미얀마",$U13)),MAX(0,MIN($K13,기준정보!$C$9)-MAX($K13-기준정보!$C$6,기준정보!$C$8)+1),IF(ISNUMBER(SEARCH("인도네시아",$U13)),MAX(0,MIN($K13,기준정보!$C$11)-MAX($K13-기준정보!$C$6,기준정보!$C$10)+1),0)))</f>
        <v/>
      </c>
      <c r="M13" s="22">
        <f>IF($K13="","",$K13-기준정보!$C$6-$L13)</f>
        <v/>
      </c>
      <c r="N13" s="24">
        <f>IF($M13="","",$M13-기준정보!$C$4)</f>
        <v/>
      </c>
      <c r="O13" s="21" t="n"/>
      <c r="P13" s="21" t="n"/>
      <c r="Q13" s="21" t="n"/>
      <c r="R13" s="25" t="n"/>
      <c r="S13" s="20">
        <f>IF($H13="","",IF($H13="C","본사(소재팀)",IF($H13="완","생산처","확인 필요")))</f>
        <v/>
      </c>
      <c r="T13" s="20" t="inlineStr">
        <is>
          <t>성원</t>
        </is>
      </c>
      <c r="U13" s="20" t="inlineStr">
        <is>
          <t>베트남</t>
        </is>
      </c>
      <c r="V13" s="20" t="n"/>
      <c r="W13" s="26" t="n"/>
      <c r="X13" s="26" t="n"/>
      <c r="Y13" s="22" t="n"/>
      <c r="Z13" s="27" t="n">
        <v>600</v>
      </c>
      <c r="AA13" s="27" t="n">
        <v>30298800</v>
      </c>
      <c r="AB13" s="27" t="n">
        <v>162000000</v>
      </c>
      <c r="AC13" s="20" t="n"/>
      <c r="AD13" s="20">
        <f>IF($J13="","출고일 미정",IF($P13="X","작지 미발행",IF($P13="부분","작지 일부 미발행",IF(AND($R13&lt;&gt;"",$R13&gt;$M13),"소재입고 마감("&amp;TEXT($M13,"MM/DD")&amp;") 초과",IF($P13="","발행여부 확인 필요",IF($R13="","소재 입고일정 확인 필요","정상"))))))</f>
        <v/>
      </c>
      <c r="AE13" s="19">
        <f>IF($J13="","",IF(OR(LEFT($AD13,2)="작지",LEFT($AD13,4)="소재입고"),IF(LEFT($G13,1)="A","★ 납기위험(A코드)","◆ 지연주의"),IF($AD13="정상","✓ 정상","? 확인필요")))</f>
        <v/>
      </c>
      <c r="AF13" s="21" t="n"/>
      <c r="AG13" s="28" t="n"/>
    </row>
    <row r="14">
      <c r="A14" s="19" t="n">
        <v>10</v>
      </c>
      <c r="B14" s="20" t="inlineStr">
        <is>
          <t>김준래</t>
        </is>
      </c>
      <c r="C14" s="20" t="inlineStr">
        <is>
          <t>강기환</t>
        </is>
      </c>
      <c r="D14" s="20" t="inlineStr">
        <is>
          <t>JWTBA27611</t>
        </is>
      </c>
      <c r="E14" s="20" t="inlineStr">
        <is>
          <t>남성 메리노울 긴팔 폴로</t>
        </is>
      </c>
      <c r="F14" s="20" t="inlineStr">
        <is>
          <t>PEG/DEB</t>
        </is>
      </c>
      <c r="G14" s="19">
        <f>IF($D14="","",IF(MID($D14,5,1)="A","A(가을)",IF(MID($D14,5,1)="W","W(겨울)",IF(MID($D14,5,1)="X","X(사계절)",MID($D14,5,1)))))</f>
        <v/>
      </c>
      <c r="H14" s="19" t="inlineStr">
        <is>
          <t>완</t>
        </is>
      </c>
      <c r="I14" s="21" t="inlineStr">
        <is>
          <t>8월1주</t>
        </is>
      </c>
      <c r="J14" s="22">
        <f>IF($I14="","",IFERROR(DATE(기준정보!$C$7,VALUE(LEFT($I14,FIND("월",$I14)-1)),1+7*(VALUE(SUBSTITUTE(MID($I14,FIND("월",$I14)+1,5),"주",""))-1)),""))</f>
        <v/>
      </c>
      <c r="K14" s="22">
        <f>IF($J14="","",IF(AND(ISNUMBER(SEARCH("미얀마",$U14)),$J14-기준정보!$C$5&gt;=기준정보!$C$8,$J14-기준정보!$C$5&lt;=기준정보!$C$9),기준정보!$C$8-1,IF(AND(ISNUMBER(SEARCH("인도네시아",$U14)),$J14-기준정보!$C$5&gt;=기준정보!$C$10,$J14-기준정보!$C$5&lt;=기준정보!$C$11),기준정보!$C$10-1,$J14-기준정보!$C$5)))</f>
        <v/>
      </c>
      <c r="L14" s="23">
        <f>IF($K14="","",IF(ISNUMBER(SEARCH("미얀마",$U14)),MAX(0,MIN($K14,기준정보!$C$9)-MAX($K14-기준정보!$C$6,기준정보!$C$8)+1),IF(ISNUMBER(SEARCH("인도네시아",$U14)),MAX(0,MIN($K14,기준정보!$C$11)-MAX($K14-기준정보!$C$6,기준정보!$C$10)+1),0)))</f>
        <v/>
      </c>
      <c r="M14" s="22">
        <f>IF($K14="","",$K14-기준정보!$C$6-$L14)</f>
        <v/>
      </c>
      <c r="N14" s="24">
        <f>IF($M14="","",$M14-기준정보!$C$4)</f>
        <v/>
      </c>
      <c r="O14" s="21" t="n"/>
      <c r="P14" s="21" t="n"/>
      <c r="Q14" s="21" t="n"/>
      <c r="R14" s="25" t="n"/>
      <c r="S14" s="20">
        <f>IF($H14="","",IF($H14="C","본사(소재팀)",IF($H14="완","생산처","확인 필요")))</f>
        <v/>
      </c>
      <c r="T14" s="20" t="inlineStr">
        <is>
          <t>IKG</t>
        </is>
      </c>
      <c r="U14" s="20" t="inlineStr">
        <is>
          <t>인도네시아</t>
        </is>
      </c>
      <c r="V14" s="20" t="n"/>
      <c r="W14" s="26" t="n"/>
      <c r="X14" s="26" t="n"/>
      <c r="Y14" s="22" t="n"/>
      <c r="Z14" s="27" t="n">
        <v>900</v>
      </c>
      <c r="AA14" s="27" t="n">
        <v>44559000</v>
      </c>
      <c r="AB14" s="27" t="n">
        <v>178200000</v>
      </c>
      <c r="AC14" s="20" t="n"/>
      <c r="AD14" s="20">
        <f>IF($J14="","출고일 미정",IF($P14="X","작지 미발행",IF($P14="부분","작지 일부 미발행",IF(AND($R14&lt;&gt;"",$R14&gt;$M14),"소재입고 마감("&amp;TEXT($M14,"MM/DD")&amp;") 초과",IF($P14="","발행여부 확인 필요",IF($R14="","소재 입고일정 확인 필요","정상"))))))</f>
        <v/>
      </c>
      <c r="AE14" s="19">
        <f>IF($J14="","",IF(OR(LEFT($AD14,2)="작지",LEFT($AD14,4)="소재입고"),IF(LEFT($G14,1)="A","★ 납기위험(A코드)","◆ 지연주의"),IF($AD14="정상","✓ 정상","? 확인필요")))</f>
        <v/>
      </c>
      <c r="AF14" s="21" t="n"/>
      <c r="AG14" s="28" t="n"/>
    </row>
    <row r="15">
      <c r="A15" s="19" t="n">
        <v>11</v>
      </c>
      <c r="B15" s="20" t="inlineStr">
        <is>
          <t>정영준</t>
        </is>
      </c>
      <c r="C15" s="20" t="inlineStr">
        <is>
          <t>엄창용</t>
        </is>
      </c>
      <c r="D15" s="20" t="inlineStr">
        <is>
          <t>JWTCA27611</t>
        </is>
      </c>
      <c r="E15" s="20" t="inlineStr">
        <is>
          <t>남성 핫멜트 집업 폴로 반팔 티셔츠</t>
        </is>
      </c>
      <c r="F15" s="20" t="inlineStr">
        <is>
          <t>CO1/CO2</t>
        </is>
      </c>
      <c r="G15" s="19">
        <f>IF($D15="","",IF(MID($D15,5,1)="A","A(가을)",IF(MID($D15,5,1)="W","W(겨울)",IF(MID($D15,5,1)="X","X(사계절)",MID($D15,5,1)))))</f>
        <v/>
      </c>
      <c r="H15" s="19" t="n"/>
      <c r="I15" s="21" t="inlineStr">
        <is>
          <t>8월1주</t>
        </is>
      </c>
      <c r="J15" s="22">
        <f>IF($I15="","",IFERROR(DATE(기준정보!$C$7,VALUE(LEFT($I15,FIND("월",$I15)-1)),1+7*(VALUE(SUBSTITUTE(MID($I15,FIND("월",$I15)+1,5),"주",""))-1)),""))</f>
        <v/>
      </c>
      <c r="K15" s="22">
        <f>IF($J15="","",IF(AND(ISNUMBER(SEARCH("미얀마",$U15)),$J15-기준정보!$C$5&gt;=기준정보!$C$8,$J15-기준정보!$C$5&lt;=기준정보!$C$9),기준정보!$C$8-1,IF(AND(ISNUMBER(SEARCH("인도네시아",$U15)),$J15-기준정보!$C$5&gt;=기준정보!$C$10,$J15-기준정보!$C$5&lt;=기준정보!$C$11),기준정보!$C$10-1,$J15-기준정보!$C$5)))</f>
        <v/>
      </c>
      <c r="L15" s="23">
        <f>IF($K15="","",IF(ISNUMBER(SEARCH("미얀마",$U15)),MAX(0,MIN($K15,기준정보!$C$9)-MAX($K15-기준정보!$C$6,기준정보!$C$8)+1),IF(ISNUMBER(SEARCH("인도네시아",$U15)),MAX(0,MIN($K15,기준정보!$C$11)-MAX($K15-기준정보!$C$6,기준정보!$C$10)+1),0)))</f>
        <v/>
      </c>
      <c r="M15" s="22">
        <f>IF($K15="","",$K15-기준정보!$C$6-$L15)</f>
        <v/>
      </c>
      <c r="N15" s="24">
        <f>IF($M15="","",$M15-기준정보!$C$4)</f>
        <v/>
      </c>
      <c r="O15" s="21" t="n"/>
      <c r="P15" s="21" t="n"/>
      <c r="Q15" s="21" t="n"/>
      <c r="R15" s="25" t="n"/>
      <c r="S15" s="20">
        <f>IF($H15="","",IF($H15="C","본사(소재팀)",IF($H15="완","생산처","확인 필요")))</f>
        <v/>
      </c>
      <c r="T15" s="20" t="n"/>
      <c r="U15" s="20" t="n"/>
      <c r="V15" s="20" t="n"/>
      <c r="W15" s="26" t="n"/>
      <c r="X15" s="26" t="n"/>
      <c r="Y15" s="22" t="n"/>
      <c r="Z15" s="27" t="n">
        <v>700</v>
      </c>
      <c r="AA15" s="27" t="n">
        <v>14000000</v>
      </c>
      <c r="AB15" s="27" t="n">
        <v>96600000</v>
      </c>
      <c r="AC15" s="20" t="n"/>
      <c r="AD15" s="20">
        <f>IF($J15="","출고일 미정",IF($P15="X","작지 미발행",IF($P15="부분","작지 일부 미발행",IF(AND($R15&lt;&gt;"",$R15&gt;$M15),"소재입고 마감("&amp;TEXT($M15,"MM/DD")&amp;") 초과",IF($P15="","발행여부 확인 필요",IF($R15="","소재 입고일정 확인 필요","정상"))))))</f>
        <v/>
      </c>
      <c r="AE15" s="19">
        <f>IF($J15="","",IF(OR(LEFT($AD15,2)="작지",LEFT($AD15,4)="소재입고"),IF(LEFT($G15,1)="A","★ 납기위험(A코드)","◆ 지연주의"),IF($AD15="정상","✓ 정상","? 확인필요")))</f>
        <v/>
      </c>
      <c r="AF15" s="21" t="n"/>
      <c r="AG15" s="28" t="n"/>
    </row>
    <row r="16">
      <c r="A16" s="19" t="n">
        <v>12</v>
      </c>
      <c r="B16" s="20" t="inlineStr">
        <is>
          <t>문도혁</t>
        </is>
      </c>
      <c r="C16" s="20" t="inlineStr">
        <is>
          <t>정희영</t>
        </is>
      </c>
      <c r="D16" s="20" t="inlineStr">
        <is>
          <t>TLJJA27611</t>
        </is>
      </c>
      <c r="E16" s="20" t="inlineStr">
        <is>
          <t>남성 인후드 방풍 재킷</t>
        </is>
      </c>
      <c r="F16" s="20" t="inlineStr">
        <is>
          <t>CTP/DTL/CHR</t>
        </is>
      </c>
      <c r="G16" s="19">
        <f>IF($D16="","",IF(MID($D16,5,1)="A","A(가을)",IF(MID($D16,5,1)="W","W(겨울)",IF(MID($D16,5,1)="X","X(사계절)",MID($D16,5,1)))))</f>
        <v/>
      </c>
      <c r="H16" s="19" t="inlineStr">
        <is>
          <t>완</t>
        </is>
      </c>
      <c r="I16" s="21" t="inlineStr">
        <is>
          <t>8월1주</t>
        </is>
      </c>
      <c r="J16" s="22">
        <f>IF($I16="","",IFERROR(DATE(기준정보!$C$7,VALUE(LEFT($I16,FIND("월",$I16)-1)),1+7*(VALUE(SUBSTITUTE(MID($I16,FIND("월",$I16)+1,5),"주",""))-1)),""))</f>
        <v/>
      </c>
      <c r="K16" s="22">
        <f>IF($J16="","",IF(AND(ISNUMBER(SEARCH("미얀마",$U16)),$J16-기준정보!$C$5&gt;=기준정보!$C$8,$J16-기준정보!$C$5&lt;=기준정보!$C$9),기준정보!$C$8-1,IF(AND(ISNUMBER(SEARCH("인도네시아",$U16)),$J16-기준정보!$C$5&gt;=기준정보!$C$10,$J16-기준정보!$C$5&lt;=기준정보!$C$11),기준정보!$C$10-1,$J16-기준정보!$C$5)))</f>
        <v/>
      </c>
      <c r="L16" s="23">
        <f>IF($K16="","",IF(ISNUMBER(SEARCH("미얀마",$U16)),MAX(0,MIN($K16,기준정보!$C$9)-MAX($K16-기준정보!$C$6,기준정보!$C$8)+1),IF(ISNUMBER(SEARCH("인도네시아",$U16)),MAX(0,MIN($K16,기준정보!$C$11)-MAX($K16-기준정보!$C$6,기준정보!$C$10)+1),0)))</f>
        <v/>
      </c>
      <c r="M16" s="22">
        <f>IF($K16="","",$K16-기준정보!$C$6-$L16)</f>
        <v/>
      </c>
      <c r="N16" s="24">
        <f>IF($M16="","",$M16-기준정보!$C$4)</f>
        <v/>
      </c>
      <c r="O16" s="21" t="n"/>
      <c r="P16" s="21" t="n"/>
      <c r="Q16" s="21" t="n"/>
      <c r="R16" s="25" t="n"/>
      <c r="S16" s="20">
        <f>IF($H16="","",IF($H16="C","본사(소재팀)",IF($H16="완","생산처","확인 필요")))</f>
        <v/>
      </c>
      <c r="T16" s="20" t="inlineStr">
        <is>
          <t>아이블</t>
        </is>
      </c>
      <c r="U16" s="20" t="inlineStr">
        <is>
          <t>베트남</t>
        </is>
      </c>
      <c r="V16" s="20" t="n"/>
      <c r="W16" s="26" t="n"/>
      <c r="X16" s="26" t="n"/>
      <c r="Y16" s="22" t="n"/>
      <c r="Z16" s="27" t="n">
        <v>6000</v>
      </c>
      <c r="AA16" s="27" t="n">
        <v>311274000</v>
      </c>
      <c r="AB16" s="27" t="n">
        <v>1500000000</v>
      </c>
      <c r="AC16" s="20" t="n"/>
      <c r="AD16" s="20">
        <f>IF($J16="","출고일 미정",IF($P16="X","작지 미발행",IF($P16="부분","작지 일부 미발행",IF(AND($R16&lt;&gt;"",$R16&gt;$M16),"소재입고 마감("&amp;TEXT($M16,"MM/DD")&amp;") 초과",IF($P16="","발행여부 확인 필요",IF($R16="","소재 입고일정 확인 필요","정상"))))))</f>
        <v/>
      </c>
      <c r="AE16" s="19">
        <f>IF($J16="","",IF(OR(LEFT($AD16,2)="작지",LEFT($AD16,4)="소재입고"),IF(LEFT($G16,1)="A","★ 납기위험(A코드)","◆ 지연주의"),IF($AD16="정상","✓ 정상","? 확인필요")))</f>
        <v/>
      </c>
      <c r="AF16" s="21" t="n"/>
      <c r="AG16" s="28" t="n"/>
    </row>
    <row r="17">
      <c r="A17" s="19" t="n">
        <v>13</v>
      </c>
      <c r="B17" s="20" t="inlineStr">
        <is>
          <t>문도혁</t>
        </is>
      </c>
      <c r="C17" s="20" t="inlineStr">
        <is>
          <t>정희영</t>
        </is>
      </c>
      <c r="D17" s="20" t="inlineStr">
        <is>
          <t>TLJJA27621</t>
        </is>
      </c>
      <c r="E17" s="20" t="inlineStr">
        <is>
          <t>남성 소프트쉘 칼라넥 재킷</t>
        </is>
      </c>
      <c r="F17" s="20" t="inlineStr">
        <is>
          <t>DOE/DEB</t>
        </is>
      </c>
      <c r="G17" s="19">
        <f>IF($D17="","",IF(MID($D17,5,1)="A","A(가을)",IF(MID($D17,5,1)="W","W(겨울)",IF(MID($D17,5,1)="X","X(사계절)",MID($D17,5,1)))))</f>
        <v/>
      </c>
      <c r="H17" s="19" t="inlineStr">
        <is>
          <t>완</t>
        </is>
      </c>
      <c r="I17" s="21" t="inlineStr">
        <is>
          <t>8월1주</t>
        </is>
      </c>
      <c r="J17" s="22">
        <f>IF($I17="","",IFERROR(DATE(기준정보!$C$7,VALUE(LEFT($I17,FIND("월",$I17)-1)),1+7*(VALUE(SUBSTITUTE(MID($I17,FIND("월",$I17)+1,5),"주",""))-1)),""))</f>
        <v/>
      </c>
      <c r="K17" s="22">
        <f>IF($J17="","",IF(AND(ISNUMBER(SEARCH("미얀마",$U17)),$J17-기준정보!$C$5&gt;=기준정보!$C$8,$J17-기준정보!$C$5&lt;=기준정보!$C$9),기준정보!$C$8-1,IF(AND(ISNUMBER(SEARCH("인도네시아",$U17)),$J17-기준정보!$C$5&gt;=기준정보!$C$10,$J17-기준정보!$C$5&lt;=기준정보!$C$11),기준정보!$C$10-1,$J17-기준정보!$C$5)))</f>
        <v/>
      </c>
      <c r="L17" s="23">
        <f>IF($K17="","",IF(ISNUMBER(SEARCH("미얀마",$U17)),MAX(0,MIN($K17,기준정보!$C$9)-MAX($K17-기준정보!$C$6,기준정보!$C$8)+1),IF(ISNUMBER(SEARCH("인도네시아",$U17)),MAX(0,MIN($K17,기준정보!$C$11)-MAX($K17-기준정보!$C$6,기준정보!$C$10)+1),0)))</f>
        <v/>
      </c>
      <c r="M17" s="22">
        <f>IF($K17="","",$K17-기준정보!$C$6-$L17)</f>
        <v/>
      </c>
      <c r="N17" s="24">
        <f>IF($M17="","",$M17-기준정보!$C$4)</f>
        <v/>
      </c>
      <c r="O17" s="21" t="n"/>
      <c r="P17" s="21" t="n"/>
      <c r="Q17" s="21" t="n"/>
      <c r="R17" s="25" t="n"/>
      <c r="S17" s="20">
        <f>IF($H17="","",IF($H17="C","본사(소재팀)",IF($H17="완","생산처","확인 필요")))</f>
        <v/>
      </c>
      <c r="T17" s="20" t="inlineStr">
        <is>
          <t>원전</t>
        </is>
      </c>
      <c r="U17" s="20" t="inlineStr">
        <is>
          <t>인도네시아</t>
        </is>
      </c>
      <c r="V17" s="20" t="n"/>
      <c r="W17" s="26" t="n"/>
      <c r="X17" s="26" t="n"/>
      <c r="Y17" s="22" t="n"/>
      <c r="Z17" s="27" t="n">
        <v>3000</v>
      </c>
      <c r="AA17" s="27" t="n">
        <v>164781000</v>
      </c>
      <c r="AB17" s="27" t="n">
        <v>810000000</v>
      </c>
      <c r="AC17" s="20" t="n"/>
      <c r="AD17" s="20">
        <f>IF($J17="","출고일 미정",IF($P17="X","작지 미발행",IF($P17="부분","작지 일부 미발행",IF(AND($R17&lt;&gt;"",$R17&gt;$M17),"소재입고 마감("&amp;TEXT($M17,"MM/DD")&amp;") 초과",IF($P17="","발행여부 확인 필요",IF($R17="","소재 입고일정 확인 필요","정상"))))))</f>
        <v/>
      </c>
      <c r="AE17" s="19">
        <f>IF($J17="","",IF(OR(LEFT($AD17,2)="작지",LEFT($AD17,4)="소재입고"),IF(LEFT($G17,1)="A","★ 납기위험(A코드)","◆ 지연주의"),IF($AD17="정상","✓ 정상","? 확인필요")))</f>
        <v/>
      </c>
      <c r="AF17" s="21" t="n"/>
      <c r="AG17" s="28" t="n"/>
    </row>
    <row r="18">
      <c r="A18" s="19" t="n">
        <v>14</v>
      </c>
      <c r="B18" s="20" t="inlineStr">
        <is>
          <t>김준래</t>
        </is>
      </c>
      <c r="C18" s="20" t="inlineStr">
        <is>
          <t>정희영</t>
        </is>
      </c>
      <c r="D18" s="20" t="inlineStr">
        <is>
          <t>TLPNA27605</t>
        </is>
      </c>
      <c r="E18" s="20" t="inlineStr">
        <is>
          <t>남성 데님 스트레이트 팬츠</t>
        </is>
      </c>
      <c r="F18" s="20" t="inlineStr">
        <is>
          <t>IND</t>
        </is>
      </c>
      <c r="G18" s="19">
        <f>IF($D18="","",IF(MID($D18,5,1)="A","A(가을)",IF(MID($D18,5,1)="W","W(겨울)",IF(MID($D18,5,1)="X","X(사계절)",MID($D18,5,1)))))</f>
        <v/>
      </c>
      <c r="H18" s="19" t="inlineStr">
        <is>
          <t>완</t>
        </is>
      </c>
      <c r="I18" s="21" t="inlineStr">
        <is>
          <t>8월1주</t>
        </is>
      </c>
      <c r="J18" s="22">
        <f>IF($I18="","",IFERROR(DATE(기준정보!$C$7,VALUE(LEFT($I18,FIND("월",$I18)-1)),1+7*(VALUE(SUBSTITUTE(MID($I18,FIND("월",$I18)+1,5),"주",""))-1)),""))</f>
        <v/>
      </c>
      <c r="K18" s="22">
        <f>IF($J18="","",IF(AND(ISNUMBER(SEARCH("미얀마",$U18)),$J18-기준정보!$C$5&gt;=기준정보!$C$8,$J18-기준정보!$C$5&lt;=기준정보!$C$9),기준정보!$C$8-1,IF(AND(ISNUMBER(SEARCH("인도네시아",$U18)),$J18-기준정보!$C$5&gt;=기준정보!$C$10,$J18-기준정보!$C$5&lt;=기준정보!$C$11),기준정보!$C$10-1,$J18-기준정보!$C$5)))</f>
        <v/>
      </c>
      <c r="L18" s="23">
        <f>IF($K18="","",IF(ISNUMBER(SEARCH("미얀마",$U18)),MAX(0,MIN($K18,기준정보!$C$9)-MAX($K18-기준정보!$C$6,기준정보!$C$8)+1),IF(ISNUMBER(SEARCH("인도네시아",$U18)),MAX(0,MIN($K18,기준정보!$C$11)-MAX($K18-기준정보!$C$6,기준정보!$C$10)+1),0)))</f>
        <v/>
      </c>
      <c r="M18" s="22">
        <f>IF($K18="","",$K18-기준정보!$C$6-$L18)</f>
        <v/>
      </c>
      <c r="N18" s="24">
        <f>IF($M18="","",$M18-기준정보!$C$4)</f>
        <v/>
      </c>
      <c r="O18" s="21" t="n"/>
      <c r="P18" s="21" t="n"/>
      <c r="Q18" s="21" t="n"/>
      <c r="R18" s="25" t="n"/>
      <c r="S18" s="20">
        <f>IF($H18="","",IF($H18="C","본사(소재팀)",IF($H18="완","생산처","확인 필요")))</f>
        <v/>
      </c>
      <c r="T18" s="20" t="inlineStr">
        <is>
          <t>파란</t>
        </is>
      </c>
      <c r="U18" s="20" t="inlineStr">
        <is>
          <t>중국</t>
        </is>
      </c>
      <c r="V18" s="20" t="n"/>
      <c r="W18" s="26" t="n"/>
      <c r="X18" s="26" t="n"/>
      <c r="Y18" s="22" t="n"/>
      <c r="Z18" s="27" t="n">
        <v>1500</v>
      </c>
      <c r="AA18" s="27" t="n">
        <v>42000000</v>
      </c>
      <c r="AB18" s="27" t="n">
        <v>267000000</v>
      </c>
      <c r="AC18" s="20" t="n"/>
      <c r="AD18" s="20">
        <f>IF($J18="","출고일 미정",IF($P18="X","작지 미발행",IF($P18="부분","작지 일부 미발행",IF(AND($R18&lt;&gt;"",$R18&gt;$M18),"소재입고 마감("&amp;TEXT($M18,"MM/DD")&amp;") 초과",IF($P18="","발행여부 확인 필요",IF($R18="","소재 입고일정 확인 필요","정상"))))))</f>
        <v/>
      </c>
      <c r="AE18" s="19">
        <f>IF($J18="","",IF(OR(LEFT($AD18,2)="작지",LEFT($AD18,4)="소재입고"),IF(LEFT($G18,1)="A","★ 납기위험(A코드)","◆ 지연주의"),IF($AD18="정상","✓ 정상","? 확인필요")))</f>
        <v/>
      </c>
      <c r="AF18" s="21" t="n"/>
      <c r="AG18" s="28" t="n"/>
    </row>
    <row r="19">
      <c r="A19" s="19" t="n">
        <v>15</v>
      </c>
      <c r="B19" s="20" t="inlineStr">
        <is>
          <t>김준래</t>
        </is>
      </c>
      <c r="C19" s="20" t="inlineStr">
        <is>
          <t>정희영</t>
        </is>
      </c>
      <c r="D19" s="20" t="inlineStr">
        <is>
          <t>TLPNA27607</t>
        </is>
      </c>
      <c r="E19" s="20" t="inlineStr">
        <is>
          <t>남성 쿠션 릴렛스핏 팬츠</t>
        </is>
      </c>
      <c r="F19" s="20" t="inlineStr">
        <is>
          <t>RBW/DEB</t>
        </is>
      </c>
      <c r="G19" s="19">
        <f>IF($D19="","",IF(MID($D19,5,1)="A","A(가을)",IF(MID($D19,5,1)="W","W(겨울)",IF(MID($D19,5,1)="X","X(사계절)",MID($D19,5,1)))))</f>
        <v/>
      </c>
      <c r="H19" s="19" t="inlineStr">
        <is>
          <t>완</t>
        </is>
      </c>
      <c r="I19" s="21" t="inlineStr">
        <is>
          <t>8월1주</t>
        </is>
      </c>
      <c r="J19" s="22">
        <f>IF($I19="","",IFERROR(DATE(기준정보!$C$7,VALUE(LEFT($I19,FIND("월",$I19)-1)),1+7*(VALUE(SUBSTITUTE(MID($I19,FIND("월",$I19)+1,5),"주",""))-1)),""))</f>
        <v/>
      </c>
      <c r="K19" s="22">
        <f>IF($J19="","",IF(AND(ISNUMBER(SEARCH("미얀마",$U19)),$J19-기준정보!$C$5&gt;=기준정보!$C$8,$J19-기준정보!$C$5&lt;=기준정보!$C$9),기준정보!$C$8-1,IF(AND(ISNUMBER(SEARCH("인도네시아",$U19)),$J19-기준정보!$C$5&gt;=기준정보!$C$10,$J19-기준정보!$C$5&lt;=기준정보!$C$11),기준정보!$C$10-1,$J19-기준정보!$C$5)))</f>
        <v/>
      </c>
      <c r="L19" s="23">
        <f>IF($K19="","",IF(ISNUMBER(SEARCH("미얀마",$U19)),MAX(0,MIN($K19,기준정보!$C$9)-MAX($K19-기준정보!$C$6,기준정보!$C$8)+1),IF(ISNUMBER(SEARCH("인도네시아",$U19)),MAX(0,MIN($K19,기준정보!$C$11)-MAX($K19-기준정보!$C$6,기준정보!$C$10)+1),0)))</f>
        <v/>
      </c>
      <c r="M19" s="22">
        <f>IF($K19="","",$K19-기준정보!$C$6-$L19)</f>
        <v/>
      </c>
      <c r="N19" s="24">
        <f>IF($M19="","",$M19-기준정보!$C$4)</f>
        <v/>
      </c>
      <c r="O19" s="21" t="n"/>
      <c r="P19" s="21" t="n"/>
      <c r="Q19" s="21" t="n"/>
      <c r="R19" s="25" t="n"/>
      <c r="S19" s="20">
        <f>IF($H19="","",IF($H19="C","본사(소재팀)",IF($H19="완","생산처","확인 필요")))</f>
        <v/>
      </c>
      <c r="T19" s="20" t="inlineStr">
        <is>
          <t>TESSELLATION</t>
        </is>
      </c>
      <c r="U19" s="20" t="inlineStr">
        <is>
          <t>베트남</t>
        </is>
      </c>
      <c r="V19" s="20" t="n"/>
      <c r="W19" s="26" t="n"/>
      <c r="X19" s="26" t="n"/>
      <c r="Y19" s="22" t="n"/>
      <c r="Z19" s="27" t="n">
        <v>3000</v>
      </c>
      <c r="AA19" s="27" t="n">
        <v>89340000</v>
      </c>
      <c r="AB19" s="27" t="n">
        <v>444000000</v>
      </c>
      <c r="AC19" s="20" t="n"/>
      <c r="AD19" s="20">
        <f>IF($J19="","출고일 미정",IF($P19="X","작지 미발행",IF($P19="부분","작지 일부 미발행",IF(AND($R19&lt;&gt;"",$R19&gt;$M19),"소재입고 마감("&amp;TEXT($M19,"MM/DD")&amp;") 초과",IF($P19="","발행여부 확인 필요",IF($R19="","소재 입고일정 확인 필요","정상"))))))</f>
        <v/>
      </c>
      <c r="AE19" s="19">
        <f>IF($J19="","",IF(OR(LEFT($AD19,2)="작지",LEFT($AD19,4)="소재입고"),IF(LEFT($G19,1)="A","★ 납기위험(A코드)","◆ 지연주의"),IF($AD19="정상","✓ 정상","? 확인필요")))</f>
        <v/>
      </c>
      <c r="AF19" s="21" t="n"/>
      <c r="AG19" s="28" t="n"/>
    </row>
    <row r="20">
      <c r="A20" s="19" t="n">
        <v>16</v>
      </c>
      <c r="B20" s="20" t="inlineStr">
        <is>
          <t>김준래</t>
        </is>
      </c>
      <c r="C20" s="20" t="inlineStr">
        <is>
          <t>정희영</t>
        </is>
      </c>
      <c r="D20" s="20" t="inlineStr">
        <is>
          <t>TLPNA27609</t>
        </is>
      </c>
      <c r="E20" s="20" t="inlineStr">
        <is>
          <t>남성 트리코트 스트레이트 팬츠</t>
        </is>
      </c>
      <c r="F20" s="20" t="inlineStr">
        <is>
          <t>CTP/MID</t>
        </is>
      </c>
      <c r="G20" s="19">
        <f>IF($D20="","",IF(MID($D20,5,1)="A","A(가을)",IF(MID($D20,5,1)="W","W(겨울)",IF(MID($D20,5,1)="X","X(사계절)",MID($D20,5,1)))))</f>
        <v/>
      </c>
      <c r="H20" s="19" t="inlineStr">
        <is>
          <t>완</t>
        </is>
      </c>
      <c r="I20" s="21" t="inlineStr">
        <is>
          <t>8월1주</t>
        </is>
      </c>
      <c r="J20" s="22">
        <f>IF($I20="","",IFERROR(DATE(기준정보!$C$7,VALUE(LEFT($I20,FIND("월",$I20)-1)),1+7*(VALUE(SUBSTITUTE(MID($I20,FIND("월",$I20)+1,5),"주",""))-1)),""))</f>
        <v/>
      </c>
      <c r="K20" s="22">
        <f>IF($J20="","",IF(AND(ISNUMBER(SEARCH("미얀마",$U20)),$J20-기준정보!$C$5&gt;=기준정보!$C$8,$J20-기준정보!$C$5&lt;=기준정보!$C$9),기준정보!$C$8-1,IF(AND(ISNUMBER(SEARCH("인도네시아",$U20)),$J20-기준정보!$C$5&gt;=기준정보!$C$10,$J20-기준정보!$C$5&lt;=기준정보!$C$11),기준정보!$C$10-1,$J20-기준정보!$C$5)))</f>
        <v/>
      </c>
      <c r="L20" s="23">
        <f>IF($K20="","",IF(ISNUMBER(SEARCH("미얀마",$U20)),MAX(0,MIN($K20,기준정보!$C$9)-MAX($K20-기준정보!$C$6,기준정보!$C$8)+1),IF(ISNUMBER(SEARCH("인도네시아",$U20)),MAX(0,MIN($K20,기준정보!$C$11)-MAX($K20-기준정보!$C$6,기준정보!$C$10)+1),0)))</f>
        <v/>
      </c>
      <c r="M20" s="22">
        <f>IF($K20="","",$K20-기준정보!$C$6-$L20)</f>
        <v/>
      </c>
      <c r="N20" s="24">
        <f>IF($M20="","",$M20-기준정보!$C$4)</f>
        <v/>
      </c>
      <c r="O20" s="21" t="n"/>
      <c r="P20" s="21" t="n"/>
      <c r="Q20" s="21" t="n"/>
      <c r="R20" s="25" t="n"/>
      <c r="S20" s="20">
        <f>IF($H20="","",IF($H20="C","본사(소재팀)",IF($H20="완","생산처","확인 필요")))</f>
        <v/>
      </c>
      <c r="T20" s="20" t="inlineStr">
        <is>
          <t>거림</t>
        </is>
      </c>
      <c r="U20" s="20" t="inlineStr">
        <is>
          <t>베트남</t>
        </is>
      </c>
      <c r="V20" s="20" t="n"/>
      <c r="W20" s="26" t="n"/>
      <c r="X20" s="26" t="n"/>
      <c r="Y20" s="22" t="n"/>
      <c r="Z20" s="27" t="n">
        <v>1500</v>
      </c>
      <c r="AA20" s="27" t="n">
        <v>43552500</v>
      </c>
      <c r="AB20" s="27" t="n">
        <v>282000000</v>
      </c>
      <c r="AC20" s="20" t="n"/>
      <c r="AD20" s="20">
        <f>IF($J20="","출고일 미정",IF($P20="X","작지 미발행",IF($P20="부분","작지 일부 미발행",IF(AND($R20&lt;&gt;"",$R20&gt;$M20),"소재입고 마감("&amp;TEXT($M20,"MM/DD")&amp;") 초과",IF($P20="","발행여부 확인 필요",IF($R20="","소재 입고일정 확인 필요","정상"))))))</f>
        <v/>
      </c>
      <c r="AE20" s="19">
        <f>IF($J20="","",IF(OR(LEFT($AD20,2)="작지",LEFT($AD20,4)="소재입고"),IF(LEFT($G20,1)="A","★ 납기위험(A코드)","◆ 지연주의"),IF($AD20="정상","✓ 정상","? 확인필요")))</f>
        <v/>
      </c>
      <c r="AF20" s="21" t="n"/>
      <c r="AG20" s="28" t="n"/>
    </row>
    <row r="21">
      <c r="A21" s="19" t="n">
        <v>17</v>
      </c>
      <c r="B21" s="20" t="inlineStr">
        <is>
          <t>김준래</t>
        </is>
      </c>
      <c r="C21" s="20" t="inlineStr">
        <is>
          <t>정희영</t>
        </is>
      </c>
      <c r="D21" s="20" t="inlineStr">
        <is>
          <t>TLPNA27611</t>
        </is>
      </c>
      <c r="E21" s="20" t="inlineStr">
        <is>
          <t>남성 테이퍼드 팬츠</t>
        </is>
      </c>
      <c r="F21" s="20" t="inlineStr">
        <is>
          <t>SKA/MID</t>
        </is>
      </c>
      <c r="G21" s="19">
        <f>IF($D21="","",IF(MID($D21,5,1)="A","A(가을)",IF(MID($D21,5,1)="W","W(겨울)",IF(MID($D21,5,1)="X","X(사계절)",MID($D21,5,1)))))</f>
        <v/>
      </c>
      <c r="H21" s="19" t="inlineStr">
        <is>
          <t>완</t>
        </is>
      </c>
      <c r="I21" s="21" t="inlineStr">
        <is>
          <t>8월1주</t>
        </is>
      </c>
      <c r="J21" s="22">
        <f>IF($I21="","",IFERROR(DATE(기준정보!$C$7,VALUE(LEFT($I21,FIND("월",$I21)-1)),1+7*(VALUE(SUBSTITUTE(MID($I21,FIND("월",$I21)+1,5),"주",""))-1)),""))</f>
        <v/>
      </c>
      <c r="K21" s="22">
        <f>IF($J21="","",IF(AND(ISNUMBER(SEARCH("미얀마",$U21)),$J21-기준정보!$C$5&gt;=기준정보!$C$8,$J21-기준정보!$C$5&lt;=기준정보!$C$9),기준정보!$C$8-1,IF(AND(ISNUMBER(SEARCH("인도네시아",$U21)),$J21-기준정보!$C$5&gt;=기준정보!$C$10,$J21-기준정보!$C$5&lt;=기준정보!$C$11),기준정보!$C$10-1,$J21-기준정보!$C$5)))</f>
        <v/>
      </c>
      <c r="L21" s="23">
        <f>IF($K21="","",IF(ISNUMBER(SEARCH("미얀마",$U21)),MAX(0,MIN($K21,기준정보!$C$9)-MAX($K21-기준정보!$C$6,기준정보!$C$8)+1),IF(ISNUMBER(SEARCH("인도네시아",$U21)),MAX(0,MIN($K21,기준정보!$C$11)-MAX($K21-기준정보!$C$6,기준정보!$C$10)+1),0)))</f>
        <v/>
      </c>
      <c r="M21" s="22">
        <f>IF($K21="","",$K21-기준정보!$C$6-$L21)</f>
        <v/>
      </c>
      <c r="N21" s="24">
        <f>IF($M21="","",$M21-기준정보!$C$4)</f>
        <v/>
      </c>
      <c r="O21" s="21" t="n"/>
      <c r="P21" s="21" t="n"/>
      <c r="Q21" s="21" t="n"/>
      <c r="R21" s="25" t="n"/>
      <c r="S21" s="20">
        <f>IF($H21="","",IF($H21="C","본사(소재팀)",IF($H21="완","생산처","확인 필요")))</f>
        <v/>
      </c>
      <c r="T21" s="20" t="inlineStr">
        <is>
          <t>TBO</t>
        </is>
      </c>
      <c r="U21" s="20" t="inlineStr">
        <is>
          <t>베트남</t>
        </is>
      </c>
      <c r="V21" s="20" t="n"/>
      <c r="W21" s="26" t="n"/>
      <c r="X21" s="26" t="n"/>
      <c r="Y21" s="22" t="n"/>
      <c r="Z21" s="27" t="n">
        <v>2000</v>
      </c>
      <c r="AA21" s="27" t="n">
        <v>58974000</v>
      </c>
      <c r="AB21" s="27" t="n">
        <v>336000000</v>
      </c>
      <c r="AC21" s="20" t="n"/>
      <c r="AD21" s="20">
        <f>IF($J21="","출고일 미정",IF($P21="X","작지 미발행",IF($P21="부분","작지 일부 미발행",IF(AND($R21&lt;&gt;"",$R21&gt;$M21),"소재입고 마감("&amp;TEXT($M21,"MM/DD")&amp;") 초과",IF($P21="","발행여부 확인 필요",IF($R21="","소재 입고일정 확인 필요","정상"))))))</f>
        <v/>
      </c>
      <c r="AE21" s="19">
        <f>IF($J21="","",IF(OR(LEFT($AD21,2)="작지",LEFT($AD21,4)="소재입고"),IF(LEFT($G21,1)="A","★ 납기위험(A코드)","◆ 지연주의"),IF($AD21="정상","✓ 정상","? 확인필요")))</f>
        <v/>
      </c>
      <c r="AF21" s="21" t="n"/>
      <c r="AG21" s="28" t="n"/>
    </row>
    <row r="22">
      <c r="A22" s="19" t="n">
        <v>18</v>
      </c>
      <c r="B22" s="20" t="inlineStr">
        <is>
          <t>김준래</t>
        </is>
      </c>
      <c r="C22" s="20" t="inlineStr">
        <is>
          <t>정희영</t>
        </is>
      </c>
      <c r="D22" s="20" t="inlineStr">
        <is>
          <t>TLSXA27601</t>
        </is>
      </c>
      <c r="E22" s="20" t="inlineStr">
        <is>
          <t>남성 체크 긴팔 셔츠</t>
        </is>
      </c>
      <c r="F22" s="20" t="inlineStr">
        <is>
          <t>ABE/ASB/DTL</t>
        </is>
      </c>
      <c r="G22" s="19">
        <f>IF($D22="","",IF(MID($D22,5,1)="A","A(가을)",IF(MID($D22,5,1)="W","W(겨울)",IF(MID($D22,5,1)="X","X(사계절)",MID($D22,5,1)))))</f>
        <v/>
      </c>
      <c r="H22" s="19" t="inlineStr">
        <is>
          <t>완</t>
        </is>
      </c>
      <c r="I22" s="21" t="inlineStr">
        <is>
          <t>8월1주</t>
        </is>
      </c>
      <c r="J22" s="22">
        <f>IF($I22="","",IFERROR(DATE(기준정보!$C$7,VALUE(LEFT($I22,FIND("월",$I22)-1)),1+7*(VALUE(SUBSTITUTE(MID($I22,FIND("월",$I22)+1,5),"주",""))-1)),""))</f>
        <v/>
      </c>
      <c r="K22" s="22">
        <f>IF($J22="","",IF(AND(ISNUMBER(SEARCH("미얀마",$U22)),$J22-기준정보!$C$5&gt;=기준정보!$C$8,$J22-기준정보!$C$5&lt;=기준정보!$C$9),기준정보!$C$8-1,IF(AND(ISNUMBER(SEARCH("인도네시아",$U22)),$J22-기준정보!$C$5&gt;=기준정보!$C$10,$J22-기준정보!$C$5&lt;=기준정보!$C$11),기준정보!$C$10-1,$J22-기준정보!$C$5)))</f>
        <v/>
      </c>
      <c r="L22" s="23">
        <f>IF($K22="","",IF(ISNUMBER(SEARCH("미얀마",$U22)),MAX(0,MIN($K22,기준정보!$C$9)-MAX($K22-기준정보!$C$6,기준정보!$C$8)+1),IF(ISNUMBER(SEARCH("인도네시아",$U22)),MAX(0,MIN($K22,기준정보!$C$11)-MAX($K22-기준정보!$C$6,기준정보!$C$10)+1),0)))</f>
        <v/>
      </c>
      <c r="M22" s="22">
        <f>IF($K22="","",$K22-기준정보!$C$6-$L22)</f>
        <v/>
      </c>
      <c r="N22" s="24">
        <f>IF($M22="","",$M22-기준정보!$C$4)</f>
        <v/>
      </c>
      <c r="O22" s="21" t="n"/>
      <c r="P22" s="21" t="n"/>
      <c r="Q22" s="21" t="n"/>
      <c r="R22" s="25" t="n"/>
      <c r="S22" s="20">
        <f>IF($H22="","",IF($H22="C","본사(소재팀)",IF($H22="완","생산처","확인 필요")))</f>
        <v/>
      </c>
      <c r="T22" s="20" t="inlineStr">
        <is>
          <t>픽스쳐</t>
        </is>
      </c>
      <c r="U22" s="20" t="inlineStr">
        <is>
          <t>베트남</t>
        </is>
      </c>
      <c r="V22" s="20" t="n"/>
      <c r="W22" s="26" t="n"/>
      <c r="X22" s="26" t="n"/>
      <c r="Y22" s="22" t="n"/>
      <c r="Z22" s="27" t="n">
        <v>3000</v>
      </c>
      <c r="AA22" s="27" t="n">
        <v>90000000</v>
      </c>
      <c r="AB22" s="27" t="n">
        <v>504000000</v>
      </c>
      <c r="AC22" s="20" t="n"/>
      <c r="AD22" s="20">
        <f>IF($J22="","출고일 미정",IF($P22="X","작지 미발행",IF($P22="부분","작지 일부 미발행",IF(AND($R22&lt;&gt;"",$R22&gt;$M22),"소재입고 마감("&amp;TEXT($M22,"MM/DD")&amp;") 초과",IF($P22="","발행여부 확인 필요",IF($R22="","소재 입고일정 확인 필요","정상"))))))</f>
        <v/>
      </c>
      <c r="AE22" s="19">
        <f>IF($J22="","",IF(OR(LEFT($AD22,2)="작지",LEFT($AD22,4)="소재입고"),IF(LEFT($G22,1)="A","★ 납기위험(A코드)","◆ 지연주의"),IF($AD22="정상","✓ 정상","? 확인필요")))</f>
        <v/>
      </c>
      <c r="AF22" s="21" t="n"/>
      <c r="AG22" s="28" t="n"/>
    </row>
    <row r="23">
      <c r="A23" s="19" t="n">
        <v>19</v>
      </c>
      <c r="B23" s="20" t="inlineStr">
        <is>
          <t>최진민</t>
        </is>
      </c>
      <c r="C23" s="20" t="inlineStr">
        <is>
          <t>조이슬</t>
        </is>
      </c>
      <c r="D23" s="20" t="inlineStr">
        <is>
          <t>TLTBA27401</t>
        </is>
      </c>
      <c r="E23" s="20" t="inlineStr">
        <is>
          <t>남성 베이직 긴팔 쿼터집업 티셔츠</t>
        </is>
      </c>
      <c r="F23" s="20" t="inlineStr">
        <is>
          <t>SKA/DTL/DEB</t>
        </is>
      </c>
      <c r="G23" s="19">
        <f>IF($D23="","",IF(MID($D23,5,1)="A","A(가을)",IF(MID($D23,5,1)="W","W(겨울)",IF(MID($D23,5,1)="X","X(사계절)",MID($D23,5,1)))))</f>
        <v/>
      </c>
      <c r="H23" s="19" t="n"/>
      <c r="I23" s="21" t="inlineStr">
        <is>
          <t>8월1주</t>
        </is>
      </c>
      <c r="J23" s="22">
        <f>IF($I23="","",IFERROR(DATE(기준정보!$C$7,VALUE(LEFT($I23,FIND("월",$I23)-1)),1+7*(VALUE(SUBSTITUTE(MID($I23,FIND("월",$I23)+1,5),"주",""))-1)),""))</f>
        <v/>
      </c>
      <c r="K23" s="22">
        <f>IF($J23="","",IF(AND(ISNUMBER(SEARCH("미얀마",$U23)),$J23-기준정보!$C$5&gt;=기준정보!$C$8,$J23-기준정보!$C$5&lt;=기준정보!$C$9),기준정보!$C$8-1,IF(AND(ISNUMBER(SEARCH("인도네시아",$U23)),$J23-기준정보!$C$5&gt;=기준정보!$C$10,$J23-기준정보!$C$5&lt;=기준정보!$C$11),기준정보!$C$10-1,$J23-기준정보!$C$5)))</f>
        <v/>
      </c>
      <c r="L23" s="23">
        <f>IF($K23="","",IF(ISNUMBER(SEARCH("미얀마",$U23)),MAX(0,MIN($K23,기준정보!$C$9)-MAX($K23-기준정보!$C$6,기준정보!$C$8)+1),IF(ISNUMBER(SEARCH("인도네시아",$U23)),MAX(0,MIN($K23,기준정보!$C$11)-MAX($K23-기준정보!$C$6,기준정보!$C$10)+1),0)))</f>
        <v/>
      </c>
      <c r="M23" s="22">
        <f>IF($K23="","",$K23-기준정보!$C$6-$L23)</f>
        <v/>
      </c>
      <c r="N23" s="24">
        <f>IF($M23="","",$M23-기준정보!$C$4)</f>
        <v/>
      </c>
      <c r="O23" s="21" t="n"/>
      <c r="P23" s="21" t="n"/>
      <c r="Q23" s="21" t="n"/>
      <c r="R23" s="25" t="n"/>
      <c r="S23" s="20">
        <f>IF($H23="","",IF($H23="C","본사(소재팀)",IF($H23="완","생산처","확인 필요")))</f>
        <v/>
      </c>
      <c r="T23" s="20" t="inlineStr">
        <is>
          <t>태화</t>
        </is>
      </c>
      <c r="U23" s="20" t="inlineStr">
        <is>
          <t>베트남</t>
        </is>
      </c>
      <c r="V23" s="20" t="n"/>
      <c r="W23" s="26" t="n"/>
      <c r="X23" s="26" t="n"/>
      <c r="Y23" s="22" t="n"/>
      <c r="Z23" s="27" t="n">
        <v>4500</v>
      </c>
      <c r="AA23" s="27" t="n">
        <v>112500000</v>
      </c>
      <c r="AB23" s="27" t="n">
        <v>576000000</v>
      </c>
      <c r="AC23" s="20" t="n"/>
      <c r="AD23" s="20">
        <f>IF($J23="","출고일 미정",IF($P23="X","작지 미발행",IF($P23="부분","작지 일부 미발행",IF(AND($R23&lt;&gt;"",$R23&gt;$M23),"소재입고 마감("&amp;TEXT($M23,"MM/DD")&amp;") 초과",IF($P23="","발행여부 확인 필요",IF($R23="","소재 입고일정 확인 필요","정상"))))))</f>
        <v/>
      </c>
      <c r="AE23" s="19">
        <f>IF($J23="","",IF(OR(LEFT($AD23,2)="작지",LEFT($AD23,4)="소재입고"),IF(LEFT($G23,1)="A","★ 납기위험(A코드)","◆ 지연주의"),IF($AD23="정상","✓ 정상","? 확인필요")))</f>
        <v/>
      </c>
      <c r="AF23" s="21" t="n"/>
      <c r="AG23" s="28" t="n"/>
    </row>
    <row r="24">
      <c r="A24" s="19" t="n">
        <v>20</v>
      </c>
      <c r="B24" s="20" t="inlineStr">
        <is>
          <t>최진민</t>
        </is>
      </c>
      <c r="C24" s="20" t="inlineStr">
        <is>
          <t>조이슬</t>
        </is>
      </c>
      <c r="D24" s="20" t="inlineStr">
        <is>
          <t>TLTBA27403</t>
        </is>
      </c>
      <c r="E24" s="20" t="inlineStr">
        <is>
          <t>남성 우븐 포켓 긴팔 쿼터집업 티셔츠</t>
        </is>
      </c>
      <c r="F24" s="20" t="inlineStr">
        <is>
          <t>ASB/CHR</t>
        </is>
      </c>
      <c r="G24" s="19">
        <f>IF($D24="","",IF(MID($D24,5,1)="A","A(가을)",IF(MID($D24,5,1)="W","W(겨울)",IF(MID($D24,5,1)="X","X(사계절)",MID($D24,5,1)))))</f>
        <v/>
      </c>
      <c r="H24" s="19" t="n"/>
      <c r="I24" s="21" t="inlineStr">
        <is>
          <t>8월1주</t>
        </is>
      </c>
      <c r="J24" s="22">
        <f>IF($I24="","",IFERROR(DATE(기준정보!$C$7,VALUE(LEFT($I24,FIND("월",$I24)-1)),1+7*(VALUE(SUBSTITUTE(MID($I24,FIND("월",$I24)+1,5),"주",""))-1)),""))</f>
        <v/>
      </c>
      <c r="K24" s="22">
        <f>IF($J24="","",IF(AND(ISNUMBER(SEARCH("미얀마",$U24)),$J24-기준정보!$C$5&gt;=기준정보!$C$8,$J24-기준정보!$C$5&lt;=기준정보!$C$9),기준정보!$C$8-1,IF(AND(ISNUMBER(SEARCH("인도네시아",$U24)),$J24-기준정보!$C$5&gt;=기준정보!$C$10,$J24-기준정보!$C$5&lt;=기준정보!$C$11),기준정보!$C$10-1,$J24-기준정보!$C$5)))</f>
        <v/>
      </c>
      <c r="L24" s="23">
        <f>IF($K24="","",IF(ISNUMBER(SEARCH("미얀마",$U24)),MAX(0,MIN($K24,기준정보!$C$9)-MAX($K24-기준정보!$C$6,기준정보!$C$8)+1),IF(ISNUMBER(SEARCH("인도네시아",$U24)),MAX(0,MIN($K24,기준정보!$C$11)-MAX($K24-기준정보!$C$6,기준정보!$C$10)+1),0)))</f>
        <v/>
      </c>
      <c r="M24" s="22">
        <f>IF($K24="","",$K24-기준정보!$C$6-$L24)</f>
        <v/>
      </c>
      <c r="N24" s="24">
        <f>IF($M24="","",$M24-기준정보!$C$4)</f>
        <v/>
      </c>
      <c r="O24" s="21" t="n"/>
      <c r="P24" s="21" t="n"/>
      <c r="Q24" s="21" t="n"/>
      <c r="R24" s="25" t="n"/>
      <c r="S24" s="20">
        <f>IF($H24="","",IF($H24="C","본사(소재팀)",IF($H24="완","생산처","확인 필요")))</f>
        <v/>
      </c>
      <c r="T24" s="20" t="inlineStr">
        <is>
          <t>장안</t>
        </is>
      </c>
      <c r="U24" s="20" t="inlineStr">
        <is>
          <t>베트남</t>
        </is>
      </c>
      <c r="V24" s="20" t="n"/>
      <c r="W24" s="26" t="n"/>
      <c r="X24" s="26" t="n"/>
      <c r="Y24" s="22" t="n"/>
      <c r="Z24" s="27" t="n">
        <v>3000</v>
      </c>
      <c r="AA24" s="27" t="n">
        <v>78000000</v>
      </c>
      <c r="AB24" s="27" t="n">
        <v>414000000</v>
      </c>
      <c r="AC24" s="20" t="n"/>
      <c r="AD24" s="20">
        <f>IF($J24="","출고일 미정",IF($P24="X","작지 미발행",IF($P24="부분","작지 일부 미발행",IF(AND($R24&lt;&gt;"",$R24&gt;$M24),"소재입고 마감("&amp;TEXT($M24,"MM/DD")&amp;") 초과",IF($P24="","발행여부 확인 필요",IF($R24="","소재 입고일정 확인 필요","정상"))))))</f>
        <v/>
      </c>
      <c r="AE24" s="19">
        <f>IF($J24="","",IF(OR(LEFT($AD24,2)="작지",LEFT($AD24,4)="소재입고"),IF(LEFT($G24,1)="A","★ 납기위험(A코드)","◆ 지연주의"),IF($AD24="정상","✓ 정상","? 확인필요")))</f>
        <v/>
      </c>
      <c r="AF24" s="21" t="n"/>
      <c r="AG24" s="28" t="n"/>
    </row>
    <row r="25">
      <c r="A25" s="19" t="n">
        <v>21</v>
      </c>
      <c r="B25" s="20" t="inlineStr">
        <is>
          <t>최진민</t>
        </is>
      </c>
      <c r="C25" s="20" t="inlineStr">
        <is>
          <t>조이슬</t>
        </is>
      </c>
      <c r="D25" s="20" t="inlineStr">
        <is>
          <t>TLTBA27411</t>
        </is>
      </c>
      <c r="E25" s="20" t="inlineStr">
        <is>
          <t>남성 베이직 긴팔 라운드 티셔츠</t>
        </is>
      </c>
      <c r="F25" s="20" t="inlineStr">
        <is>
          <t>CTP/DEB</t>
        </is>
      </c>
      <c r="G25" s="19">
        <f>IF($D25="","",IF(MID($D25,5,1)="A","A(가을)",IF(MID($D25,5,1)="W","W(겨울)",IF(MID($D25,5,1)="X","X(사계절)",MID($D25,5,1)))))</f>
        <v/>
      </c>
      <c r="H25" s="19" t="n"/>
      <c r="I25" s="21" t="inlineStr">
        <is>
          <t>8월1주</t>
        </is>
      </c>
      <c r="J25" s="22">
        <f>IF($I25="","",IFERROR(DATE(기준정보!$C$7,VALUE(LEFT($I25,FIND("월",$I25)-1)),1+7*(VALUE(SUBSTITUTE(MID($I25,FIND("월",$I25)+1,5),"주",""))-1)),""))</f>
        <v/>
      </c>
      <c r="K25" s="22">
        <f>IF($J25="","",IF(AND(ISNUMBER(SEARCH("미얀마",$U25)),$J25-기준정보!$C$5&gt;=기준정보!$C$8,$J25-기준정보!$C$5&lt;=기준정보!$C$9),기준정보!$C$8-1,IF(AND(ISNUMBER(SEARCH("인도네시아",$U25)),$J25-기준정보!$C$5&gt;=기준정보!$C$10,$J25-기준정보!$C$5&lt;=기준정보!$C$11),기준정보!$C$10-1,$J25-기준정보!$C$5)))</f>
        <v/>
      </c>
      <c r="L25" s="23">
        <f>IF($K25="","",IF(ISNUMBER(SEARCH("미얀마",$U25)),MAX(0,MIN($K25,기준정보!$C$9)-MAX($K25-기준정보!$C$6,기준정보!$C$8)+1),IF(ISNUMBER(SEARCH("인도네시아",$U25)),MAX(0,MIN($K25,기준정보!$C$11)-MAX($K25-기준정보!$C$6,기준정보!$C$10)+1),0)))</f>
        <v/>
      </c>
      <c r="M25" s="22">
        <f>IF($K25="","",$K25-기준정보!$C$6-$L25)</f>
        <v/>
      </c>
      <c r="N25" s="24">
        <f>IF($M25="","",$M25-기준정보!$C$4)</f>
        <v/>
      </c>
      <c r="O25" s="21" t="n"/>
      <c r="P25" s="21" t="n"/>
      <c r="Q25" s="21" t="n"/>
      <c r="R25" s="25" t="n"/>
      <c r="S25" s="20">
        <f>IF($H25="","",IF($H25="C","본사(소재팀)",IF($H25="완","생산처","확인 필요")))</f>
        <v/>
      </c>
      <c r="T25" s="20" t="inlineStr">
        <is>
          <t>장안</t>
        </is>
      </c>
      <c r="U25" s="20" t="inlineStr">
        <is>
          <t>베트남</t>
        </is>
      </c>
      <c r="V25" s="20" t="n"/>
      <c r="W25" s="26" t="n"/>
      <c r="X25" s="26" t="n"/>
      <c r="Y25" s="22" t="n"/>
      <c r="Z25" s="27" t="n">
        <v>1800</v>
      </c>
      <c r="AA25" s="27" t="n">
        <v>41400000</v>
      </c>
      <c r="AB25" s="27" t="n">
        <v>212400000</v>
      </c>
      <c r="AC25" s="20" t="n"/>
      <c r="AD25" s="20">
        <f>IF($J25="","출고일 미정",IF($P25="X","작지 미발행",IF($P25="부분","작지 일부 미발행",IF(AND($R25&lt;&gt;"",$R25&gt;$M25),"소재입고 마감("&amp;TEXT($M25,"MM/DD")&amp;") 초과",IF($P25="","발행여부 확인 필요",IF($R25="","소재 입고일정 확인 필요","정상"))))))</f>
        <v/>
      </c>
      <c r="AE25" s="19">
        <f>IF($J25="","",IF(OR(LEFT($AD25,2)="작지",LEFT($AD25,4)="소재입고"),IF(LEFT($G25,1)="A","★ 납기위험(A코드)","◆ 지연주의"),IF($AD25="정상","✓ 정상","? 확인필요")))</f>
        <v/>
      </c>
      <c r="AF25" s="21" t="n"/>
      <c r="AG25" s="28" t="n"/>
    </row>
    <row r="26">
      <c r="A26" s="19" t="n">
        <v>22</v>
      </c>
      <c r="B26" s="20" t="inlineStr">
        <is>
          <t>최진민</t>
        </is>
      </c>
      <c r="C26" s="20" t="inlineStr">
        <is>
          <t>조이슬</t>
        </is>
      </c>
      <c r="D26" s="20" t="inlineStr">
        <is>
          <t>TLTBA27421</t>
        </is>
      </c>
      <c r="E26" s="20" t="inlineStr">
        <is>
          <t>남성 울라이크 릴렉스핏 긴팔 후드 티셔츠</t>
        </is>
      </c>
      <c r="F26" s="20" t="inlineStr">
        <is>
          <t>HYL/SKA</t>
        </is>
      </c>
      <c r="G26" s="19">
        <f>IF($D26="","",IF(MID($D26,5,1)="A","A(가을)",IF(MID($D26,5,1)="W","W(겨울)",IF(MID($D26,5,1)="X","X(사계절)",MID($D26,5,1)))))</f>
        <v/>
      </c>
      <c r="H26" s="19" t="n"/>
      <c r="I26" s="21" t="inlineStr">
        <is>
          <t>8월1주</t>
        </is>
      </c>
      <c r="J26" s="22">
        <f>IF($I26="","",IFERROR(DATE(기준정보!$C$7,VALUE(LEFT($I26,FIND("월",$I26)-1)),1+7*(VALUE(SUBSTITUTE(MID($I26,FIND("월",$I26)+1,5),"주",""))-1)),""))</f>
        <v/>
      </c>
      <c r="K26" s="22">
        <f>IF($J26="","",IF(AND(ISNUMBER(SEARCH("미얀마",$U26)),$J26-기준정보!$C$5&gt;=기준정보!$C$8,$J26-기준정보!$C$5&lt;=기준정보!$C$9),기준정보!$C$8-1,IF(AND(ISNUMBER(SEARCH("인도네시아",$U26)),$J26-기준정보!$C$5&gt;=기준정보!$C$10,$J26-기준정보!$C$5&lt;=기준정보!$C$11),기준정보!$C$10-1,$J26-기준정보!$C$5)))</f>
        <v/>
      </c>
      <c r="L26" s="23">
        <f>IF($K26="","",IF(ISNUMBER(SEARCH("미얀마",$U26)),MAX(0,MIN($K26,기준정보!$C$9)-MAX($K26-기준정보!$C$6,기준정보!$C$8)+1),IF(ISNUMBER(SEARCH("인도네시아",$U26)),MAX(0,MIN($K26,기준정보!$C$11)-MAX($K26-기준정보!$C$6,기준정보!$C$10)+1),0)))</f>
        <v/>
      </c>
      <c r="M26" s="22">
        <f>IF($K26="","",$K26-기준정보!$C$6-$L26)</f>
        <v/>
      </c>
      <c r="N26" s="24">
        <f>IF($M26="","",$M26-기준정보!$C$4)</f>
        <v/>
      </c>
      <c r="O26" s="21" t="n"/>
      <c r="P26" s="21" t="n"/>
      <c r="Q26" s="21" t="n"/>
      <c r="R26" s="25" t="n"/>
      <c r="S26" s="20">
        <f>IF($H26="","",IF($H26="C","본사(소재팀)",IF($H26="완","생산처","확인 필요")))</f>
        <v/>
      </c>
      <c r="T26" s="20" t="inlineStr">
        <is>
          <t>장안</t>
        </is>
      </c>
      <c r="U26" s="20" t="inlineStr">
        <is>
          <t>베트남</t>
        </is>
      </c>
      <c r="V26" s="20" t="n"/>
      <c r="W26" s="26" t="n"/>
      <c r="X26" s="26" t="n"/>
      <c r="Y26" s="22" t="n"/>
      <c r="Z26" s="27" t="n">
        <v>1500</v>
      </c>
      <c r="AA26" s="27" t="n">
        <v>48000000</v>
      </c>
      <c r="AB26" s="27" t="n">
        <v>222000000</v>
      </c>
      <c r="AC26" s="20" t="n"/>
      <c r="AD26" s="20">
        <f>IF($J26="","출고일 미정",IF($P26="X","작지 미발행",IF($P26="부분","작지 일부 미발행",IF(AND($R26&lt;&gt;"",$R26&gt;$M26),"소재입고 마감("&amp;TEXT($M26,"MM/DD")&amp;") 초과",IF($P26="","발행여부 확인 필요",IF($R26="","소재 입고일정 확인 필요","정상"))))))</f>
        <v/>
      </c>
      <c r="AE26" s="19">
        <f>IF($J26="","",IF(OR(LEFT($AD26,2)="작지",LEFT($AD26,4)="소재입고"),IF(LEFT($G26,1)="A","★ 납기위험(A코드)","◆ 지연주의"),IF($AD26="정상","✓ 정상","? 확인필요")))</f>
        <v/>
      </c>
      <c r="AF26" s="21" t="n"/>
      <c r="AG26" s="28" t="n"/>
    </row>
    <row r="27">
      <c r="A27" s="19" t="n">
        <v>23</v>
      </c>
      <c r="B27" s="20" t="inlineStr">
        <is>
          <t>김준래</t>
        </is>
      </c>
      <c r="C27" s="20" t="inlineStr">
        <is>
          <t>정희영</t>
        </is>
      </c>
      <c r="D27" s="20" t="inlineStr">
        <is>
          <t>TLTBA27601</t>
        </is>
      </c>
      <c r="E27" s="20" t="inlineStr">
        <is>
          <t>남성 폴로 긴팔 티셔츠</t>
        </is>
      </c>
      <c r="F27" s="20" t="inlineStr">
        <is>
          <t>DTL/MID/ABE</t>
        </is>
      </c>
      <c r="G27" s="19">
        <f>IF($D27="","",IF(MID($D27,5,1)="A","A(가을)",IF(MID($D27,5,1)="W","W(겨울)",IF(MID($D27,5,1)="X","X(사계절)",MID($D27,5,1)))))</f>
        <v/>
      </c>
      <c r="H27" s="19" t="inlineStr">
        <is>
          <t>완</t>
        </is>
      </c>
      <c r="I27" s="21" t="inlineStr">
        <is>
          <t>8월1주</t>
        </is>
      </c>
      <c r="J27" s="22">
        <f>IF($I27="","",IFERROR(DATE(기준정보!$C$7,VALUE(LEFT($I27,FIND("월",$I27)-1)),1+7*(VALUE(SUBSTITUTE(MID($I27,FIND("월",$I27)+1,5),"주",""))-1)),""))</f>
        <v/>
      </c>
      <c r="K27" s="22">
        <f>IF($J27="","",IF(AND(ISNUMBER(SEARCH("미얀마",$U27)),$J27-기준정보!$C$5&gt;=기준정보!$C$8,$J27-기준정보!$C$5&lt;=기준정보!$C$9),기준정보!$C$8-1,IF(AND(ISNUMBER(SEARCH("인도네시아",$U27)),$J27-기준정보!$C$5&gt;=기준정보!$C$10,$J27-기준정보!$C$5&lt;=기준정보!$C$11),기준정보!$C$10-1,$J27-기준정보!$C$5)))</f>
        <v/>
      </c>
      <c r="L27" s="23">
        <f>IF($K27="","",IF(ISNUMBER(SEARCH("미얀마",$U27)),MAX(0,MIN($K27,기준정보!$C$9)-MAX($K27-기준정보!$C$6,기준정보!$C$8)+1),IF(ISNUMBER(SEARCH("인도네시아",$U27)),MAX(0,MIN($K27,기준정보!$C$11)-MAX($K27-기준정보!$C$6,기준정보!$C$10)+1),0)))</f>
        <v/>
      </c>
      <c r="M27" s="22">
        <f>IF($K27="","",$K27-기준정보!$C$6-$L27)</f>
        <v/>
      </c>
      <c r="N27" s="24">
        <f>IF($M27="","",$M27-기준정보!$C$4)</f>
        <v/>
      </c>
      <c r="O27" s="21" t="n"/>
      <c r="P27" s="21" t="n"/>
      <c r="Q27" s="21" t="n"/>
      <c r="R27" s="25" t="n"/>
      <c r="S27" s="20">
        <f>IF($H27="","",IF($H27="C","본사(소재팀)",IF($H27="완","생산처","확인 필요")))</f>
        <v/>
      </c>
      <c r="T27" s="20" t="inlineStr">
        <is>
          <t>TESSELLATION</t>
        </is>
      </c>
      <c r="U27" s="20" t="inlineStr">
        <is>
          <t>베트남</t>
        </is>
      </c>
      <c r="V27" s="20" t="n"/>
      <c r="W27" s="26" t="n"/>
      <c r="X27" s="26" t="n"/>
      <c r="Y27" s="22" t="n"/>
      <c r="Z27" s="27" t="n">
        <v>5000</v>
      </c>
      <c r="AA27" s="27" t="n">
        <v>131340000</v>
      </c>
      <c r="AB27" s="27" t="n">
        <v>640000000</v>
      </c>
      <c r="AC27" s="20" t="n"/>
      <c r="AD27" s="20">
        <f>IF($J27="","출고일 미정",IF($P27="X","작지 미발행",IF($P27="부분","작지 일부 미발행",IF(AND($R27&lt;&gt;"",$R27&gt;$M27),"소재입고 마감("&amp;TEXT($M27,"MM/DD")&amp;") 초과",IF($P27="","발행여부 확인 필요",IF($R27="","소재 입고일정 확인 필요","정상"))))))</f>
        <v/>
      </c>
      <c r="AE27" s="19">
        <f>IF($J27="","",IF(OR(LEFT($AD27,2)="작지",LEFT($AD27,4)="소재입고"),IF(LEFT($G27,1)="A","★ 납기위험(A코드)","◆ 지연주의"),IF($AD27="정상","✓ 정상","? 확인필요")))</f>
        <v/>
      </c>
      <c r="AF27" s="21" t="n"/>
      <c r="AG27" s="28" t="n"/>
    </row>
    <row r="28">
      <c r="A28" s="19" t="n">
        <v>24</v>
      </c>
      <c r="B28" s="20" t="inlineStr">
        <is>
          <t>김준래</t>
        </is>
      </c>
      <c r="C28" s="20" t="inlineStr">
        <is>
          <t>정희영</t>
        </is>
      </c>
      <c r="D28" s="20" t="inlineStr">
        <is>
          <t>TLTBA27603</t>
        </is>
      </c>
      <c r="E28" s="20" t="inlineStr">
        <is>
          <t>남성 패턴 폴로 긴팔 티셔츠</t>
        </is>
      </c>
      <c r="F28" s="20" t="inlineStr">
        <is>
          <t>SKA/CHR</t>
        </is>
      </c>
      <c r="G28" s="19">
        <f>IF($D28="","",IF(MID($D28,5,1)="A","A(가을)",IF(MID($D28,5,1)="W","W(겨울)",IF(MID($D28,5,1)="X","X(사계절)",MID($D28,5,1)))))</f>
        <v/>
      </c>
      <c r="H28" s="19" t="inlineStr">
        <is>
          <t>완</t>
        </is>
      </c>
      <c r="I28" s="21" t="inlineStr">
        <is>
          <t>8월1주</t>
        </is>
      </c>
      <c r="J28" s="22">
        <f>IF($I28="","",IFERROR(DATE(기준정보!$C$7,VALUE(LEFT($I28,FIND("월",$I28)-1)),1+7*(VALUE(SUBSTITUTE(MID($I28,FIND("월",$I28)+1,5),"주",""))-1)),""))</f>
        <v/>
      </c>
      <c r="K28" s="22">
        <f>IF($J28="","",IF(AND(ISNUMBER(SEARCH("미얀마",$U28)),$J28-기준정보!$C$5&gt;=기준정보!$C$8,$J28-기준정보!$C$5&lt;=기준정보!$C$9),기준정보!$C$8-1,IF(AND(ISNUMBER(SEARCH("인도네시아",$U28)),$J28-기준정보!$C$5&gt;=기준정보!$C$10,$J28-기준정보!$C$5&lt;=기준정보!$C$11),기준정보!$C$10-1,$J28-기준정보!$C$5)))</f>
        <v/>
      </c>
      <c r="L28" s="23">
        <f>IF($K28="","",IF(ISNUMBER(SEARCH("미얀마",$U28)),MAX(0,MIN($K28,기준정보!$C$9)-MAX($K28-기준정보!$C$6,기준정보!$C$8)+1),IF(ISNUMBER(SEARCH("인도네시아",$U28)),MAX(0,MIN($K28,기준정보!$C$11)-MAX($K28-기준정보!$C$6,기준정보!$C$10)+1),0)))</f>
        <v/>
      </c>
      <c r="M28" s="22">
        <f>IF($K28="","",$K28-기준정보!$C$6-$L28)</f>
        <v/>
      </c>
      <c r="N28" s="24">
        <f>IF($M28="","",$M28-기준정보!$C$4)</f>
        <v/>
      </c>
      <c r="O28" s="21" t="n"/>
      <c r="P28" s="21" t="n"/>
      <c r="Q28" s="21" t="n"/>
      <c r="R28" s="25" t="n"/>
      <c r="S28" s="20">
        <f>IF($H28="","",IF($H28="C","본사(소재팀)",IF($H28="완","생산처","확인 필요")))</f>
        <v/>
      </c>
      <c r="T28" s="20" t="inlineStr">
        <is>
          <t>장안</t>
        </is>
      </c>
      <c r="U28" s="20" t="inlineStr">
        <is>
          <t>베트남</t>
        </is>
      </c>
      <c r="V28" s="20" t="n"/>
      <c r="W28" s="26" t="n"/>
      <c r="X28" s="26" t="n"/>
      <c r="Y28" s="22" t="n"/>
      <c r="Z28" s="27" t="n">
        <v>5000</v>
      </c>
      <c r="AA28" s="27" t="n">
        <v>134310000</v>
      </c>
      <c r="AB28" s="27" t="n">
        <v>690000000</v>
      </c>
      <c r="AC28" s="20" t="n"/>
      <c r="AD28" s="20">
        <f>IF($J28="","출고일 미정",IF($P28="X","작지 미발행",IF($P28="부분","작지 일부 미발행",IF(AND($R28&lt;&gt;"",$R28&gt;$M28),"소재입고 마감("&amp;TEXT($M28,"MM/DD")&amp;") 초과",IF($P28="","발행여부 확인 필요",IF($R28="","소재 입고일정 확인 필요","정상"))))))</f>
        <v/>
      </c>
      <c r="AE28" s="19">
        <f>IF($J28="","",IF(OR(LEFT($AD28,2)="작지",LEFT($AD28,4)="소재입고"),IF(LEFT($G28,1)="A","★ 납기위험(A코드)","◆ 지연주의"),IF($AD28="정상","✓ 정상","? 확인필요")))</f>
        <v/>
      </c>
      <c r="AF28" s="21" t="n"/>
      <c r="AG28" s="28" t="n"/>
    </row>
    <row r="29">
      <c r="A29" s="19" t="n">
        <v>25</v>
      </c>
      <c r="B29" s="20" t="inlineStr">
        <is>
          <t>김준래</t>
        </is>
      </c>
      <c r="C29" s="20" t="inlineStr">
        <is>
          <t>정희영</t>
        </is>
      </c>
      <c r="D29" s="20" t="inlineStr">
        <is>
          <t>TLTBA27621</t>
        </is>
      </c>
      <c r="E29" s="20" t="inlineStr">
        <is>
          <t>남성 소프트필 폴로 긴팔 티셔츠</t>
        </is>
      </c>
      <c r="F29" s="20" t="inlineStr">
        <is>
          <t>ABU/DEB</t>
        </is>
      </c>
      <c r="G29" s="19">
        <f>IF($D29="","",IF(MID($D29,5,1)="A","A(가을)",IF(MID($D29,5,1)="W","W(겨울)",IF(MID($D29,5,1)="X","X(사계절)",MID($D29,5,1)))))</f>
        <v/>
      </c>
      <c r="H29" s="19" t="inlineStr">
        <is>
          <t>완</t>
        </is>
      </c>
      <c r="I29" s="21" t="inlineStr">
        <is>
          <t>8월1주</t>
        </is>
      </c>
      <c r="J29" s="22">
        <f>IF($I29="","",IFERROR(DATE(기준정보!$C$7,VALUE(LEFT($I29,FIND("월",$I29)-1)),1+7*(VALUE(SUBSTITUTE(MID($I29,FIND("월",$I29)+1,5),"주",""))-1)),""))</f>
        <v/>
      </c>
      <c r="K29" s="22">
        <f>IF($J29="","",IF(AND(ISNUMBER(SEARCH("미얀마",$U29)),$J29-기준정보!$C$5&gt;=기준정보!$C$8,$J29-기준정보!$C$5&lt;=기준정보!$C$9),기준정보!$C$8-1,IF(AND(ISNUMBER(SEARCH("인도네시아",$U29)),$J29-기준정보!$C$5&gt;=기준정보!$C$10,$J29-기준정보!$C$5&lt;=기준정보!$C$11),기준정보!$C$10-1,$J29-기준정보!$C$5)))</f>
        <v/>
      </c>
      <c r="L29" s="23">
        <f>IF($K29="","",IF(ISNUMBER(SEARCH("미얀마",$U29)),MAX(0,MIN($K29,기준정보!$C$9)-MAX($K29-기준정보!$C$6,기준정보!$C$8)+1),IF(ISNUMBER(SEARCH("인도네시아",$U29)),MAX(0,MIN($K29,기준정보!$C$11)-MAX($K29-기준정보!$C$6,기준정보!$C$10)+1),0)))</f>
        <v/>
      </c>
      <c r="M29" s="22">
        <f>IF($K29="","",$K29-기준정보!$C$6-$L29)</f>
        <v/>
      </c>
      <c r="N29" s="24">
        <f>IF($M29="","",$M29-기준정보!$C$4)</f>
        <v/>
      </c>
      <c r="O29" s="21" t="n"/>
      <c r="P29" s="21" t="n"/>
      <c r="Q29" s="21" t="n"/>
      <c r="R29" s="25" t="n"/>
      <c r="S29" s="20">
        <f>IF($H29="","",IF($H29="C","본사(소재팀)",IF($H29="완","생산처","확인 필요")))</f>
        <v/>
      </c>
      <c r="T29" s="20" t="inlineStr">
        <is>
          <t>IKG</t>
        </is>
      </c>
      <c r="U29" s="20" t="inlineStr">
        <is>
          <t>인도네시아</t>
        </is>
      </c>
      <c r="V29" s="20" t="n"/>
      <c r="W29" s="26" t="n"/>
      <c r="X29" s="26" t="n"/>
      <c r="Y29" s="22" t="n"/>
      <c r="Z29" s="27" t="n">
        <v>5000</v>
      </c>
      <c r="AA29" s="27" t="n">
        <v>98560000</v>
      </c>
      <c r="AB29" s="27" t="n">
        <v>690000000</v>
      </c>
      <c r="AC29" s="20" t="n"/>
      <c r="AD29" s="20">
        <f>IF($J29="","출고일 미정",IF($P29="X","작지 미발행",IF($P29="부분","작지 일부 미발행",IF(AND($R29&lt;&gt;"",$R29&gt;$M29),"소재입고 마감("&amp;TEXT($M29,"MM/DD")&amp;") 초과",IF($P29="","발행여부 확인 필요",IF($R29="","소재 입고일정 확인 필요","정상"))))))</f>
        <v/>
      </c>
      <c r="AE29" s="19">
        <f>IF($J29="","",IF(OR(LEFT($AD29,2)="작지",LEFT($AD29,4)="소재입고"),IF(LEFT($G29,1)="A","★ 납기위험(A코드)","◆ 지연주의"),IF($AD29="정상","✓ 정상","? 확인필요")))</f>
        <v/>
      </c>
      <c r="AF29" s="21" t="n"/>
      <c r="AG29" s="28" t="n"/>
    </row>
    <row r="30">
      <c r="A30" s="19" t="n">
        <v>26</v>
      </c>
      <c r="B30" s="20" t="inlineStr">
        <is>
          <t>김준래</t>
        </is>
      </c>
      <c r="C30" s="20" t="inlineStr">
        <is>
          <t>정희영</t>
        </is>
      </c>
      <c r="D30" s="20" t="inlineStr">
        <is>
          <t>TNTBA27605</t>
        </is>
      </c>
      <c r="E30" s="20" t="inlineStr">
        <is>
          <t>남녀공용 쿠션 라운드 티셔츠</t>
        </is>
      </c>
      <c r="F30" s="20" t="inlineStr">
        <is>
          <t>GBU/DEB</t>
        </is>
      </c>
      <c r="G30" s="19">
        <f>IF($D30="","",IF(MID($D30,5,1)="A","A(가을)",IF(MID($D30,5,1)="W","W(겨울)",IF(MID($D30,5,1)="X","X(사계절)",MID($D30,5,1)))))</f>
        <v/>
      </c>
      <c r="H30" s="19" t="inlineStr">
        <is>
          <t>완</t>
        </is>
      </c>
      <c r="I30" s="21" t="inlineStr">
        <is>
          <t>8월1주</t>
        </is>
      </c>
      <c r="J30" s="22">
        <f>IF($I30="","",IFERROR(DATE(기준정보!$C$7,VALUE(LEFT($I30,FIND("월",$I30)-1)),1+7*(VALUE(SUBSTITUTE(MID($I30,FIND("월",$I30)+1,5),"주",""))-1)),""))</f>
        <v/>
      </c>
      <c r="K30" s="22">
        <f>IF($J30="","",IF(AND(ISNUMBER(SEARCH("미얀마",$U30)),$J30-기준정보!$C$5&gt;=기준정보!$C$8,$J30-기준정보!$C$5&lt;=기준정보!$C$9),기준정보!$C$8-1,IF(AND(ISNUMBER(SEARCH("인도네시아",$U30)),$J30-기준정보!$C$5&gt;=기준정보!$C$10,$J30-기준정보!$C$5&lt;=기준정보!$C$11),기준정보!$C$10-1,$J30-기준정보!$C$5)))</f>
        <v/>
      </c>
      <c r="L30" s="23">
        <f>IF($K30="","",IF(ISNUMBER(SEARCH("미얀마",$U30)),MAX(0,MIN($K30,기준정보!$C$9)-MAX($K30-기준정보!$C$6,기준정보!$C$8)+1),IF(ISNUMBER(SEARCH("인도네시아",$U30)),MAX(0,MIN($K30,기준정보!$C$11)-MAX($K30-기준정보!$C$6,기준정보!$C$10)+1),0)))</f>
        <v/>
      </c>
      <c r="M30" s="22">
        <f>IF($K30="","",$K30-기준정보!$C$6-$L30)</f>
        <v/>
      </c>
      <c r="N30" s="24">
        <f>IF($M30="","",$M30-기준정보!$C$4)</f>
        <v/>
      </c>
      <c r="O30" s="21" t="n"/>
      <c r="P30" s="21" t="n"/>
      <c r="Q30" s="21" t="n"/>
      <c r="R30" s="25" t="n"/>
      <c r="S30" s="20">
        <f>IF($H30="","",IF($H30="C","본사(소재팀)",IF($H30="완","생산처","확인 필요")))</f>
        <v/>
      </c>
      <c r="T30" s="20" t="inlineStr">
        <is>
          <t>TESSELLATION</t>
        </is>
      </c>
      <c r="U30" s="20" t="inlineStr">
        <is>
          <t>베트남</t>
        </is>
      </c>
      <c r="V30" s="20" t="n"/>
      <c r="W30" s="26" t="n"/>
      <c r="X30" s="26" t="n"/>
      <c r="Y30" s="22" t="n"/>
      <c r="Z30" s="27" t="n">
        <v>2000</v>
      </c>
      <c r="AA30" s="27" t="n">
        <v>52938000</v>
      </c>
      <c r="AB30" s="27" t="n">
        <v>276000000</v>
      </c>
      <c r="AC30" s="20" t="n"/>
      <c r="AD30" s="20">
        <f>IF($J30="","출고일 미정",IF($P30="X","작지 미발행",IF($P30="부분","작지 일부 미발행",IF(AND($R30&lt;&gt;"",$R30&gt;$M30),"소재입고 마감("&amp;TEXT($M30,"MM/DD")&amp;") 초과",IF($P30="","발행여부 확인 필요",IF($R30="","소재 입고일정 확인 필요","정상"))))))</f>
        <v/>
      </c>
      <c r="AE30" s="19">
        <f>IF($J30="","",IF(OR(LEFT($AD30,2)="작지",LEFT($AD30,4)="소재입고"),IF(LEFT($G30,1)="A","★ 납기위험(A코드)","◆ 지연주의"),IF($AD30="정상","✓ 정상","? 확인필요")))</f>
        <v/>
      </c>
      <c r="AF30" s="21" t="n"/>
      <c r="AG30" s="28" t="n"/>
    </row>
    <row r="31">
      <c r="A31" s="19" t="n">
        <v>27</v>
      </c>
      <c r="B31" s="20" t="inlineStr">
        <is>
          <t>김준래</t>
        </is>
      </c>
      <c r="C31" s="20" t="inlineStr">
        <is>
          <t>정희영</t>
        </is>
      </c>
      <c r="D31" s="20" t="inlineStr">
        <is>
          <t>TNTBA27607</t>
        </is>
      </c>
      <c r="E31" s="20" t="inlineStr">
        <is>
          <t>남녀공용 쿠션 후디드 긴팔 티셔츠</t>
        </is>
      </c>
      <c r="F31" s="20" t="inlineStr">
        <is>
          <t>RBW/DEB</t>
        </is>
      </c>
      <c r="G31" s="19">
        <f>IF($D31="","",IF(MID($D31,5,1)="A","A(가을)",IF(MID($D31,5,1)="W","W(겨울)",IF(MID($D31,5,1)="X","X(사계절)",MID($D31,5,1)))))</f>
        <v/>
      </c>
      <c r="H31" s="19" t="inlineStr">
        <is>
          <t>완</t>
        </is>
      </c>
      <c r="I31" s="21" t="inlineStr">
        <is>
          <t>8월1주</t>
        </is>
      </c>
      <c r="J31" s="22">
        <f>IF($I31="","",IFERROR(DATE(기준정보!$C$7,VALUE(LEFT($I31,FIND("월",$I31)-1)),1+7*(VALUE(SUBSTITUTE(MID($I31,FIND("월",$I31)+1,5),"주",""))-1)),""))</f>
        <v/>
      </c>
      <c r="K31" s="22">
        <f>IF($J31="","",IF(AND(ISNUMBER(SEARCH("미얀마",$U31)),$J31-기준정보!$C$5&gt;=기준정보!$C$8,$J31-기준정보!$C$5&lt;=기준정보!$C$9),기준정보!$C$8-1,IF(AND(ISNUMBER(SEARCH("인도네시아",$U31)),$J31-기준정보!$C$5&gt;=기준정보!$C$10,$J31-기준정보!$C$5&lt;=기준정보!$C$11),기준정보!$C$10-1,$J31-기준정보!$C$5)))</f>
        <v/>
      </c>
      <c r="L31" s="23">
        <f>IF($K31="","",IF(ISNUMBER(SEARCH("미얀마",$U31)),MAX(0,MIN($K31,기준정보!$C$9)-MAX($K31-기준정보!$C$6,기준정보!$C$8)+1),IF(ISNUMBER(SEARCH("인도네시아",$U31)),MAX(0,MIN($K31,기준정보!$C$11)-MAX($K31-기준정보!$C$6,기준정보!$C$10)+1),0)))</f>
        <v/>
      </c>
      <c r="M31" s="22">
        <f>IF($K31="","",$K31-기준정보!$C$6-$L31)</f>
        <v/>
      </c>
      <c r="N31" s="24">
        <f>IF($M31="","",$M31-기준정보!$C$4)</f>
        <v/>
      </c>
      <c r="O31" s="21" t="n"/>
      <c r="P31" s="21" t="n"/>
      <c r="Q31" s="21" t="n"/>
      <c r="R31" s="25" t="n"/>
      <c r="S31" s="20">
        <f>IF($H31="","",IF($H31="C","본사(소재팀)",IF($H31="완","생산처","확인 필요")))</f>
        <v/>
      </c>
      <c r="T31" s="20" t="inlineStr">
        <is>
          <t>TESSELLATION</t>
        </is>
      </c>
      <c r="U31" s="20" t="inlineStr">
        <is>
          <t>베트남</t>
        </is>
      </c>
      <c r="V31" s="20" t="n"/>
      <c r="W31" s="26" t="n"/>
      <c r="X31" s="26" t="n"/>
      <c r="Y31" s="22" t="n"/>
      <c r="Z31" s="27" t="n">
        <v>3000</v>
      </c>
      <c r="AA31" s="27" t="n">
        <v>104736000</v>
      </c>
      <c r="AB31" s="27" t="n">
        <v>504000000</v>
      </c>
      <c r="AC31" s="20" t="n"/>
      <c r="AD31" s="20">
        <f>IF($J31="","출고일 미정",IF($P31="X","작지 미발행",IF($P31="부분","작지 일부 미발행",IF(AND($R31&lt;&gt;"",$R31&gt;$M31),"소재입고 마감("&amp;TEXT($M31,"MM/DD")&amp;") 초과",IF($P31="","발행여부 확인 필요",IF($R31="","소재 입고일정 확인 필요","정상"))))))</f>
        <v/>
      </c>
      <c r="AE31" s="19">
        <f>IF($J31="","",IF(OR(LEFT($AD31,2)="작지",LEFT($AD31,4)="소재입고"),IF(LEFT($G31,1)="A","★ 납기위험(A코드)","◆ 지연주의"),IF($AD31="정상","✓ 정상","? 확인필요")))</f>
        <v/>
      </c>
      <c r="AF31" s="21" t="n"/>
      <c r="AG31" s="28" t="n"/>
    </row>
    <row r="32">
      <c r="A32" s="19" t="n">
        <v>28</v>
      </c>
      <c r="B32" s="20" t="inlineStr">
        <is>
          <t>정영준</t>
        </is>
      </c>
      <c r="C32" s="20" t="inlineStr">
        <is>
          <t>서은미</t>
        </is>
      </c>
      <c r="D32" s="20" t="inlineStr">
        <is>
          <t>TVJJA27612</t>
        </is>
      </c>
      <c r="E32" s="20" t="inlineStr">
        <is>
          <t>여성 중기장 후디드 재킷</t>
        </is>
      </c>
      <c r="F32" s="20" t="inlineStr">
        <is>
          <t>GBU/DEB</t>
        </is>
      </c>
      <c r="G32" s="19">
        <f>IF($D32="","",IF(MID($D32,5,1)="A","A(가을)",IF(MID($D32,5,1)="W","W(겨울)",IF(MID($D32,5,1)="X","X(사계절)",MID($D32,5,1)))))</f>
        <v/>
      </c>
      <c r="H32" s="19" t="n"/>
      <c r="I32" s="21" t="inlineStr">
        <is>
          <t>8월1주</t>
        </is>
      </c>
      <c r="J32" s="22">
        <f>IF($I32="","",IFERROR(DATE(기준정보!$C$7,VALUE(LEFT($I32,FIND("월",$I32)-1)),1+7*(VALUE(SUBSTITUTE(MID($I32,FIND("월",$I32)+1,5),"주",""))-1)),""))</f>
        <v/>
      </c>
      <c r="K32" s="22">
        <f>IF($J32="","",IF(AND(ISNUMBER(SEARCH("미얀마",$U32)),$J32-기준정보!$C$5&gt;=기준정보!$C$8,$J32-기준정보!$C$5&lt;=기준정보!$C$9),기준정보!$C$8-1,IF(AND(ISNUMBER(SEARCH("인도네시아",$U32)),$J32-기준정보!$C$5&gt;=기준정보!$C$10,$J32-기준정보!$C$5&lt;=기준정보!$C$11),기준정보!$C$10-1,$J32-기준정보!$C$5)))</f>
        <v/>
      </c>
      <c r="L32" s="23">
        <f>IF($K32="","",IF(ISNUMBER(SEARCH("미얀마",$U32)),MAX(0,MIN($K32,기준정보!$C$9)-MAX($K32-기준정보!$C$6,기준정보!$C$8)+1),IF(ISNUMBER(SEARCH("인도네시아",$U32)),MAX(0,MIN($K32,기준정보!$C$11)-MAX($K32-기준정보!$C$6,기준정보!$C$10)+1),0)))</f>
        <v/>
      </c>
      <c r="M32" s="22">
        <f>IF($K32="","",$K32-기준정보!$C$6-$L32)</f>
        <v/>
      </c>
      <c r="N32" s="24">
        <f>IF($M32="","",$M32-기준정보!$C$4)</f>
        <v/>
      </c>
      <c r="O32" s="21" t="n"/>
      <c r="P32" s="21" t="n"/>
      <c r="Q32" s="21" t="n"/>
      <c r="R32" s="25" t="n"/>
      <c r="S32" s="20">
        <f>IF($H32="","",IF($H32="C","본사(소재팀)",IF($H32="완","생산처","확인 필요")))</f>
        <v/>
      </c>
      <c r="T32" s="20" t="inlineStr">
        <is>
          <t>아이블</t>
        </is>
      </c>
      <c r="U32" s="20" t="inlineStr">
        <is>
          <t>베트남</t>
        </is>
      </c>
      <c r="V32" s="20" t="n"/>
      <c r="W32" s="26" t="n"/>
      <c r="X32" s="26" t="n"/>
      <c r="Y32" s="22" t="n"/>
      <c r="Z32" s="27" t="n">
        <v>3000</v>
      </c>
      <c r="AA32" s="27" t="n">
        <v>144000000</v>
      </c>
      <c r="AB32" s="27" t="n">
        <v>660000000</v>
      </c>
      <c r="AC32" s="20" t="n"/>
      <c r="AD32" s="20">
        <f>IF($J32="","출고일 미정",IF($P32="X","작지 미발행",IF($P32="부분","작지 일부 미발행",IF(AND($R32&lt;&gt;"",$R32&gt;$M32),"소재입고 마감("&amp;TEXT($M32,"MM/DD")&amp;") 초과",IF($P32="","발행여부 확인 필요",IF($R32="","소재 입고일정 확인 필요","정상"))))))</f>
        <v/>
      </c>
      <c r="AE32" s="19">
        <f>IF($J32="","",IF(OR(LEFT($AD32,2)="작지",LEFT($AD32,4)="소재입고"),IF(LEFT($G32,1)="A","★ 납기위험(A코드)","◆ 지연주의"),IF($AD32="정상","✓ 정상","? 확인필요")))</f>
        <v/>
      </c>
      <c r="AF32" s="21" t="n"/>
      <c r="AG32" s="28" t="n"/>
    </row>
    <row r="33">
      <c r="A33" s="19" t="n">
        <v>29</v>
      </c>
      <c r="B33" s="20" t="inlineStr">
        <is>
          <t>정영준</t>
        </is>
      </c>
      <c r="C33" s="20" t="inlineStr">
        <is>
          <t>서은미</t>
        </is>
      </c>
      <c r="D33" s="20" t="inlineStr">
        <is>
          <t>TVJJA27622</t>
        </is>
      </c>
      <c r="E33" s="20" t="inlineStr">
        <is>
          <t>여성 중기장 스탠드넥 재킷</t>
        </is>
      </c>
      <c r="F33" s="20" t="inlineStr">
        <is>
          <t>CO1/CO2</t>
        </is>
      </c>
      <c r="G33" s="19">
        <f>IF($D33="","",IF(MID($D33,5,1)="A","A(가을)",IF(MID($D33,5,1)="W","W(겨울)",IF(MID($D33,5,1)="X","X(사계절)",MID($D33,5,1)))))</f>
        <v/>
      </c>
      <c r="H33" s="19" t="n"/>
      <c r="I33" s="21" t="inlineStr">
        <is>
          <t>8월1주</t>
        </is>
      </c>
      <c r="J33" s="22">
        <f>IF($I33="","",IFERROR(DATE(기준정보!$C$7,VALUE(LEFT($I33,FIND("월",$I33)-1)),1+7*(VALUE(SUBSTITUTE(MID($I33,FIND("월",$I33)+1,5),"주",""))-1)),""))</f>
        <v/>
      </c>
      <c r="K33" s="22">
        <f>IF($J33="","",IF(AND(ISNUMBER(SEARCH("미얀마",$U33)),$J33-기준정보!$C$5&gt;=기준정보!$C$8,$J33-기준정보!$C$5&lt;=기준정보!$C$9),기준정보!$C$8-1,IF(AND(ISNUMBER(SEARCH("인도네시아",$U33)),$J33-기준정보!$C$5&gt;=기준정보!$C$10,$J33-기준정보!$C$5&lt;=기준정보!$C$11),기준정보!$C$10-1,$J33-기준정보!$C$5)))</f>
        <v/>
      </c>
      <c r="L33" s="23">
        <f>IF($K33="","",IF(ISNUMBER(SEARCH("미얀마",$U33)),MAX(0,MIN($K33,기준정보!$C$9)-MAX($K33-기준정보!$C$6,기준정보!$C$8)+1),IF(ISNUMBER(SEARCH("인도네시아",$U33)),MAX(0,MIN($K33,기준정보!$C$11)-MAX($K33-기준정보!$C$6,기준정보!$C$10)+1),0)))</f>
        <v/>
      </c>
      <c r="M33" s="22">
        <f>IF($K33="","",$K33-기준정보!$C$6-$L33)</f>
        <v/>
      </c>
      <c r="N33" s="24">
        <f>IF($M33="","",$M33-기준정보!$C$4)</f>
        <v/>
      </c>
      <c r="O33" s="21" t="n"/>
      <c r="P33" s="21" t="n"/>
      <c r="Q33" s="21" t="n"/>
      <c r="R33" s="25" t="n"/>
      <c r="S33" s="20">
        <f>IF($H33="","",IF($H33="C","본사(소재팀)",IF($H33="완","생산처","확인 필요")))</f>
        <v/>
      </c>
      <c r="T33" s="20" t="inlineStr">
        <is>
          <t>포마트</t>
        </is>
      </c>
      <c r="U33" s="20" t="inlineStr">
        <is>
          <t>베트남</t>
        </is>
      </c>
      <c r="V33" s="20" t="n"/>
      <c r="W33" s="26" t="n"/>
      <c r="X33" s="26" t="n"/>
      <c r="Y33" s="22" t="n"/>
      <c r="Z33" s="27" t="n">
        <v>4000</v>
      </c>
      <c r="AA33" s="27" t="n">
        <v>160000000</v>
      </c>
      <c r="AB33" s="27" t="n">
        <v>792000000</v>
      </c>
      <c r="AC33" s="20" t="n"/>
      <c r="AD33" s="20">
        <f>IF($J33="","출고일 미정",IF($P33="X","작지 미발행",IF($P33="부분","작지 일부 미발행",IF(AND($R33&lt;&gt;"",$R33&gt;$M33),"소재입고 마감("&amp;TEXT($M33,"MM/DD")&amp;") 초과",IF($P33="","발행여부 확인 필요",IF($R33="","소재 입고일정 확인 필요","정상"))))))</f>
        <v/>
      </c>
      <c r="AE33" s="19">
        <f>IF($J33="","",IF(OR(LEFT($AD33,2)="작지",LEFT($AD33,4)="소재입고"),IF(LEFT($G33,1)="A","★ 납기위험(A코드)","◆ 지연주의"),IF($AD33="정상","✓ 정상","? 확인필요")))</f>
        <v/>
      </c>
      <c r="AF33" s="21" t="n"/>
      <c r="AG33" s="28" t="n"/>
    </row>
    <row r="34">
      <c r="A34" s="19" t="n">
        <v>30</v>
      </c>
      <c r="B34" s="20" t="inlineStr">
        <is>
          <t>문도혁</t>
        </is>
      </c>
      <c r="C34" s="20" t="inlineStr">
        <is>
          <t>서은미</t>
        </is>
      </c>
      <c r="D34" s="20" t="inlineStr">
        <is>
          <t>TVPNA27604</t>
        </is>
      </c>
      <c r="E34" s="20" t="inlineStr">
        <is>
          <t>여성 트리코트 팬츠</t>
        </is>
      </c>
      <c r="F34" s="20" t="inlineStr">
        <is>
          <t>CHR/DBE</t>
        </is>
      </c>
      <c r="G34" s="19">
        <f>IF($D34="","",IF(MID($D34,5,1)="A","A(가을)",IF(MID($D34,5,1)="W","W(겨울)",IF(MID($D34,5,1)="X","X(사계절)",MID($D34,5,1)))))</f>
        <v/>
      </c>
      <c r="H34" s="19" t="inlineStr">
        <is>
          <t>C</t>
        </is>
      </c>
      <c r="I34" s="21" t="inlineStr">
        <is>
          <t>8월1주</t>
        </is>
      </c>
      <c r="J34" s="22">
        <f>IF($I34="","",IFERROR(DATE(기준정보!$C$7,VALUE(LEFT($I34,FIND("월",$I34)-1)),1+7*(VALUE(SUBSTITUTE(MID($I34,FIND("월",$I34)+1,5),"주",""))-1)),""))</f>
        <v/>
      </c>
      <c r="K34" s="22">
        <f>IF($J34="","",IF(AND(ISNUMBER(SEARCH("미얀마",$U34)),$J34-기준정보!$C$5&gt;=기준정보!$C$8,$J34-기준정보!$C$5&lt;=기준정보!$C$9),기준정보!$C$8-1,IF(AND(ISNUMBER(SEARCH("인도네시아",$U34)),$J34-기준정보!$C$5&gt;=기준정보!$C$10,$J34-기준정보!$C$5&lt;=기준정보!$C$11),기준정보!$C$10-1,$J34-기준정보!$C$5)))</f>
        <v/>
      </c>
      <c r="L34" s="23">
        <f>IF($K34="","",IF(ISNUMBER(SEARCH("미얀마",$U34)),MAX(0,MIN($K34,기준정보!$C$9)-MAX($K34-기준정보!$C$6,기준정보!$C$8)+1),IF(ISNUMBER(SEARCH("인도네시아",$U34)),MAX(0,MIN($K34,기준정보!$C$11)-MAX($K34-기준정보!$C$6,기준정보!$C$10)+1),0)))</f>
        <v/>
      </c>
      <c r="M34" s="22">
        <f>IF($K34="","",$K34-기준정보!$C$6-$L34)</f>
        <v/>
      </c>
      <c r="N34" s="24">
        <f>IF($M34="","",$M34-기준정보!$C$4)</f>
        <v/>
      </c>
      <c r="O34" s="21" t="n"/>
      <c r="P34" s="21" t="n"/>
      <c r="Q34" s="21" t="n"/>
      <c r="R34" s="25" t="n"/>
      <c r="S34" s="20">
        <f>IF($H34="","",IF($H34="C","본사(소재팀)",IF($H34="완","생산처","확인 필요")))</f>
        <v/>
      </c>
      <c r="T34" s="20" t="inlineStr">
        <is>
          <t>거림</t>
        </is>
      </c>
      <c r="U34" s="20" t="inlineStr">
        <is>
          <t>베트남</t>
        </is>
      </c>
      <c r="V34" s="20" t="n"/>
      <c r="W34" s="26" t="n"/>
      <c r="X34" s="26" t="n"/>
      <c r="Y34" s="22" t="n"/>
      <c r="Z34" s="27" t="n">
        <v>1500</v>
      </c>
      <c r="AA34" s="27" t="n">
        <v>49314000</v>
      </c>
      <c r="AB34" s="27" t="n">
        <v>267000000</v>
      </c>
      <c r="AC34" s="20" t="n"/>
      <c r="AD34" s="20">
        <f>IF($J34="","출고일 미정",IF($P34="X","작지 미발행",IF($P34="부분","작지 일부 미발행",IF(AND($R34&lt;&gt;"",$R34&gt;$M34),"소재입고 마감("&amp;TEXT($M34,"MM/DD")&amp;") 초과",IF($P34="","발행여부 확인 필요",IF($R34="","소재 입고일정 확인 필요","정상"))))))</f>
        <v/>
      </c>
      <c r="AE34" s="19">
        <f>IF($J34="","",IF(OR(LEFT($AD34,2)="작지",LEFT($AD34,4)="소재입고"),IF(LEFT($G34,1)="A","★ 납기위험(A코드)","◆ 지연주의"),IF($AD34="정상","✓ 정상","? 확인필요")))</f>
        <v/>
      </c>
      <c r="AF34" s="21" t="n"/>
      <c r="AG34" s="28" t="n"/>
    </row>
    <row r="35">
      <c r="A35" s="19" t="n">
        <v>31</v>
      </c>
      <c r="B35" s="20" t="inlineStr">
        <is>
          <t>문도혁</t>
        </is>
      </c>
      <c r="C35" s="20" t="inlineStr">
        <is>
          <t>서은미</t>
        </is>
      </c>
      <c r="D35" s="20" t="inlineStr">
        <is>
          <t>TVPNA27606</t>
        </is>
      </c>
      <c r="E35" s="20" t="inlineStr">
        <is>
          <t>여성 데님 팬츠</t>
        </is>
      </c>
      <c r="F35" s="20" t="inlineStr">
        <is>
          <t>IND</t>
        </is>
      </c>
      <c r="G35" s="19">
        <f>IF($D35="","",IF(MID($D35,5,1)="A","A(가을)",IF(MID($D35,5,1)="W","W(겨울)",IF(MID($D35,5,1)="X","X(사계절)",MID($D35,5,1)))))</f>
        <v/>
      </c>
      <c r="H35" s="19" t="inlineStr">
        <is>
          <t>완</t>
        </is>
      </c>
      <c r="I35" s="21" t="inlineStr">
        <is>
          <t>8월1주</t>
        </is>
      </c>
      <c r="J35" s="22">
        <f>IF($I35="","",IFERROR(DATE(기준정보!$C$7,VALUE(LEFT($I35,FIND("월",$I35)-1)),1+7*(VALUE(SUBSTITUTE(MID($I35,FIND("월",$I35)+1,5),"주",""))-1)),""))</f>
        <v/>
      </c>
      <c r="K35" s="22">
        <f>IF($J35="","",IF(AND(ISNUMBER(SEARCH("미얀마",$U35)),$J35-기준정보!$C$5&gt;=기준정보!$C$8,$J35-기준정보!$C$5&lt;=기준정보!$C$9),기준정보!$C$8-1,IF(AND(ISNUMBER(SEARCH("인도네시아",$U35)),$J35-기준정보!$C$5&gt;=기준정보!$C$10,$J35-기준정보!$C$5&lt;=기준정보!$C$11),기준정보!$C$10-1,$J35-기준정보!$C$5)))</f>
        <v/>
      </c>
      <c r="L35" s="23">
        <f>IF($K35="","",IF(ISNUMBER(SEARCH("미얀마",$U35)),MAX(0,MIN($K35,기준정보!$C$9)-MAX($K35-기준정보!$C$6,기준정보!$C$8)+1),IF(ISNUMBER(SEARCH("인도네시아",$U35)),MAX(0,MIN($K35,기준정보!$C$11)-MAX($K35-기준정보!$C$6,기준정보!$C$10)+1),0)))</f>
        <v/>
      </c>
      <c r="M35" s="22">
        <f>IF($K35="","",$K35-기준정보!$C$6-$L35)</f>
        <v/>
      </c>
      <c r="N35" s="24">
        <f>IF($M35="","",$M35-기준정보!$C$4)</f>
        <v/>
      </c>
      <c r="O35" s="21" t="n"/>
      <c r="P35" s="21" t="n"/>
      <c r="Q35" s="21" t="n"/>
      <c r="R35" s="25" t="n"/>
      <c r="S35" s="20">
        <f>IF($H35="","",IF($H35="C","본사(소재팀)",IF($H35="완","생산처","확인 필요")))</f>
        <v/>
      </c>
      <c r="T35" s="20" t="inlineStr">
        <is>
          <t>파란</t>
        </is>
      </c>
      <c r="U35" s="20" t="inlineStr">
        <is>
          <t>중국</t>
        </is>
      </c>
      <c r="V35" s="20" t="n"/>
      <c r="W35" s="26" t="n"/>
      <c r="X35" s="26" t="n"/>
      <c r="Y35" s="22" t="n"/>
      <c r="Z35" s="27" t="n">
        <v>1500</v>
      </c>
      <c r="AA35" s="27" t="n">
        <v>57000000</v>
      </c>
      <c r="AB35" s="27" t="n">
        <v>282000000</v>
      </c>
      <c r="AC35" s="20" t="n"/>
      <c r="AD35" s="20">
        <f>IF($J35="","출고일 미정",IF($P35="X","작지 미발행",IF($P35="부분","작지 일부 미발행",IF(AND($R35&lt;&gt;"",$R35&gt;$M35),"소재입고 마감("&amp;TEXT($M35,"MM/DD")&amp;") 초과",IF($P35="","발행여부 확인 필요",IF($R35="","소재 입고일정 확인 필요","정상"))))))</f>
        <v/>
      </c>
      <c r="AE35" s="19">
        <f>IF($J35="","",IF(OR(LEFT($AD35,2)="작지",LEFT($AD35,4)="소재입고"),IF(LEFT($G35,1)="A","★ 납기위험(A코드)","◆ 지연주의"),IF($AD35="정상","✓ 정상","? 확인필요")))</f>
        <v/>
      </c>
      <c r="AF35" s="21" t="n"/>
      <c r="AG35" s="28" t="n"/>
    </row>
    <row r="36">
      <c r="A36" s="19" t="n">
        <v>32</v>
      </c>
      <c r="B36" s="20" t="inlineStr">
        <is>
          <t>문도혁</t>
        </is>
      </c>
      <c r="C36" s="20" t="inlineStr">
        <is>
          <t>서은미</t>
        </is>
      </c>
      <c r="D36" s="20" t="inlineStr">
        <is>
          <t>TVPNA27608</t>
        </is>
      </c>
      <c r="E36" s="20" t="inlineStr">
        <is>
          <t>여성 부츠컷 팬츠</t>
        </is>
      </c>
      <c r="F36" s="20" t="inlineStr">
        <is>
          <t>DNV/DEB</t>
        </is>
      </c>
      <c r="G36" s="19">
        <f>IF($D36="","",IF(MID($D36,5,1)="A","A(가을)",IF(MID($D36,5,1)="W","W(겨울)",IF(MID($D36,5,1)="X","X(사계절)",MID($D36,5,1)))))</f>
        <v/>
      </c>
      <c r="H36" s="19" t="inlineStr">
        <is>
          <t>C</t>
        </is>
      </c>
      <c r="I36" s="21" t="inlineStr">
        <is>
          <t>8월1주</t>
        </is>
      </c>
      <c r="J36" s="22">
        <f>IF($I36="","",IFERROR(DATE(기준정보!$C$7,VALUE(LEFT($I36,FIND("월",$I36)-1)),1+7*(VALUE(SUBSTITUTE(MID($I36,FIND("월",$I36)+1,5),"주",""))-1)),""))</f>
        <v/>
      </c>
      <c r="K36" s="22">
        <f>IF($J36="","",IF(AND(ISNUMBER(SEARCH("미얀마",$U36)),$J36-기준정보!$C$5&gt;=기준정보!$C$8,$J36-기준정보!$C$5&lt;=기준정보!$C$9),기준정보!$C$8-1,IF(AND(ISNUMBER(SEARCH("인도네시아",$U36)),$J36-기준정보!$C$5&gt;=기준정보!$C$10,$J36-기준정보!$C$5&lt;=기준정보!$C$11),기준정보!$C$10-1,$J36-기준정보!$C$5)))</f>
        <v/>
      </c>
      <c r="L36" s="23">
        <f>IF($K36="","",IF(ISNUMBER(SEARCH("미얀마",$U36)),MAX(0,MIN($K36,기준정보!$C$9)-MAX($K36-기준정보!$C$6,기준정보!$C$8)+1),IF(ISNUMBER(SEARCH("인도네시아",$U36)),MAX(0,MIN($K36,기준정보!$C$11)-MAX($K36-기준정보!$C$6,기준정보!$C$10)+1),0)))</f>
        <v/>
      </c>
      <c r="M36" s="22">
        <f>IF($K36="","",$K36-기준정보!$C$6-$L36)</f>
        <v/>
      </c>
      <c r="N36" s="24">
        <f>IF($M36="","",$M36-기준정보!$C$4)</f>
        <v/>
      </c>
      <c r="O36" s="21" t="n"/>
      <c r="P36" s="21" t="n"/>
      <c r="Q36" s="21" t="n"/>
      <c r="R36" s="25" t="n"/>
      <c r="S36" s="20">
        <f>IF($H36="","",IF($H36="C","본사(소재팀)",IF($H36="완","생산처","확인 필요")))</f>
        <v/>
      </c>
      <c r="T36" s="20" t="inlineStr">
        <is>
          <t>거림</t>
        </is>
      </c>
      <c r="U36" s="20" t="inlineStr">
        <is>
          <t>베트남</t>
        </is>
      </c>
      <c r="V36" s="20" t="n"/>
      <c r="W36" s="26" t="n"/>
      <c r="X36" s="26" t="n"/>
      <c r="Y36" s="22" t="n"/>
      <c r="Z36" s="27" t="n">
        <v>1500</v>
      </c>
      <c r="AA36" s="27" t="n">
        <v>48429000</v>
      </c>
      <c r="AB36" s="27" t="n">
        <v>282000000</v>
      </c>
      <c r="AC36" s="20" t="n"/>
      <c r="AD36" s="20">
        <f>IF($J36="","출고일 미정",IF($P36="X","작지 미발행",IF($P36="부분","작지 일부 미발행",IF(AND($R36&lt;&gt;"",$R36&gt;$M36),"소재입고 마감("&amp;TEXT($M36,"MM/DD")&amp;") 초과",IF($P36="","발행여부 확인 필요",IF($R36="","소재 입고일정 확인 필요","정상"))))))</f>
        <v/>
      </c>
      <c r="AE36" s="19">
        <f>IF($J36="","",IF(OR(LEFT($AD36,2)="작지",LEFT($AD36,4)="소재입고"),IF(LEFT($G36,1)="A","★ 납기위험(A코드)","◆ 지연주의"),IF($AD36="정상","✓ 정상","? 확인필요")))</f>
        <v/>
      </c>
      <c r="AF36" s="21" t="n"/>
      <c r="AG36" s="28" t="n"/>
    </row>
    <row r="37">
      <c r="A37" s="19" t="n">
        <v>33</v>
      </c>
      <c r="B37" s="20" t="inlineStr">
        <is>
          <t>문도혁</t>
        </is>
      </c>
      <c r="C37" s="20" t="inlineStr">
        <is>
          <t>서은미</t>
        </is>
      </c>
      <c r="D37" s="20" t="inlineStr">
        <is>
          <t>TVPNA27612</t>
        </is>
      </c>
      <c r="E37" s="20" t="inlineStr">
        <is>
          <t>여성 크롭 테이퍼드 팬츠</t>
        </is>
      </c>
      <c r="F37" s="20" t="inlineStr">
        <is>
          <t>ABE/MID</t>
        </is>
      </c>
      <c r="G37" s="19">
        <f>IF($D37="","",IF(MID($D37,5,1)="A","A(가을)",IF(MID($D37,5,1)="W","W(겨울)",IF(MID($D37,5,1)="X","X(사계절)",MID($D37,5,1)))))</f>
        <v/>
      </c>
      <c r="H37" s="19" t="inlineStr">
        <is>
          <t>C</t>
        </is>
      </c>
      <c r="I37" s="21" t="inlineStr">
        <is>
          <t>8월1주</t>
        </is>
      </c>
      <c r="J37" s="22">
        <f>IF($I37="","",IFERROR(DATE(기준정보!$C$7,VALUE(LEFT($I37,FIND("월",$I37)-1)),1+7*(VALUE(SUBSTITUTE(MID($I37,FIND("월",$I37)+1,5),"주",""))-1)),""))</f>
        <v/>
      </c>
      <c r="K37" s="22">
        <f>IF($J37="","",IF(AND(ISNUMBER(SEARCH("미얀마",$U37)),$J37-기준정보!$C$5&gt;=기준정보!$C$8,$J37-기준정보!$C$5&lt;=기준정보!$C$9),기준정보!$C$8-1,IF(AND(ISNUMBER(SEARCH("인도네시아",$U37)),$J37-기준정보!$C$5&gt;=기준정보!$C$10,$J37-기준정보!$C$5&lt;=기준정보!$C$11),기준정보!$C$10-1,$J37-기준정보!$C$5)))</f>
        <v/>
      </c>
      <c r="L37" s="23">
        <f>IF($K37="","",IF(ISNUMBER(SEARCH("미얀마",$U37)),MAX(0,MIN($K37,기준정보!$C$9)-MAX($K37-기준정보!$C$6,기준정보!$C$8)+1),IF(ISNUMBER(SEARCH("인도네시아",$U37)),MAX(0,MIN($K37,기준정보!$C$11)-MAX($K37-기준정보!$C$6,기준정보!$C$10)+1),0)))</f>
        <v/>
      </c>
      <c r="M37" s="22">
        <f>IF($K37="","",$K37-기준정보!$C$6-$L37)</f>
        <v/>
      </c>
      <c r="N37" s="24">
        <f>IF($M37="","",$M37-기준정보!$C$4)</f>
        <v/>
      </c>
      <c r="O37" s="21" t="n"/>
      <c r="P37" s="21" t="n"/>
      <c r="Q37" s="21" t="n"/>
      <c r="R37" s="25" t="n"/>
      <c r="S37" s="20">
        <f>IF($H37="","",IF($H37="C","본사(소재팀)",IF($H37="완","생산처","확인 필요")))</f>
        <v/>
      </c>
      <c r="T37" s="20" t="inlineStr">
        <is>
          <t>TBO</t>
        </is>
      </c>
      <c r="U37" s="20" t="inlineStr">
        <is>
          <t>베트남</t>
        </is>
      </c>
      <c r="V37" s="20" t="n"/>
      <c r="W37" s="26" t="n"/>
      <c r="X37" s="26" t="n"/>
      <c r="Y37" s="22" t="n"/>
      <c r="Z37" s="27" t="n">
        <v>2500</v>
      </c>
      <c r="AA37" s="27" t="n">
        <v>71710000</v>
      </c>
      <c r="AB37" s="27" t="n">
        <v>445000000</v>
      </c>
      <c r="AC37" s="20" t="n"/>
      <c r="AD37" s="20">
        <f>IF($J37="","출고일 미정",IF($P37="X","작지 미발행",IF($P37="부분","작지 일부 미발행",IF(AND($R37&lt;&gt;"",$R37&gt;$M37),"소재입고 마감("&amp;TEXT($M37,"MM/DD")&amp;") 초과",IF($P37="","발행여부 확인 필요",IF($R37="","소재 입고일정 확인 필요","정상"))))))</f>
        <v/>
      </c>
      <c r="AE37" s="19">
        <f>IF($J37="","",IF(OR(LEFT($AD37,2)="작지",LEFT($AD37,4)="소재입고"),IF(LEFT($G37,1)="A","★ 납기위험(A코드)","◆ 지연주의"),IF($AD37="정상","✓ 정상","? 확인필요")))</f>
        <v/>
      </c>
      <c r="AF37" s="21" t="n"/>
      <c r="AG37" s="28" t="n"/>
    </row>
    <row r="38">
      <c r="A38" s="19" t="n">
        <v>34</v>
      </c>
      <c r="B38" s="20" t="inlineStr">
        <is>
          <t>문도혁</t>
        </is>
      </c>
      <c r="C38" s="20" t="inlineStr">
        <is>
          <t>서은미</t>
        </is>
      </c>
      <c r="D38" s="20" t="inlineStr">
        <is>
          <t>TVPOA27622</t>
        </is>
      </c>
      <c r="E38" s="20" t="inlineStr">
        <is>
          <t>여성 메쉬 하이브리드 스커트</t>
        </is>
      </c>
      <c r="F38" s="20" t="inlineStr">
        <is>
          <t>CO1/CO2</t>
        </is>
      </c>
      <c r="G38" s="19">
        <f>IF($D38="","",IF(MID($D38,5,1)="A","A(가을)",IF(MID($D38,5,1)="W","W(겨울)",IF(MID($D38,5,1)="X","X(사계절)",MID($D38,5,1)))))</f>
        <v/>
      </c>
      <c r="H38" s="19" t="n"/>
      <c r="I38" s="21" t="inlineStr">
        <is>
          <t>8월1주</t>
        </is>
      </c>
      <c r="J38" s="22">
        <f>IF($I38="","",IFERROR(DATE(기준정보!$C$7,VALUE(LEFT($I38,FIND("월",$I38)-1)),1+7*(VALUE(SUBSTITUTE(MID($I38,FIND("월",$I38)+1,5),"주",""))-1)),""))</f>
        <v/>
      </c>
      <c r="K38" s="22">
        <f>IF($J38="","",IF(AND(ISNUMBER(SEARCH("미얀마",$U38)),$J38-기준정보!$C$5&gt;=기준정보!$C$8,$J38-기준정보!$C$5&lt;=기준정보!$C$9),기준정보!$C$8-1,IF(AND(ISNUMBER(SEARCH("인도네시아",$U38)),$J38-기준정보!$C$5&gt;=기준정보!$C$10,$J38-기준정보!$C$5&lt;=기준정보!$C$11),기준정보!$C$10-1,$J38-기준정보!$C$5)))</f>
        <v/>
      </c>
      <c r="L38" s="23">
        <f>IF($K38="","",IF(ISNUMBER(SEARCH("미얀마",$U38)),MAX(0,MIN($K38,기준정보!$C$9)-MAX($K38-기준정보!$C$6,기준정보!$C$8)+1),IF(ISNUMBER(SEARCH("인도네시아",$U38)),MAX(0,MIN($K38,기준정보!$C$11)-MAX($K38-기준정보!$C$6,기준정보!$C$10)+1),0)))</f>
        <v/>
      </c>
      <c r="M38" s="22">
        <f>IF($K38="","",$K38-기준정보!$C$6-$L38)</f>
        <v/>
      </c>
      <c r="N38" s="24">
        <f>IF($M38="","",$M38-기준정보!$C$4)</f>
        <v/>
      </c>
      <c r="O38" s="21" t="n"/>
      <c r="P38" s="21" t="n"/>
      <c r="Q38" s="21" t="n"/>
      <c r="R38" s="25" t="n"/>
      <c r="S38" s="20">
        <f>IF($H38="","",IF($H38="C","본사(소재팀)",IF($H38="완","생산처","확인 필요")))</f>
        <v/>
      </c>
      <c r="T38" s="20" t="n"/>
      <c r="U38" s="20" t="n"/>
      <c r="V38" s="20" t="n"/>
      <c r="W38" s="26" t="n"/>
      <c r="X38" s="26" t="n"/>
      <c r="Y38" s="22" t="n"/>
      <c r="Z38" s="27" t="n">
        <v>600</v>
      </c>
      <c r="AA38" s="27" t="n">
        <v>19800000</v>
      </c>
      <c r="AB38" s="27" t="n">
        <v>112800000</v>
      </c>
      <c r="AC38" s="20" t="n"/>
      <c r="AD38" s="20">
        <f>IF($J38="","출고일 미정",IF($P38="X","작지 미발행",IF($P38="부분","작지 일부 미발행",IF(AND($R38&lt;&gt;"",$R38&gt;$M38),"소재입고 마감("&amp;TEXT($M38,"MM/DD")&amp;") 초과",IF($P38="","발행여부 확인 필요",IF($R38="","소재 입고일정 확인 필요","정상"))))))</f>
        <v/>
      </c>
      <c r="AE38" s="19">
        <f>IF($J38="","",IF(OR(LEFT($AD38,2)="작지",LEFT($AD38,4)="소재입고"),IF(LEFT($G38,1)="A","★ 납기위험(A코드)","◆ 지연주의"),IF($AD38="정상","✓ 정상","? 확인필요")))</f>
        <v/>
      </c>
      <c r="AF38" s="21" t="n"/>
      <c r="AG38" s="28" t="n"/>
    </row>
    <row r="39">
      <c r="A39" s="19" t="n">
        <v>35</v>
      </c>
      <c r="B39" s="20" t="inlineStr">
        <is>
          <t>정영준</t>
        </is>
      </c>
      <c r="C39" s="20" t="inlineStr">
        <is>
          <t>서은미</t>
        </is>
      </c>
      <c r="D39" s="20" t="inlineStr">
        <is>
          <t>TVSXA27602</t>
        </is>
      </c>
      <c r="E39" s="20" t="inlineStr">
        <is>
          <t>여성 체크 긴팔 셔츠</t>
        </is>
      </c>
      <c r="F39" s="20" t="inlineStr">
        <is>
          <t>CO1/CO2/CO3</t>
        </is>
      </c>
      <c r="G39" s="19">
        <f>IF($D39="","",IF(MID($D39,5,1)="A","A(가을)",IF(MID($D39,5,1)="W","W(겨울)",IF(MID($D39,5,1)="X","X(사계절)",MID($D39,5,1)))))</f>
        <v/>
      </c>
      <c r="H39" s="19" t="n"/>
      <c r="I39" s="21" t="inlineStr">
        <is>
          <t>8월1주</t>
        </is>
      </c>
      <c r="J39" s="22">
        <f>IF($I39="","",IFERROR(DATE(기준정보!$C$7,VALUE(LEFT($I39,FIND("월",$I39)-1)),1+7*(VALUE(SUBSTITUTE(MID($I39,FIND("월",$I39)+1,5),"주",""))-1)),""))</f>
        <v/>
      </c>
      <c r="K39" s="22">
        <f>IF($J39="","",IF(AND(ISNUMBER(SEARCH("미얀마",$U39)),$J39-기준정보!$C$5&gt;=기준정보!$C$8,$J39-기준정보!$C$5&lt;=기준정보!$C$9),기준정보!$C$8-1,IF(AND(ISNUMBER(SEARCH("인도네시아",$U39)),$J39-기준정보!$C$5&gt;=기준정보!$C$10,$J39-기준정보!$C$5&lt;=기준정보!$C$11),기준정보!$C$10-1,$J39-기준정보!$C$5)))</f>
        <v/>
      </c>
      <c r="L39" s="23">
        <f>IF($K39="","",IF(ISNUMBER(SEARCH("미얀마",$U39)),MAX(0,MIN($K39,기준정보!$C$9)-MAX($K39-기준정보!$C$6,기준정보!$C$8)+1),IF(ISNUMBER(SEARCH("인도네시아",$U39)),MAX(0,MIN($K39,기준정보!$C$11)-MAX($K39-기준정보!$C$6,기준정보!$C$10)+1),0)))</f>
        <v/>
      </c>
      <c r="M39" s="22">
        <f>IF($K39="","",$K39-기준정보!$C$6-$L39)</f>
        <v/>
      </c>
      <c r="N39" s="24">
        <f>IF($M39="","",$M39-기준정보!$C$4)</f>
        <v/>
      </c>
      <c r="O39" s="21" t="n"/>
      <c r="P39" s="21" t="n"/>
      <c r="Q39" s="21" t="n"/>
      <c r="R39" s="25" t="n"/>
      <c r="S39" s="20">
        <f>IF($H39="","",IF($H39="C","본사(소재팀)",IF($H39="완","생산처","확인 필요")))</f>
        <v/>
      </c>
      <c r="T39" s="20" t="inlineStr">
        <is>
          <t>픽스쳐</t>
        </is>
      </c>
      <c r="U39" s="20" t="inlineStr">
        <is>
          <t>베트남</t>
        </is>
      </c>
      <c r="V39" s="20" t="n"/>
      <c r="W39" s="26" t="n"/>
      <c r="X39" s="26" t="n"/>
      <c r="Y39" s="22" t="n"/>
      <c r="Z39" s="27" t="n">
        <v>3000</v>
      </c>
      <c r="AA39" s="27" t="n">
        <v>78654000</v>
      </c>
      <c r="AB39" s="27" t="n">
        <v>444000000</v>
      </c>
      <c r="AC39" s="20" t="n"/>
      <c r="AD39" s="20">
        <f>IF($J39="","출고일 미정",IF($P39="X","작지 미발행",IF($P39="부분","작지 일부 미발행",IF(AND($R39&lt;&gt;"",$R39&gt;$M39),"소재입고 마감("&amp;TEXT($M39,"MM/DD")&amp;") 초과",IF($P39="","발행여부 확인 필요",IF($R39="","소재 입고일정 확인 필요","정상"))))))</f>
        <v/>
      </c>
      <c r="AE39" s="19">
        <f>IF($J39="","",IF(OR(LEFT($AD39,2)="작지",LEFT($AD39,4)="소재입고"),IF(LEFT($G39,1)="A","★ 납기위험(A코드)","◆ 지연주의"),IF($AD39="정상","✓ 정상","? 확인필요")))</f>
        <v/>
      </c>
      <c r="AF39" s="21" t="n"/>
      <c r="AG39" s="28" t="n"/>
    </row>
    <row r="40">
      <c r="A40" s="19" t="n">
        <v>36</v>
      </c>
      <c r="B40" s="20" t="inlineStr">
        <is>
          <t>정영준</t>
        </is>
      </c>
      <c r="C40" s="20" t="inlineStr">
        <is>
          <t>서은미</t>
        </is>
      </c>
      <c r="D40" s="20" t="inlineStr">
        <is>
          <t>TVTBA27602</t>
        </is>
      </c>
      <c r="E40" s="20" t="inlineStr">
        <is>
          <t>여성 베이직 피케 긴팔 폴로</t>
        </is>
      </c>
      <c r="F40" s="20" t="inlineStr">
        <is>
          <t>CO1/CO2/CO3</t>
        </is>
      </c>
      <c r="G40" s="19">
        <f>IF($D40="","",IF(MID($D40,5,1)="A","A(가을)",IF(MID($D40,5,1)="W","W(겨울)",IF(MID($D40,5,1)="X","X(사계절)",MID($D40,5,1)))))</f>
        <v/>
      </c>
      <c r="H40" s="19" t="inlineStr">
        <is>
          <t>슬림</t>
        </is>
      </c>
      <c r="I40" s="21" t="inlineStr">
        <is>
          <t>8월1주</t>
        </is>
      </c>
      <c r="J40" s="22">
        <f>IF($I40="","",IFERROR(DATE(기준정보!$C$7,VALUE(LEFT($I40,FIND("월",$I40)-1)),1+7*(VALUE(SUBSTITUTE(MID($I40,FIND("월",$I40)+1,5),"주",""))-1)),""))</f>
        <v/>
      </c>
      <c r="K40" s="22">
        <f>IF($J40="","",IF(AND(ISNUMBER(SEARCH("미얀마",$U40)),$J40-기준정보!$C$5&gt;=기준정보!$C$8,$J40-기준정보!$C$5&lt;=기준정보!$C$9),기준정보!$C$8-1,IF(AND(ISNUMBER(SEARCH("인도네시아",$U40)),$J40-기준정보!$C$5&gt;=기준정보!$C$10,$J40-기준정보!$C$5&lt;=기준정보!$C$11),기준정보!$C$10-1,$J40-기준정보!$C$5)))</f>
        <v/>
      </c>
      <c r="L40" s="23">
        <f>IF($K40="","",IF(ISNUMBER(SEARCH("미얀마",$U40)),MAX(0,MIN($K40,기준정보!$C$9)-MAX($K40-기준정보!$C$6,기준정보!$C$8)+1),IF(ISNUMBER(SEARCH("인도네시아",$U40)),MAX(0,MIN($K40,기준정보!$C$11)-MAX($K40-기준정보!$C$6,기준정보!$C$10)+1),0)))</f>
        <v/>
      </c>
      <c r="M40" s="22">
        <f>IF($K40="","",$K40-기준정보!$C$6-$L40)</f>
        <v/>
      </c>
      <c r="N40" s="24">
        <f>IF($M40="","",$M40-기준정보!$C$4)</f>
        <v/>
      </c>
      <c r="O40" s="21" t="n"/>
      <c r="P40" s="21" t="n"/>
      <c r="Q40" s="21" t="n"/>
      <c r="R40" s="25" t="n"/>
      <c r="S40" s="20">
        <f>IF($H40="","",IF($H40="C","본사(소재팀)",IF($H40="완","생산처","확인 필요")))</f>
        <v/>
      </c>
      <c r="T40" s="20" t="inlineStr">
        <is>
          <t>TESSELLATION</t>
        </is>
      </c>
      <c r="U40" s="20" t="inlineStr">
        <is>
          <t>베트남</t>
        </is>
      </c>
      <c r="V40" s="20" t="n"/>
      <c r="W40" s="26" t="n"/>
      <c r="X40" s="26" t="n"/>
      <c r="Y40" s="22" t="n"/>
      <c r="Z40" s="27" t="n">
        <v>5000</v>
      </c>
      <c r="AA40" s="27" t="n">
        <v>90000000</v>
      </c>
      <c r="AB40" s="27" t="n">
        <v>640000000</v>
      </c>
      <c r="AC40" s="20" t="n"/>
      <c r="AD40" s="20">
        <f>IF($J40="","출고일 미정",IF($P40="X","작지 미발행",IF($P40="부분","작지 일부 미발행",IF(AND($R40&lt;&gt;"",$R40&gt;$M40),"소재입고 마감("&amp;TEXT($M40,"MM/DD")&amp;") 초과",IF($P40="","발행여부 확인 필요",IF($R40="","소재 입고일정 확인 필요","정상"))))))</f>
        <v/>
      </c>
      <c r="AE40" s="19">
        <f>IF($J40="","",IF(OR(LEFT($AD40,2)="작지",LEFT($AD40,4)="소재입고"),IF(LEFT($G40,1)="A","★ 납기위험(A코드)","◆ 지연주의"),IF($AD40="정상","✓ 정상","? 확인필요")))</f>
        <v/>
      </c>
      <c r="AF40" s="21" t="n"/>
      <c r="AG40" s="28" t="n"/>
    </row>
    <row r="41">
      <c r="A41" s="19" t="n">
        <v>37</v>
      </c>
      <c r="B41" s="20" t="inlineStr">
        <is>
          <t>정영준</t>
        </is>
      </c>
      <c r="C41" s="20" t="inlineStr">
        <is>
          <t>서은미</t>
        </is>
      </c>
      <c r="D41" s="20" t="inlineStr">
        <is>
          <t>TVTBA27604</t>
        </is>
      </c>
      <c r="E41" s="20" t="inlineStr">
        <is>
          <t>여성 체크 긴팔 폴로</t>
        </is>
      </c>
      <c r="F41" s="20" t="inlineStr">
        <is>
          <t>CO1/CO2</t>
        </is>
      </c>
      <c r="G41" s="19">
        <f>IF($D41="","",IF(MID($D41,5,1)="A","A(가을)",IF(MID($D41,5,1)="W","W(겨울)",IF(MID($D41,5,1)="X","X(사계절)",MID($D41,5,1)))))</f>
        <v/>
      </c>
      <c r="H41" s="19" t="inlineStr">
        <is>
          <t>슬림</t>
        </is>
      </c>
      <c r="I41" s="21" t="inlineStr">
        <is>
          <t>8월1주</t>
        </is>
      </c>
      <c r="J41" s="22">
        <f>IF($I41="","",IFERROR(DATE(기준정보!$C$7,VALUE(LEFT($I41,FIND("월",$I41)-1)),1+7*(VALUE(SUBSTITUTE(MID($I41,FIND("월",$I41)+1,5),"주",""))-1)),""))</f>
        <v/>
      </c>
      <c r="K41" s="22">
        <f>IF($J41="","",IF(AND(ISNUMBER(SEARCH("미얀마",$U41)),$J41-기준정보!$C$5&gt;=기준정보!$C$8,$J41-기준정보!$C$5&lt;=기준정보!$C$9),기준정보!$C$8-1,IF(AND(ISNUMBER(SEARCH("인도네시아",$U41)),$J41-기준정보!$C$5&gt;=기준정보!$C$10,$J41-기준정보!$C$5&lt;=기준정보!$C$11),기준정보!$C$10-1,$J41-기준정보!$C$5)))</f>
        <v/>
      </c>
      <c r="L41" s="23">
        <f>IF($K41="","",IF(ISNUMBER(SEARCH("미얀마",$U41)),MAX(0,MIN($K41,기준정보!$C$9)-MAX($K41-기준정보!$C$6,기준정보!$C$8)+1),IF(ISNUMBER(SEARCH("인도네시아",$U41)),MAX(0,MIN($K41,기준정보!$C$11)-MAX($K41-기준정보!$C$6,기준정보!$C$10)+1),0)))</f>
        <v/>
      </c>
      <c r="M41" s="22">
        <f>IF($K41="","",$K41-기준정보!$C$6-$L41)</f>
        <v/>
      </c>
      <c r="N41" s="24">
        <f>IF($M41="","",$M41-기준정보!$C$4)</f>
        <v/>
      </c>
      <c r="O41" s="21" t="n"/>
      <c r="P41" s="21" t="n"/>
      <c r="Q41" s="21" t="n"/>
      <c r="R41" s="25" t="n"/>
      <c r="S41" s="20">
        <f>IF($H41="","",IF($H41="C","본사(소재팀)",IF($H41="완","생산처","확인 필요")))</f>
        <v/>
      </c>
      <c r="T41" s="20" t="inlineStr">
        <is>
          <t>장안</t>
        </is>
      </c>
      <c r="U41" s="20" t="inlineStr">
        <is>
          <t>베트남</t>
        </is>
      </c>
      <c r="V41" s="20" t="n"/>
      <c r="W41" s="26" t="n"/>
      <c r="X41" s="26" t="n"/>
      <c r="Y41" s="22" t="n"/>
      <c r="Z41" s="27" t="n">
        <v>3000</v>
      </c>
      <c r="AA41" s="27" t="n">
        <v>66000000</v>
      </c>
      <c r="AB41" s="27" t="n">
        <v>414000000</v>
      </c>
      <c r="AC41" s="20" t="n"/>
      <c r="AD41" s="20">
        <f>IF($J41="","출고일 미정",IF($P41="X","작지 미발행",IF($P41="부분","작지 일부 미발행",IF(AND($R41&lt;&gt;"",$R41&gt;$M41),"소재입고 마감("&amp;TEXT($M41,"MM/DD")&amp;") 초과",IF($P41="","발행여부 확인 필요",IF($R41="","소재 입고일정 확인 필요","정상"))))))</f>
        <v/>
      </c>
      <c r="AE41" s="19">
        <f>IF($J41="","",IF(OR(LEFT($AD41,2)="작지",LEFT($AD41,4)="소재입고"),IF(LEFT($G41,1)="A","★ 납기위험(A코드)","◆ 지연주의"),IF($AD41="정상","✓ 정상","? 확인필요")))</f>
        <v/>
      </c>
      <c r="AF41" s="21" t="n"/>
      <c r="AG41" s="28" t="n"/>
    </row>
    <row r="42">
      <c r="A42" s="19" t="n">
        <v>38</v>
      </c>
      <c r="B42" s="20" t="inlineStr">
        <is>
          <t>정영준</t>
        </is>
      </c>
      <c r="C42" s="20" t="inlineStr">
        <is>
          <t>서은미</t>
        </is>
      </c>
      <c r="D42" s="20" t="inlineStr">
        <is>
          <t>TVTBA27622</t>
        </is>
      </c>
      <c r="E42" s="20" t="inlineStr">
        <is>
          <t>여성 소로나 긴팔 폴로</t>
        </is>
      </c>
      <c r="F42" s="20" t="inlineStr">
        <is>
          <t>ABE/ABU</t>
        </is>
      </c>
      <c r="G42" s="19">
        <f>IF($D42="","",IF(MID($D42,5,1)="A","A(가을)",IF(MID($D42,5,1)="W","W(겨울)",IF(MID($D42,5,1)="X","X(사계절)",MID($D42,5,1)))))</f>
        <v/>
      </c>
      <c r="H42" s="19" t="inlineStr">
        <is>
          <t>슬림</t>
        </is>
      </c>
      <c r="I42" s="21" t="inlineStr">
        <is>
          <t>8월1주</t>
        </is>
      </c>
      <c r="J42" s="22">
        <f>IF($I42="","",IFERROR(DATE(기준정보!$C$7,VALUE(LEFT($I42,FIND("월",$I42)-1)),1+7*(VALUE(SUBSTITUTE(MID($I42,FIND("월",$I42)+1,5),"주",""))-1)),""))</f>
        <v/>
      </c>
      <c r="K42" s="22">
        <f>IF($J42="","",IF(AND(ISNUMBER(SEARCH("미얀마",$U42)),$J42-기준정보!$C$5&gt;=기준정보!$C$8,$J42-기준정보!$C$5&lt;=기준정보!$C$9),기준정보!$C$8-1,IF(AND(ISNUMBER(SEARCH("인도네시아",$U42)),$J42-기준정보!$C$5&gt;=기준정보!$C$10,$J42-기준정보!$C$5&lt;=기준정보!$C$11),기준정보!$C$10-1,$J42-기준정보!$C$5)))</f>
        <v/>
      </c>
      <c r="L42" s="23">
        <f>IF($K42="","",IF(ISNUMBER(SEARCH("미얀마",$U42)),MAX(0,MIN($K42,기준정보!$C$9)-MAX($K42-기준정보!$C$6,기준정보!$C$8)+1),IF(ISNUMBER(SEARCH("인도네시아",$U42)),MAX(0,MIN($K42,기준정보!$C$11)-MAX($K42-기준정보!$C$6,기준정보!$C$10)+1),0)))</f>
        <v/>
      </c>
      <c r="M42" s="22">
        <f>IF($K42="","",$K42-기준정보!$C$6-$L42)</f>
        <v/>
      </c>
      <c r="N42" s="24">
        <f>IF($M42="","",$M42-기준정보!$C$4)</f>
        <v/>
      </c>
      <c r="O42" s="21" t="n"/>
      <c r="P42" s="21" t="n"/>
      <c r="Q42" s="21" t="n"/>
      <c r="R42" s="25" t="n"/>
      <c r="S42" s="20">
        <f>IF($H42="","",IF($H42="C","본사(소재팀)",IF($H42="완","생산처","확인 필요")))</f>
        <v/>
      </c>
      <c r="T42" s="20" t="inlineStr">
        <is>
          <t>장안</t>
        </is>
      </c>
      <c r="U42" s="20" t="inlineStr">
        <is>
          <t>베트남</t>
        </is>
      </c>
      <c r="V42" s="20" t="n"/>
      <c r="W42" s="26" t="n"/>
      <c r="X42" s="26" t="n"/>
      <c r="Y42" s="22" t="n"/>
      <c r="Z42" s="27" t="n">
        <v>2000</v>
      </c>
      <c r="AA42" s="27" t="n">
        <v>48000000</v>
      </c>
      <c r="AB42" s="27" t="n">
        <v>276000000</v>
      </c>
      <c r="AC42" s="20" t="n"/>
      <c r="AD42" s="20">
        <f>IF($J42="","출고일 미정",IF($P42="X","작지 미발행",IF($P42="부분","작지 일부 미발행",IF(AND($R42&lt;&gt;"",$R42&gt;$M42),"소재입고 마감("&amp;TEXT($M42,"MM/DD")&amp;") 초과",IF($P42="","발행여부 확인 필요",IF($R42="","소재 입고일정 확인 필요","정상"))))))</f>
        <v/>
      </c>
      <c r="AE42" s="19">
        <f>IF($J42="","",IF(OR(LEFT($AD42,2)="작지",LEFT($AD42,4)="소재입고"),IF(LEFT($G42,1)="A","★ 납기위험(A코드)","◆ 지연주의"),IF($AD42="정상","✓ 정상","? 확인필요")))</f>
        <v/>
      </c>
      <c r="AF42" s="21" t="n"/>
      <c r="AG42" s="28" t="n"/>
    </row>
    <row r="43">
      <c r="A43" s="19" t="n">
        <v>39</v>
      </c>
      <c r="B43" s="20" t="inlineStr">
        <is>
          <t>최진민</t>
        </is>
      </c>
      <c r="C43" s="20" t="inlineStr">
        <is>
          <t>김지원</t>
        </is>
      </c>
      <c r="D43" s="20" t="inlineStr">
        <is>
          <t>JKIBA27402</t>
        </is>
      </c>
      <c r="E43" s="20" t="inlineStr">
        <is>
          <t>여성 PP 슬림핏 베이스레이어 하의</t>
        </is>
      </c>
      <c r="F43" s="20" t="inlineStr">
        <is>
          <t>DEB</t>
        </is>
      </c>
      <c r="G43" s="19">
        <f>IF($D43="","",IF(MID($D43,5,1)="A","A(가을)",IF(MID($D43,5,1)="W","W(겨울)",IF(MID($D43,5,1)="X","X(사계절)",MID($D43,5,1)))))</f>
        <v/>
      </c>
      <c r="H43" s="19" t="inlineStr">
        <is>
          <t>완</t>
        </is>
      </c>
      <c r="I43" s="21" t="inlineStr">
        <is>
          <t>8월3주</t>
        </is>
      </c>
      <c r="J43" s="22">
        <f>IF($I43="","",IFERROR(DATE(기준정보!$C$7,VALUE(LEFT($I43,FIND("월",$I43)-1)),1+7*(VALUE(SUBSTITUTE(MID($I43,FIND("월",$I43)+1,5),"주",""))-1)),""))</f>
        <v/>
      </c>
      <c r="K43" s="22">
        <f>IF($J43="","",IF(AND(ISNUMBER(SEARCH("미얀마",$U43)),$J43-기준정보!$C$5&gt;=기준정보!$C$8,$J43-기준정보!$C$5&lt;=기준정보!$C$9),기준정보!$C$8-1,IF(AND(ISNUMBER(SEARCH("인도네시아",$U43)),$J43-기준정보!$C$5&gt;=기준정보!$C$10,$J43-기준정보!$C$5&lt;=기준정보!$C$11),기준정보!$C$10-1,$J43-기준정보!$C$5)))</f>
        <v/>
      </c>
      <c r="L43" s="23">
        <f>IF($K43="","",IF(ISNUMBER(SEARCH("미얀마",$U43)),MAX(0,MIN($K43,기준정보!$C$9)-MAX($K43-기준정보!$C$6,기준정보!$C$8)+1),IF(ISNUMBER(SEARCH("인도네시아",$U43)),MAX(0,MIN($K43,기준정보!$C$11)-MAX($K43-기준정보!$C$6,기준정보!$C$10)+1),0)))</f>
        <v/>
      </c>
      <c r="M43" s="22">
        <f>IF($K43="","",$K43-기준정보!$C$6-$L43)</f>
        <v/>
      </c>
      <c r="N43" s="24">
        <f>IF($M43="","",$M43-기준정보!$C$4)</f>
        <v/>
      </c>
      <c r="O43" s="21" t="n"/>
      <c r="P43" s="21" t="n"/>
      <c r="Q43" s="21" t="n"/>
      <c r="R43" s="25" t="n"/>
      <c r="S43" s="20">
        <f>IF($H43="","",IF($H43="C","본사(소재팀)",IF($H43="완","생산처","확인 필요")))</f>
        <v/>
      </c>
      <c r="T43" s="20" t="inlineStr">
        <is>
          <t>IKG</t>
        </is>
      </c>
      <c r="U43" s="20" t="inlineStr">
        <is>
          <t>인도네시아</t>
        </is>
      </c>
      <c r="V43" s="20" t="n"/>
      <c r="W43" s="26" t="n"/>
      <c r="X43" s="26" t="n"/>
      <c r="Y43" s="22" t="n"/>
      <c r="Z43" s="27" t="n">
        <v>300</v>
      </c>
      <c r="AA43" s="27" t="n">
        <v>5239500</v>
      </c>
      <c r="AB43" s="27" t="n">
        <v>32400000</v>
      </c>
      <c r="AC43" s="20" t="n"/>
      <c r="AD43" s="20">
        <f>IF($J43="","출고일 미정",IF($P43="X","작지 미발행",IF($P43="부분","작지 일부 미발행",IF(AND($R43&lt;&gt;"",$R43&gt;$M43),"소재입고 마감("&amp;TEXT($M43,"MM/DD")&amp;") 초과",IF($P43="","발행여부 확인 필요",IF($R43="","소재 입고일정 확인 필요","정상"))))))</f>
        <v/>
      </c>
      <c r="AE43" s="19">
        <f>IF($J43="","",IF(OR(LEFT($AD43,2)="작지",LEFT($AD43,4)="소재입고"),IF(LEFT($G43,1)="A","★ 납기위험(A코드)","◆ 지연주의"),IF($AD43="정상","✓ 정상","? 확인필요")))</f>
        <v/>
      </c>
      <c r="AF43" s="21" t="n"/>
      <c r="AG43" s="28" t="n"/>
    </row>
    <row r="44">
      <c r="A44" s="19" t="n">
        <v>40</v>
      </c>
      <c r="B44" s="20" t="inlineStr">
        <is>
          <t>최진민</t>
        </is>
      </c>
      <c r="C44" s="20" t="inlineStr">
        <is>
          <t>김지원</t>
        </is>
      </c>
      <c r="D44" s="20" t="inlineStr">
        <is>
          <t>JKICA27402</t>
        </is>
      </c>
      <c r="E44" s="20" t="inlineStr">
        <is>
          <t>여성 PP 슬림핏 긴팔 베이스레이어 상의</t>
        </is>
      </c>
      <c r="F44" s="20" t="inlineStr">
        <is>
          <t>DEB/PEG</t>
        </is>
      </c>
      <c r="G44" s="19">
        <f>IF($D44="","",IF(MID($D44,5,1)="A","A(가을)",IF(MID($D44,5,1)="W","W(겨울)",IF(MID($D44,5,1)="X","X(사계절)",MID($D44,5,1)))))</f>
        <v/>
      </c>
      <c r="H44" s="19" t="inlineStr">
        <is>
          <t>완</t>
        </is>
      </c>
      <c r="I44" s="21" t="inlineStr">
        <is>
          <t>8월3주</t>
        </is>
      </c>
      <c r="J44" s="22">
        <f>IF($I44="","",IFERROR(DATE(기준정보!$C$7,VALUE(LEFT($I44,FIND("월",$I44)-1)),1+7*(VALUE(SUBSTITUTE(MID($I44,FIND("월",$I44)+1,5),"주",""))-1)),""))</f>
        <v/>
      </c>
      <c r="K44" s="22">
        <f>IF($J44="","",IF(AND(ISNUMBER(SEARCH("미얀마",$U44)),$J44-기준정보!$C$5&gt;=기준정보!$C$8,$J44-기준정보!$C$5&lt;=기준정보!$C$9),기준정보!$C$8-1,IF(AND(ISNUMBER(SEARCH("인도네시아",$U44)),$J44-기준정보!$C$5&gt;=기준정보!$C$10,$J44-기준정보!$C$5&lt;=기준정보!$C$11),기준정보!$C$10-1,$J44-기준정보!$C$5)))</f>
        <v/>
      </c>
      <c r="L44" s="23">
        <f>IF($K44="","",IF(ISNUMBER(SEARCH("미얀마",$U44)),MAX(0,MIN($K44,기준정보!$C$9)-MAX($K44-기준정보!$C$6,기준정보!$C$8)+1),IF(ISNUMBER(SEARCH("인도네시아",$U44)),MAX(0,MIN($K44,기준정보!$C$11)-MAX($K44-기준정보!$C$6,기준정보!$C$10)+1),0)))</f>
        <v/>
      </c>
      <c r="M44" s="22">
        <f>IF($K44="","",$K44-기준정보!$C$6-$L44)</f>
        <v/>
      </c>
      <c r="N44" s="24">
        <f>IF($M44="","",$M44-기준정보!$C$4)</f>
        <v/>
      </c>
      <c r="O44" s="21" t="n"/>
      <c r="P44" s="21" t="n"/>
      <c r="Q44" s="21" t="n"/>
      <c r="R44" s="25" t="n"/>
      <c r="S44" s="20">
        <f>IF($H44="","",IF($H44="C","본사(소재팀)",IF($H44="완","생산처","확인 필요")))</f>
        <v/>
      </c>
      <c r="T44" s="20" t="inlineStr">
        <is>
          <t>IKG</t>
        </is>
      </c>
      <c r="U44" s="20" t="inlineStr">
        <is>
          <t>인도네시아</t>
        </is>
      </c>
      <c r="V44" s="20" t="n"/>
      <c r="W44" s="26" t="n"/>
      <c r="X44" s="26" t="n"/>
      <c r="Y44" s="22" t="n"/>
      <c r="Z44" s="27" t="n">
        <v>350</v>
      </c>
      <c r="AA44" s="27" t="n">
        <v>5233900</v>
      </c>
      <c r="AB44" s="27" t="n">
        <v>41300000</v>
      </c>
      <c r="AC44" s="20" t="n"/>
      <c r="AD44" s="20">
        <f>IF($J44="","출고일 미정",IF($P44="X","작지 미발행",IF($P44="부분","작지 일부 미발행",IF(AND($R44&lt;&gt;"",$R44&gt;$M44),"소재입고 마감("&amp;TEXT($M44,"MM/DD")&amp;") 초과",IF($P44="","발행여부 확인 필요",IF($R44="","소재 입고일정 확인 필요","정상"))))))</f>
        <v/>
      </c>
      <c r="AE44" s="19">
        <f>IF($J44="","",IF(OR(LEFT($AD44,2)="작지",LEFT($AD44,4)="소재입고"),IF(LEFT($G44,1)="A","★ 납기위험(A코드)","◆ 지연주의"),IF($AD44="정상","✓ 정상","? 확인필요")))</f>
        <v/>
      </c>
      <c r="AF44" s="21" t="n"/>
      <c r="AG44" s="28" t="n"/>
    </row>
    <row r="45">
      <c r="A45" s="19" t="n">
        <v>41</v>
      </c>
      <c r="B45" s="20" t="inlineStr">
        <is>
          <t>이재헌</t>
        </is>
      </c>
      <c r="C45" s="20" t="inlineStr">
        <is>
          <t>나영길</t>
        </is>
      </c>
      <c r="D45" s="20" t="inlineStr">
        <is>
          <t>JKJGA27412</t>
        </is>
      </c>
      <c r="E45" s="20" t="inlineStr">
        <is>
          <t>여성 윈드체이서 고어텍스 2L 릴렉스핏 후디드 방수 재킷</t>
        </is>
      </c>
      <c r="F45" s="20" t="inlineStr">
        <is>
          <t>ABE/ASB/DEB</t>
        </is>
      </c>
      <c r="G45" s="19">
        <f>IF($D45="","",IF(MID($D45,5,1)="A","A(가을)",IF(MID($D45,5,1)="W","W(겨울)",IF(MID($D45,5,1)="X","X(사계절)",MID($D45,5,1)))))</f>
        <v/>
      </c>
      <c r="H45" s="19" t="n"/>
      <c r="I45" s="21" t="inlineStr">
        <is>
          <t>8월3주</t>
        </is>
      </c>
      <c r="J45" s="22">
        <f>IF($I45="","",IFERROR(DATE(기준정보!$C$7,VALUE(LEFT($I45,FIND("월",$I45)-1)),1+7*(VALUE(SUBSTITUTE(MID($I45,FIND("월",$I45)+1,5),"주",""))-1)),""))</f>
        <v/>
      </c>
      <c r="K45" s="22">
        <f>IF($J45="","",IF(AND(ISNUMBER(SEARCH("미얀마",$U45)),$J45-기준정보!$C$5&gt;=기준정보!$C$8,$J45-기준정보!$C$5&lt;=기준정보!$C$9),기준정보!$C$8-1,IF(AND(ISNUMBER(SEARCH("인도네시아",$U45)),$J45-기준정보!$C$5&gt;=기준정보!$C$10,$J45-기준정보!$C$5&lt;=기준정보!$C$11),기준정보!$C$10-1,$J45-기준정보!$C$5)))</f>
        <v/>
      </c>
      <c r="L45" s="23">
        <f>IF($K45="","",IF(ISNUMBER(SEARCH("미얀마",$U45)),MAX(0,MIN($K45,기준정보!$C$9)-MAX($K45-기준정보!$C$6,기준정보!$C$8)+1),IF(ISNUMBER(SEARCH("인도네시아",$U45)),MAX(0,MIN($K45,기준정보!$C$11)-MAX($K45-기준정보!$C$6,기준정보!$C$10)+1),0)))</f>
        <v/>
      </c>
      <c r="M45" s="22">
        <f>IF($K45="","",$K45-기준정보!$C$6-$L45)</f>
        <v/>
      </c>
      <c r="N45" s="24">
        <f>IF($M45="","",$M45-기준정보!$C$4)</f>
        <v/>
      </c>
      <c r="O45" s="21" t="n"/>
      <c r="P45" s="21" t="n"/>
      <c r="Q45" s="21" t="n"/>
      <c r="R45" s="25" t="n"/>
      <c r="S45" s="20">
        <f>IF($H45="","",IF($H45="C","본사(소재팀)",IF($H45="완","생산처","확인 필요")))</f>
        <v/>
      </c>
      <c r="T45" s="20" t="inlineStr">
        <is>
          <t>기도</t>
        </is>
      </c>
      <c r="U45" s="20" t="inlineStr">
        <is>
          <t>베트남</t>
        </is>
      </c>
      <c r="V45" s="20" t="n"/>
      <c r="W45" s="26" t="n"/>
      <c r="X45" s="26" t="n"/>
      <c r="Y45" s="22" t="n"/>
      <c r="Z45" s="27" t="n">
        <v>600</v>
      </c>
      <c r="AA45" s="27" t="n">
        <v>72000000</v>
      </c>
      <c r="AB45" s="27" t="n">
        <v>294000000</v>
      </c>
      <c r="AC45" s="20" t="n"/>
      <c r="AD45" s="20">
        <f>IF($J45="","출고일 미정",IF($P45="X","작지 미발행",IF($P45="부분","작지 일부 미발행",IF(AND($R45&lt;&gt;"",$R45&gt;$M45),"소재입고 마감("&amp;TEXT($M45,"MM/DD")&amp;") 초과",IF($P45="","발행여부 확인 필요",IF($R45="","소재 입고일정 확인 필요","정상"))))))</f>
        <v/>
      </c>
      <c r="AE45" s="19">
        <f>IF($J45="","",IF(OR(LEFT($AD45,2)="작지",LEFT($AD45,4)="소재입고"),IF(LEFT($G45,1)="A","★ 납기위험(A코드)","◆ 지연주의"),IF($AD45="정상","✓ 정상","? 확인필요")))</f>
        <v/>
      </c>
      <c r="AF45" s="21" t="n"/>
      <c r="AG45" s="28" t="n"/>
    </row>
    <row r="46">
      <c r="A46" s="19" t="n">
        <v>42</v>
      </c>
      <c r="B46" s="20" t="inlineStr">
        <is>
          <t>이재헌</t>
        </is>
      </c>
      <c r="C46" s="20" t="inlineStr">
        <is>
          <t>나영길</t>
        </is>
      </c>
      <c r="D46" s="20" t="inlineStr">
        <is>
          <t>JKJJA27414</t>
        </is>
      </c>
      <c r="E46" s="20" t="inlineStr">
        <is>
          <t>여성 윈드체이서 릴렉스핏 후디드 방수 재킷</t>
        </is>
      </c>
      <c r="F46" s="20" t="inlineStr">
        <is>
          <t>WGY</t>
        </is>
      </c>
      <c r="G46" s="19">
        <f>IF($D46="","",IF(MID($D46,5,1)="A","A(가을)",IF(MID($D46,5,1)="W","W(겨울)",IF(MID($D46,5,1)="X","X(사계절)",MID($D46,5,1)))))</f>
        <v/>
      </c>
      <c r="H46" s="19" t="n"/>
      <c r="I46" s="21" t="inlineStr">
        <is>
          <t>8월3주</t>
        </is>
      </c>
      <c r="J46" s="22">
        <f>IF($I46="","",IFERROR(DATE(기준정보!$C$7,VALUE(LEFT($I46,FIND("월",$I46)-1)),1+7*(VALUE(SUBSTITUTE(MID($I46,FIND("월",$I46)+1,5),"주",""))-1)),""))</f>
        <v/>
      </c>
      <c r="K46" s="22">
        <f>IF($J46="","",IF(AND(ISNUMBER(SEARCH("미얀마",$U46)),$J46-기준정보!$C$5&gt;=기준정보!$C$8,$J46-기준정보!$C$5&lt;=기준정보!$C$9),기준정보!$C$8-1,IF(AND(ISNUMBER(SEARCH("인도네시아",$U46)),$J46-기준정보!$C$5&gt;=기준정보!$C$10,$J46-기준정보!$C$5&lt;=기준정보!$C$11),기준정보!$C$10-1,$J46-기준정보!$C$5)))</f>
        <v/>
      </c>
      <c r="L46" s="23">
        <f>IF($K46="","",IF(ISNUMBER(SEARCH("미얀마",$U46)),MAX(0,MIN($K46,기준정보!$C$9)-MAX($K46-기준정보!$C$6,기준정보!$C$8)+1),IF(ISNUMBER(SEARCH("인도네시아",$U46)),MAX(0,MIN($K46,기준정보!$C$11)-MAX($K46-기준정보!$C$6,기준정보!$C$10)+1),0)))</f>
        <v/>
      </c>
      <c r="M46" s="22">
        <f>IF($K46="","",$K46-기준정보!$C$6-$L46)</f>
        <v/>
      </c>
      <c r="N46" s="24">
        <f>IF($M46="","",$M46-기준정보!$C$4)</f>
        <v/>
      </c>
      <c r="O46" s="21" t="n"/>
      <c r="P46" s="21" t="n"/>
      <c r="Q46" s="21" t="n"/>
      <c r="R46" s="25" t="n"/>
      <c r="S46" s="20">
        <f>IF($H46="","",IF($H46="C","본사(소재팀)",IF($H46="완","생산처","확인 필요")))</f>
        <v/>
      </c>
      <c r="T46" s="20" t="inlineStr">
        <is>
          <t>기도</t>
        </is>
      </c>
      <c r="U46" s="20" t="inlineStr">
        <is>
          <t>베트남</t>
        </is>
      </c>
      <c r="V46" s="20" t="n"/>
      <c r="W46" s="26" t="n"/>
      <c r="X46" s="26" t="n"/>
      <c r="Y46" s="22" t="n"/>
      <c r="Z46" s="27" t="n">
        <v>50</v>
      </c>
      <c r="AA46" s="27" t="n">
        <v>10000000</v>
      </c>
      <c r="AB46" s="27" t="n">
        <v>44500000</v>
      </c>
      <c r="AC46" s="20" t="n"/>
      <c r="AD46" s="20">
        <f>IF($J46="","출고일 미정",IF($P46="X","작지 미발행",IF($P46="부분","작지 일부 미발행",IF(AND($R46&lt;&gt;"",$R46&gt;$M46),"소재입고 마감("&amp;TEXT($M46,"MM/DD")&amp;") 초과",IF($P46="","발행여부 확인 필요",IF($R46="","소재 입고일정 확인 필요","정상"))))))</f>
        <v/>
      </c>
      <c r="AE46" s="19">
        <f>IF($J46="","",IF(OR(LEFT($AD46,2)="작지",LEFT($AD46,4)="소재입고"),IF(LEFT($G46,1)="A","★ 납기위험(A코드)","◆ 지연주의"),IF($AD46="정상","✓ 정상","? 확인필요")))</f>
        <v/>
      </c>
      <c r="AF46" s="21" t="n"/>
      <c r="AG46" s="28" t="n"/>
    </row>
    <row r="47">
      <c r="A47" s="19" t="n">
        <v>43</v>
      </c>
      <c r="B47" s="20" t="inlineStr">
        <is>
          <t>이재헌</t>
        </is>
      </c>
      <c r="C47" s="20" t="inlineStr">
        <is>
          <t>나영길</t>
        </is>
      </c>
      <c r="D47" s="20" t="inlineStr">
        <is>
          <t>JKJJA27416</t>
        </is>
      </c>
      <c r="E47" s="20" t="inlineStr">
        <is>
          <t>여성 윈드체이서 릴렉스핏 후디드 방수 재킷</t>
        </is>
      </c>
      <c r="F47" s="20" t="inlineStr">
        <is>
          <t>DEB</t>
        </is>
      </c>
      <c r="G47" s="19">
        <f>IF($D47="","",IF(MID($D47,5,1)="A","A(가을)",IF(MID($D47,5,1)="W","W(겨울)",IF(MID($D47,5,1)="X","X(사계절)",MID($D47,5,1)))))</f>
        <v/>
      </c>
      <c r="H47" s="19" t="n"/>
      <c r="I47" s="21" t="inlineStr">
        <is>
          <t>8월3주</t>
        </is>
      </c>
      <c r="J47" s="22">
        <f>IF($I47="","",IFERROR(DATE(기준정보!$C$7,VALUE(LEFT($I47,FIND("월",$I47)-1)),1+7*(VALUE(SUBSTITUTE(MID($I47,FIND("월",$I47)+1,5),"주",""))-1)),""))</f>
        <v/>
      </c>
      <c r="K47" s="22">
        <f>IF($J47="","",IF(AND(ISNUMBER(SEARCH("미얀마",$U47)),$J47-기준정보!$C$5&gt;=기준정보!$C$8,$J47-기준정보!$C$5&lt;=기준정보!$C$9),기준정보!$C$8-1,IF(AND(ISNUMBER(SEARCH("인도네시아",$U47)),$J47-기준정보!$C$5&gt;=기준정보!$C$10,$J47-기준정보!$C$5&lt;=기준정보!$C$11),기준정보!$C$10-1,$J47-기준정보!$C$5)))</f>
        <v/>
      </c>
      <c r="L47" s="23">
        <f>IF($K47="","",IF(ISNUMBER(SEARCH("미얀마",$U47)),MAX(0,MIN($K47,기준정보!$C$9)-MAX($K47-기준정보!$C$6,기준정보!$C$8)+1),IF(ISNUMBER(SEARCH("인도네시아",$U47)),MAX(0,MIN($K47,기준정보!$C$11)-MAX($K47-기준정보!$C$6,기준정보!$C$10)+1),0)))</f>
        <v/>
      </c>
      <c r="M47" s="22">
        <f>IF($K47="","",$K47-기준정보!$C$6-$L47)</f>
        <v/>
      </c>
      <c r="N47" s="24">
        <f>IF($M47="","",$M47-기준정보!$C$4)</f>
        <v/>
      </c>
      <c r="O47" s="21" t="n"/>
      <c r="P47" s="21" t="n"/>
      <c r="Q47" s="21" t="n"/>
      <c r="R47" s="25" t="n"/>
      <c r="S47" s="20">
        <f>IF($H47="","",IF($H47="C","본사(소재팀)",IF($H47="완","생산처","확인 필요")))</f>
        <v/>
      </c>
      <c r="T47" s="20" t="inlineStr">
        <is>
          <t>기도</t>
        </is>
      </c>
      <c r="U47" s="20" t="inlineStr">
        <is>
          <t>베트남</t>
        </is>
      </c>
      <c r="V47" s="20" t="n"/>
      <c r="W47" s="26" t="n"/>
      <c r="X47" s="26" t="n"/>
      <c r="Y47" s="22" t="n"/>
      <c r="Z47" s="27" t="n">
        <v>100</v>
      </c>
      <c r="AA47" s="27" t="n">
        <v>17000000</v>
      </c>
      <c r="AB47" s="27" t="n">
        <v>69000000</v>
      </c>
      <c r="AC47" s="20" t="n"/>
      <c r="AD47" s="20">
        <f>IF($J47="","출고일 미정",IF($P47="X","작지 미발행",IF($P47="부분","작지 일부 미발행",IF(AND($R47&lt;&gt;"",$R47&gt;$M47),"소재입고 마감("&amp;TEXT($M47,"MM/DD")&amp;") 초과",IF($P47="","발행여부 확인 필요",IF($R47="","소재 입고일정 확인 필요","정상"))))))</f>
        <v/>
      </c>
      <c r="AE47" s="19">
        <f>IF($J47="","",IF(OR(LEFT($AD47,2)="작지",LEFT($AD47,4)="소재입고"),IF(LEFT($G47,1)="A","★ 납기위험(A코드)","◆ 지연주의"),IF($AD47="정상","✓ 정상","? 확인필요")))</f>
        <v/>
      </c>
      <c r="AF47" s="21" t="n"/>
      <c r="AG47" s="28" t="n"/>
    </row>
    <row r="48">
      <c r="A48" s="19" t="n">
        <v>44</v>
      </c>
      <c r="B48" s="20" t="inlineStr">
        <is>
          <t>박진아</t>
        </is>
      </c>
      <c r="C48" s="20" t="inlineStr">
        <is>
          <t>김지원</t>
        </is>
      </c>
      <c r="D48" s="20" t="inlineStr">
        <is>
          <t>JKPNA27402</t>
        </is>
      </c>
      <c r="E48" s="20" t="inlineStr">
        <is>
          <t>여성 올라운드 팬츠</t>
        </is>
      </c>
      <c r="F48" s="20" t="inlineStr">
        <is>
          <t>PEG/DEB</t>
        </is>
      </c>
      <c r="G48" s="19">
        <f>IF($D48="","",IF(MID($D48,5,1)="A","A(가을)",IF(MID($D48,5,1)="W","W(겨울)",IF(MID($D48,5,1)="X","X(사계절)",MID($D48,5,1)))))</f>
        <v/>
      </c>
      <c r="H48" s="19" t="n"/>
      <c r="I48" s="21" t="inlineStr">
        <is>
          <t>8월3주</t>
        </is>
      </c>
      <c r="J48" s="22">
        <f>IF($I48="","",IFERROR(DATE(기준정보!$C$7,VALUE(LEFT($I48,FIND("월",$I48)-1)),1+7*(VALUE(SUBSTITUTE(MID($I48,FIND("월",$I48)+1,5),"주",""))-1)),""))</f>
        <v/>
      </c>
      <c r="K48" s="22">
        <f>IF($J48="","",IF(AND(ISNUMBER(SEARCH("미얀마",$U48)),$J48-기준정보!$C$5&gt;=기준정보!$C$8,$J48-기준정보!$C$5&lt;=기준정보!$C$9),기준정보!$C$8-1,IF(AND(ISNUMBER(SEARCH("인도네시아",$U48)),$J48-기준정보!$C$5&gt;=기준정보!$C$10,$J48-기준정보!$C$5&lt;=기준정보!$C$11),기준정보!$C$10-1,$J48-기준정보!$C$5)))</f>
        <v/>
      </c>
      <c r="L48" s="23">
        <f>IF($K48="","",IF(ISNUMBER(SEARCH("미얀마",$U48)),MAX(0,MIN($K48,기준정보!$C$9)-MAX($K48-기준정보!$C$6,기준정보!$C$8)+1),IF(ISNUMBER(SEARCH("인도네시아",$U48)),MAX(0,MIN($K48,기준정보!$C$11)-MAX($K48-기준정보!$C$6,기준정보!$C$10)+1),0)))</f>
        <v/>
      </c>
      <c r="M48" s="22">
        <f>IF($K48="","",$K48-기준정보!$C$6-$L48)</f>
        <v/>
      </c>
      <c r="N48" s="24">
        <f>IF($M48="","",$M48-기준정보!$C$4)</f>
        <v/>
      </c>
      <c r="O48" s="21" t="n"/>
      <c r="P48" s="21" t="n"/>
      <c r="Q48" s="21" t="n"/>
      <c r="R48" s="25" t="n"/>
      <c r="S48" s="20">
        <f>IF($H48="","",IF($H48="C","본사(소재팀)",IF($H48="완","생산처","확인 필요")))</f>
        <v/>
      </c>
      <c r="T48" s="20" t="inlineStr">
        <is>
          <t>TBO</t>
        </is>
      </c>
      <c r="U48" s="20" t="inlineStr">
        <is>
          <t>베트남</t>
        </is>
      </c>
      <c r="V48" s="20" t="n"/>
      <c r="W48" s="26" t="n"/>
      <c r="X48" s="26" t="n"/>
      <c r="Y48" s="22" t="n"/>
      <c r="Z48" s="27" t="n">
        <v>1000</v>
      </c>
      <c r="AA48" s="27" t="n">
        <v>55254000</v>
      </c>
      <c r="AB48" s="27" t="n">
        <v>220000000</v>
      </c>
      <c r="AC48" s="20" t="n"/>
      <c r="AD48" s="20">
        <f>IF($J48="","출고일 미정",IF($P48="X","작지 미발행",IF($P48="부분","작지 일부 미발행",IF(AND($R48&lt;&gt;"",$R48&gt;$M48),"소재입고 마감("&amp;TEXT($M48,"MM/DD")&amp;") 초과",IF($P48="","발행여부 확인 필요",IF($R48="","소재 입고일정 확인 필요","정상"))))))</f>
        <v/>
      </c>
      <c r="AE48" s="19">
        <f>IF($J48="","",IF(OR(LEFT($AD48,2)="작지",LEFT($AD48,4)="소재입고"),IF(LEFT($G48,1)="A","★ 납기위험(A코드)","◆ 지연주의"),IF($AD48="정상","✓ 정상","? 확인필요")))</f>
        <v/>
      </c>
      <c r="AF48" s="21" t="n"/>
      <c r="AG48" s="28" t="n"/>
    </row>
    <row r="49">
      <c r="A49" s="19" t="n">
        <v>45</v>
      </c>
      <c r="B49" s="20" t="inlineStr">
        <is>
          <t>박진아</t>
        </is>
      </c>
      <c r="C49" s="20" t="inlineStr">
        <is>
          <t>김지원</t>
        </is>
      </c>
      <c r="D49" s="20" t="inlineStr">
        <is>
          <t>JKTBA27402</t>
        </is>
      </c>
      <c r="E49" s="20" t="inlineStr">
        <is>
          <t>여성 긴팔 라운드 티셔츠</t>
        </is>
      </c>
      <c r="F49" s="20" t="inlineStr">
        <is>
          <t>AWH/ASB/DEB</t>
        </is>
      </c>
      <c r="G49" s="19">
        <f>IF($D49="","",IF(MID($D49,5,1)="A","A(가을)",IF(MID($D49,5,1)="W","W(겨울)",IF(MID($D49,5,1)="X","X(사계절)",MID($D49,5,1)))))</f>
        <v/>
      </c>
      <c r="H49" s="19" t="n"/>
      <c r="I49" s="21" t="inlineStr">
        <is>
          <t>8월3주</t>
        </is>
      </c>
      <c r="J49" s="22">
        <f>IF($I49="","",IFERROR(DATE(기준정보!$C$7,VALUE(LEFT($I49,FIND("월",$I49)-1)),1+7*(VALUE(SUBSTITUTE(MID($I49,FIND("월",$I49)+1,5),"주",""))-1)),""))</f>
        <v/>
      </c>
      <c r="K49" s="22">
        <f>IF($J49="","",IF(AND(ISNUMBER(SEARCH("미얀마",$U49)),$J49-기준정보!$C$5&gt;=기준정보!$C$8,$J49-기준정보!$C$5&lt;=기준정보!$C$9),기준정보!$C$8-1,IF(AND(ISNUMBER(SEARCH("인도네시아",$U49)),$J49-기준정보!$C$5&gt;=기준정보!$C$10,$J49-기준정보!$C$5&lt;=기준정보!$C$11),기준정보!$C$10-1,$J49-기준정보!$C$5)))</f>
        <v/>
      </c>
      <c r="L49" s="23">
        <f>IF($K49="","",IF(ISNUMBER(SEARCH("미얀마",$U49)),MAX(0,MIN($K49,기준정보!$C$9)-MAX($K49-기준정보!$C$6,기준정보!$C$8)+1),IF(ISNUMBER(SEARCH("인도네시아",$U49)),MAX(0,MIN($K49,기준정보!$C$11)-MAX($K49-기준정보!$C$6,기준정보!$C$10)+1),0)))</f>
        <v/>
      </c>
      <c r="M49" s="22">
        <f>IF($K49="","",$K49-기준정보!$C$6-$L49)</f>
        <v/>
      </c>
      <c r="N49" s="24">
        <f>IF($M49="","",$M49-기준정보!$C$4)</f>
        <v/>
      </c>
      <c r="O49" s="21" t="n"/>
      <c r="P49" s="21" t="n"/>
      <c r="Q49" s="21" t="n"/>
      <c r="R49" s="25" t="n"/>
      <c r="S49" s="20">
        <f>IF($H49="","",IF($H49="C","본사(소재팀)",IF($H49="완","생산처","확인 필요")))</f>
        <v/>
      </c>
      <c r="T49" s="20" t="inlineStr">
        <is>
          <t>장안</t>
        </is>
      </c>
      <c r="U49" s="20" t="inlineStr">
        <is>
          <t>베트남</t>
        </is>
      </c>
      <c r="V49" s="20" t="n"/>
      <c r="W49" s="26" t="n"/>
      <c r="X49" s="26" t="n"/>
      <c r="Y49" s="22" t="n"/>
      <c r="Z49" s="27" t="n">
        <v>300</v>
      </c>
      <c r="AA49" s="27" t="n">
        <v>7174500</v>
      </c>
      <c r="AB49" s="27" t="n">
        <v>35400000</v>
      </c>
      <c r="AC49" s="20" t="n"/>
      <c r="AD49" s="20">
        <f>IF($J49="","출고일 미정",IF($P49="X","작지 미발행",IF($P49="부분","작지 일부 미발행",IF(AND($R49&lt;&gt;"",$R49&gt;$M49),"소재입고 마감("&amp;TEXT($M49,"MM/DD")&amp;") 초과",IF($P49="","발행여부 확인 필요",IF($R49="","소재 입고일정 확인 필요","정상"))))))</f>
        <v/>
      </c>
      <c r="AE49" s="19">
        <f>IF($J49="","",IF(OR(LEFT($AD49,2)="작지",LEFT($AD49,4)="소재입고"),IF(LEFT($G49,1)="A","★ 납기위험(A코드)","◆ 지연주의"),IF($AD49="정상","✓ 정상","? 확인필요")))</f>
        <v/>
      </c>
      <c r="AF49" s="21" t="n"/>
      <c r="AG49" s="28" t="n"/>
    </row>
    <row r="50">
      <c r="A50" s="19" t="n">
        <v>46</v>
      </c>
      <c r="B50" s="20" t="inlineStr">
        <is>
          <t>박진아</t>
        </is>
      </c>
      <c r="C50" s="20" t="inlineStr">
        <is>
          <t>김지원</t>
        </is>
      </c>
      <c r="D50" s="20" t="inlineStr">
        <is>
          <t>JKTCA27402</t>
        </is>
      </c>
      <c r="E50" s="20" t="inlineStr">
        <is>
          <t>여성 반팔 라운드 티셔츠</t>
        </is>
      </c>
      <c r="F50" s="20" t="inlineStr">
        <is>
          <t>EFL/CHR/DEB</t>
        </is>
      </c>
      <c r="G50" s="19">
        <f>IF($D50="","",IF(MID($D50,5,1)="A","A(가을)",IF(MID($D50,5,1)="W","W(겨울)",IF(MID($D50,5,1)="X","X(사계절)",MID($D50,5,1)))))</f>
        <v/>
      </c>
      <c r="H50" s="19" t="n"/>
      <c r="I50" s="21" t="inlineStr">
        <is>
          <t>8월3주</t>
        </is>
      </c>
      <c r="J50" s="22">
        <f>IF($I50="","",IFERROR(DATE(기준정보!$C$7,VALUE(LEFT($I50,FIND("월",$I50)-1)),1+7*(VALUE(SUBSTITUTE(MID($I50,FIND("월",$I50)+1,5),"주",""))-1)),""))</f>
        <v/>
      </c>
      <c r="K50" s="22">
        <f>IF($J50="","",IF(AND(ISNUMBER(SEARCH("미얀마",$U50)),$J50-기준정보!$C$5&gt;=기준정보!$C$8,$J50-기준정보!$C$5&lt;=기준정보!$C$9),기준정보!$C$8-1,IF(AND(ISNUMBER(SEARCH("인도네시아",$U50)),$J50-기준정보!$C$5&gt;=기준정보!$C$10,$J50-기준정보!$C$5&lt;=기준정보!$C$11),기준정보!$C$10-1,$J50-기준정보!$C$5)))</f>
        <v/>
      </c>
      <c r="L50" s="23">
        <f>IF($K50="","",IF(ISNUMBER(SEARCH("미얀마",$U50)),MAX(0,MIN($K50,기준정보!$C$9)-MAX($K50-기준정보!$C$6,기준정보!$C$8)+1),IF(ISNUMBER(SEARCH("인도네시아",$U50)),MAX(0,MIN($K50,기준정보!$C$11)-MAX($K50-기준정보!$C$6,기준정보!$C$10)+1),0)))</f>
        <v/>
      </c>
      <c r="M50" s="22">
        <f>IF($K50="","",$K50-기준정보!$C$6-$L50)</f>
        <v/>
      </c>
      <c r="N50" s="24">
        <f>IF($M50="","",$M50-기준정보!$C$4)</f>
        <v/>
      </c>
      <c r="O50" s="21" t="n"/>
      <c r="P50" s="21" t="n"/>
      <c r="Q50" s="21" t="n"/>
      <c r="R50" s="25" t="n"/>
      <c r="S50" s="20">
        <f>IF($H50="","",IF($H50="C","본사(소재팀)",IF($H50="완","생산처","확인 필요")))</f>
        <v/>
      </c>
      <c r="T50" s="20" t="inlineStr">
        <is>
          <t>장안</t>
        </is>
      </c>
      <c r="U50" s="20" t="inlineStr">
        <is>
          <t>베트남</t>
        </is>
      </c>
      <c r="V50" s="20" t="n"/>
      <c r="W50" s="26" t="n"/>
      <c r="X50" s="26" t="n"/>
      <c r="Y50" s="22" t="n"/>
      <c r="Z50" s="27" t="n">
        <v>500</v>
      </c>
      <c r="AA50" s="27" t="n">
        <v>11240000</v>
      </c>
      <c r="AB50" s="27" t="n">
        <v>44000000</v>
      </c>
      <c r="AC50" s="20" t="n"/>
      <c r="AD50" s="20">
        <f>IF($J50="","출고일 미정",IF($P50="X","작지 미발행",IF($P50="부분","작지 일부 미발행",IF(AND($R50&lt;&gt;"",$R50&gt;$M50),"소재입고 마감("&amp;TEXT($M50,"MM/DD")&amp;") 초과",IF($P50="","발행여부 확인 필요",IF($R50="","소재 입고일정 확인 필요","정상"))))))</f>
        <v/>
      </c>
      <c r="AE50" s="19">
        <f>IF($J50="","",IF(OR(LEFT($AD50,2)="작지",LEFT($AD50,4)="소재입고"),IF(LEFT($G50,1)="A","★ 납기위험(A코드)","◆ 지연주의"),IF($AD50="정상","✓ 정상","? 확인필요")))</f>
        <v/>
      </c>
      <c r="AF50" s="21" t="n"/>
      <c r="AG50" s="28" t="n"/>
    </row>
    <row r="51">
      <c r="A51" s="19" t="n">
        <v>47</v>
      </c>
      <c r="B51" s="20" t="inlineStr">
        <is>
          <t>박진아</t>
        </is>
      </c>
      <c r="C51" s="20" t="inlineStr">
        <is>
          <t>김지원</t>
        </is>
      </c>
      <c r="D51" s="20" t="inlineStr">
        <is>
          <t>JKTCA27404</t>
        </is>
      </c>
      <c r="E51" s="20" t="inlineStr">
        <is>
          <t>여성 반팔 라운드 티셔츠</t>
        </is>
      </c>
      <c r="F51" s="20" t="inlineStr">
        <is>
          <t>EFL/CO2</t>
        </is>
      </c>
      <c r="G51" s="19">
        <f>IF($D51="","",IF(MID($D51,5,1)="A","A(가을)",IF(MID($D51,5,1)="W","W(겨울)",IF(MID($D51,5,1)="X","X(사계절)",MID($D51,5,1)))))</f>
        <v/>
      </c>
      <c r="H51" s="19" t="n"/>
      <c r="I51" s="21" t="inlineStr">
        <is>
          <t>8월3주</t>
        </is>
      </c>
      <c r="J51" s="22">
        <f>IF($I51="","",IFERROR(DATE(기준정보!$C$7,VALUE(LEFT($I51,FIND("월",$I51)-1)),1+7*(VALUE(SUBSTITUTE(MID($I51,FIND("월",$I51)+1,5),"주",""))-1)),""))</f>
        <v/>
      </c>
      <c r="K51" s="22">
        <f>IF($J51="","",IF(AND(ISNUMBER(SEARCH("미얀마",$U51)),$J51-기준정보!$C$5&gt;=기준정보!$C$8,$J51-기준정보!$C$5&lt;=기준정보!$C$9),기준정보!$C$8-1,IF(AND(ISNUMBER(SEARCH("인도네시아",$U51)),$J51-기준정보!$C$5&gt;=기준정보!$C$10,$J51-기준정보!$C$5&lt;=기준정보!$C$11),기준정보!$C$10-1,$J51-기준정보!$C$5)))</f>
        <v/>
      </c>
      <c r="L51" s="23">
        <f>IF($K51="","",IF(ISNUMBER(SEARCH("미얀마",$U51)),MAX(0,MIN($K51,기준정보!$C$9)-MAX($K51-기준정보!$C$6,기준정보!$C$8)+1),IF(ISNUMBER(SEARCH("인도네시아",$U51)),MAX(0,MIN($K51,기준정보!$C$11)-MAX($K51-기준정보!$C$6,기준정보!$C$10)+1),0)))</f>
        <v/>
      </c>
      <c r="M51" s="22">
        <f>IF($K51="","",$K51-기준정보!$C$6-$L51)</f>
        <v/>
      </c>
      <c r="N51" s="24">
        <f>IF($M51="","",$M51-기준정보!$C$4)</f>
        <v/>
      </c>
      <c r="O51" s="21" t="n"/>
      <c r="P51" s="21" t="n"/>
      <c r="Q51" s="21" t="n"/>
      <c r="R51" s="25" t="n"/>
      <c r="S51" s="20">
        <f>IF($H51="","",IF($H51="C","본사(소재팀)",IF($H51="완","생산처","확인 필요")))</f>
        <v/>
      </c>
      <c r="T51" s="20" t="inlineStr">
        <is>
          <t>장안</t>
        </is>
      </c>
      <c r="U51" s="20" t="inlineStr">
        <is>
          <t>베트남</t>
        </is>
      </c>
      <c r="V51" s="20" t="n"/>
      <c r="W51" s="26" t="n"/>
      <c r="X51" s="26" t="n"/>
      <c r="Y51" s="22" t="n"/>
      <c r="Z51" s="27" t="n">
        <v>500</v>
      </c>
      <c r="AA51" s="27" t="n">
        <v>10794000</v>
      </c>
      <c r="AB51" s="27" t="n">
        <v>44000000</v>
      </c>
      <c r="AC51" s="20" t="n"/>
      <c r="AD51" s="20">
        <f>IF($J51="","출고일 미정",IF($P51="X","작지 미발행",IF($P51="부분","작지 일부 미발행",IF(AND($R51&lt;&gt;"",$R51&gt;$M51),"소재입고 마감("&amp;TEXT($M51,"MM/DD")&amp;") 초과",IF($P51="","발행여부 확인 필요",IF($R51="","소재 입고일정 확인 필요","정상"))))))</f>
        <v/>
      </c>
      <c r="AE51" s="19">
        <f>IF($J51="","",IF(OR(LEFT($AD51,2)="작지",LEFT($AD51,4)="소재입고"),IF(LEFT($G51,1)="A","★ 납기위험(A코드)","◆ 지연주의"),IF($AD51="정상","✓ 정상","? 확인필요")))</f>
        <v/>
      </c>
      <c r="AF51" s="21" t="n"/>
      <c r="AG51" s="28" t="n"/>
    </row>
    <row r="52">
      <c r="A52" s="19" t="n">
        <v>48</v>
      </c>
      <c r="B52" s="20" t="inlineStr">
        <is>
          <t>박진아</t>
        </is>
      </c>
      <c r="C52" s="20" t="inlineStr">
        <is>
          <t>김지원</t>
        </is>
      </c>
      <c r="D52" s="20" t="inlineStr">
        <is>
          <t>JNPNA27401</t>
        </is>
      </c>
      <c r="E52" s="20" t="inlineStr">
        <is>
          <t>남녀공용 경량 나일론 팬츠</t>
        </is>
      </c>
      <c r="F52" s="20" t="inlineStr">
        <is>
          <t>NEG/DOE/DEB</t>
        </is>
      </c>
      <c r="G52" s="19">
        <f>IF($D52="","",IF(MID($D52,5,1)="A","A(가을)",IF(MID($D52,5,1)="W","W(겨울)",IF(MID($D52,5,1)="X","X(사계절)",MID($D52,5,1)))))</f>
        <v/>
      </c>
      <c r="H52" s="19" t="n"/>
      <c r="I52" s="21" t="inlineStr">
        <is>
          <t>8월3주</t>
        </is>
      </c>
      <c r="J52" s="22">
        <f>IF($I52="","",IFERROR(DATE(기준정보!$C$7,VALUE(LEFT($I52,FIND("월",$I52)-1)),1+7*(VALUE(SUBSTITUTE(MID($I52,FIND("월",$I52)+1,5),"주",""))-1)),""))</f>
        <v/>
      </c>
      <c r="K52" s="22">
        <f>IF($J52="","",IF(AND(ISNUMBER(SEARCH("미얀마",$U52)),$J52-기준정보!$C$5&gt;=기준정보!$C$8,$J52-기준정보!$C$5&lt;=기준정보!$C$9),기준정보!$C$8-1,IF(AND(ISNUMBER(SEARCH("인도네시아",$U52)),$J52-기준정보!$C$5&gt;=기준정보!$C$10,$J52-기준정보!$C$5&lt;=기준정보!$C$11),기준정보!$C$10-1,$J52-기준정보!$C$5)))</f>
        <v/>
      </c>
      <c r="L52" s="23">
        <f>IF($K52="","",IF(ISNUMBER(SEARCH("미얀마",$U52)),MAX(0,MIN($K52,기준정보!$C$9)-MAX($K52-기준정보!$C$6,기준정보!$C$8)+1),IF(ISNUMBER(SEARCH("인도네시아",$U52)),MAX(0,MIN($K52,기준정보!$C$11)-MAX($K52-기준정보!$C$6,기준정보!$C$10)+1),0)))</f>
        <v/>
      </c>
      <c r="M52" s="22">
        <f>IF($K52="","",$K52-기준정보!$C$6-$L52)</f>
        <v/>
      </c>
      <c r="N52" s="24">
        <f>IF($M52="","",$M52-기준정보!$C$4)</f>
        <v/>
      </c>
      <c r="O52" s="21" t="n"/>
      <c r="P52" s="21" t="n"/>
      <c r="Q52" s="21" t="n"/>
      <c r="R52" s="25" t="n"/>
      <c r="S52" s="20">
        <f>IF($H52="","",IF($H52="C","본사(소재팀)",IF($H52="완","생산처","확인 필요")))</f>
        <v/>
      </c>
      <c r="T52" s="20" t="inlineStr">
        <is>
          <t>TBO</t>
        </is>
      </c>
      <c r="U52" s="20" t="inlineStr">
        <is>
          <t>베트남</t>
        </is>
      </c>
      <c r="V52" s="20" t="n"/>
      <c r="W52" s="26" t="n"/>
      <c r="X52" s="26" t="n"/>
      <c r="Y52" s="22" t="n"/>
      <c r="Z52" s="27" t="n">
        <v>800</v>
      </c>
      <c r="AA52" s="27" t="n">
        <v>45103200</v>
      </c>
      <c r="AB52" s="27" t="n">
        <v>176000000</v>
      </c>
      <c r="AC52" s="20" t="n"/>
      <c r="AD52" s="20">
        <f>IF($J52="","출고일 미정",IF($P52="X","작지 미발행",IF($P52="부분","작지 일부 미발행",IF(AND($R52&lt;&gt;"",$R52&gt;$M52),"소재입고 마감("&amp;TEXT($M52,"MM/DD")&amp;") 초과",IF($P52="","발행여부 확인 필요",IF($R52="","소재 입고일정 확인 필요","정상"))))))</f>
        <v/>
      </c>
      <c r="AE52" s="19">
        <f>IF($J52="","",IF(OR(LEFT($AD52,2)="작지",LEFT($AD52,4)="소재입고"),IF(LEFT($G52,1)="A","★ 납기위험(A코드)","◆ 지연주의"),IF($AD52="정상","✓ 정상","? 확인필요")))</f>
        <v/>
      </c>
      <c r="AF52" s="21" t="n"/>
      <c r="AG52" s="28" t="n"/>
    </row>
    <row r="53">
      <c r="A53" s="19" t="n">
        <v>49</v>
      </c>
      <c r="B53" s="20" t="inlineStr">
        <is>
          <t>박진아</t>
        </is>
      </c>
      <c r="C53" s="20" t="inlineStr">
        <is>
          <t>나영길</t>
        </is>
      </c>
      <c r="D53" s="20" t="inlineStr">
        <is>
          <t>JNPNA27403</t>
        </is>
      </c>
      <c r="E53" s="20" t="inlineStr">
        <is>
          <t>남녀공용 투웨이 디테처블 팬츠</t>
        </is>
      </c>
      <c r="F53" s="20" t="inlineStr">
        <is>
          <t>PEG/CTP</t>
        </is>
      </c>
      <c r="G53" s="19">
        <f>IF($D53="","",IF(MID($D53,5,1)="A","A(가을)",IF(MID($D53,5,1)="W","W(겨울)",IF(MID($D53,5,1)="X","X(사계절)",MID($D53,5,1)))))</f>
        <v/>
      </c>
      <c r="H53" s="19" t="n"/>
      <c r="I53" s="21" t="inlineStr">
        <is>
          <t>8월3주</t>
        </is>
      </c>
      <c r="J53" s="22">
        <f>IF($I53="","",IFERROR(DATE(기준정보!$C$7,VALUE(LEFT($I53,FIND("월",$I53)-1)),1+7*(VALUE(SUBSTITUTE(MID($I53,FIND("월",$I53)+1,5),"주",""))-1)),""))</f>
        <v/>
      </c>
      <c r="K53" s="22">
        <f>IF($J53="","",IF(AND(ISNUMBER(SEARCH("미얀마",$U53)),$J53-기준정보!$C$5&gt;=기준정보!$C$8,$J53-기준정보!$C$5&lt;=기준정보!$C$9),기준정보!$C$8-1,IF(AND(ISNUMBER(SEARCH("인도네시아",$U53)),$J53-기준정보!$C$5&gt;=기준정보!$C$10,$J53-기준정보!$C$5&lt;=기준정보!$C$11),기준정보!$C$10-1,$J53-기준정보!$C$5)))</f>
        <v/>
      </c>
      <c r="L53" s="23">
        <f>IF($K53="","",IF(ISNUMBER(SEARCH("미얀마",$U53)),MAX(0,MIN($K53,기준정보!$C$9)-MAX($K53-기준정보!$C$6,기준정보!$C$8)+1),IF(ISNUMBER(SEARCH("인도네시아",$U53)),MAX(0,MIN($K53,기준정보!$C$11)-MAX($K53-기준정보!$C$6,기준정보!$C$10)+1),0)))</f>
        <v/>
      </c>
      <c r="M53" s="22">
        <f>IF($K53="","",$K53-기준정보!$C$6-$L53)</f>
        <v/>
      </c>
      <c r="N53" s="24">
        <f>IF($M53="","",$M53-기준정보!$C$4)</f>
        <v/>
      </c>
      <c r="O53" s="21" t="n"/>
      <c r="P53" s="21" t="n"/>
      <c r="Q53" s="21" t="n"/>
      <c r="R53" s="25" t="n"/>
      <c r="S53" s="20">
        <f>IF($H53="","",IF($H53="C","본사(소재팀)",IF($H53="완","생산처","확인 필요")))</f>
        <v/>
      </c>
      <c r="T53" s="20" t="inlineStr">
        <is>
          <t>YIC</t>
        </is>
      </c>
      <c r="U53" s="20" t="inlineStr">
        <is>
          <t>베트남</t>
        </is>
      </c>
      <c r="V53" s="20" t="n"/>
      <c r="W53" s="26" t="n"/>
      <c r="X53" s="26" t="n"/>
      <c r="Y53" s="22" t="n"/>
      <c r="Z53" s="27" t="n">
        <v>500</v>
      </c>
      <c r="AA53" s="27" t="n">
        <v>28807000</v>
      </c>
      <c r="AB53" s="27" t="n">
        <v>125000000</v>
      </c>
      <c r="AC53" s="20" t="n"/>
      <c r="AD53" s="20">
        <f>IF($J53="","출고일 미정",IF($P53="X","작지 미발행",IF($P53="부분","작지 일부 미발행",IF(AND($R53&lt;&gt;"",$R53&gt;$M53),"소재입고 마감("&amp;TEXT($M53,"MM/DD")&amp;") 초과",IF($P53="","발행여부 확인 필요",IF($R53="","소재 입고일정 확인 필요","정상"))))))</f>
        <v/>
      </c>
      <c r="AE53" s="19">
        <f>IF($J53="","",IF(OR(LEFT($AD53,2)="작지",LEFT($AD53,4)="소재입고"),IF(LEFT($G53,1)="A","★ 납기위험(A코드)","◆ 지연주의"),IF($AD53="정상","✓ 정상","? 확인필요")))</f>
        <v/>
      </c>
      <c r="AF53" s="21" t="n"/>
      <c r="AG53" s="28" t="n"/>
    </row>
    <row r="54">
      <c r="A54" s="19" t="n">
        <v>50</v>
      </c>
      <c r="B54" s="20" t="inlineStr">
        <is>
          <t>박진아</t>
        </is>
      </c>
      <c r="C54" s="20" t="inlineStr">
        <is>
          <t>김지원</t>
        </is>
      </c>
      <c r="D54" s="20" t="inlineStr">
        <is>
          <t>JNTBA27403</t>
        </is>
      </c>
      <c r="E54" s="20" t="inlineStr">
        <is>
          <t>남녀공용 베이직 릴렉스핏 긴팔 라운드 티셔츠</t>
        </is>
      </c>
      <c r="F54" s="20" t="inlineStr">
        <is>
          <t>CO1/CO2</t>
        </is>
      </c>
      <c r="G54" s="19">
        <f>IF($D54="","",IF(MID($D54,5,1)="A","A(가을)",IF(MID($D54,5,1)="W","W(겨울)",IF(MID($D54,5,1)="X","X(사계절)",MID($D54,5,1)))))</f>
        <v/>
      </c>
      <c r="H54" s="19" t="n"/>
      <c r="I54" s="21" t="inlineStr">
        <is>
          <t>8월3주</t>
        </is>
      </c>
      <c r="J54" s="22">
        <f>IF($I54="","",IFERROR(DATE(기준정보!$C$7,VALUE(LEFT($I54,FIND("월",$I54)-1)),1+7*(VALUE(SUBSTITUTE(MID($I54,FIND("월",$I54)+1,5),"주",""))-1)),""))</f>
        <v/>
      </c>
      <c r="K54" s="22">
        <f>IF($J54="","",IF(AND(ISNUMBER(SEARCH("미얀마",$U54)),$J54-기준정보!$C$5&gt;=기준정보!$C$8,$J54-기준정보!$C$5&lt;=기준정보!$C$9),기준정보!$C$8-1,IF(AND(ISNUMBER(SEARCH("인도네시아",$U54)),$J54-기준정보!$C$5&gt;=기준정보!$C$10,$J54-기준정보!$C$5&lt;=기준정보!$C$11),기준정보!$C$10-1,$J54-기준정보!$C$5)))</f>
        <v/>
      </c>
      <c r="L54" s="23">
        <f>IF($K54="","",IF(ISNUMBER(SEARCH("미얀마",$U54)),MAX(0,MIN($K54,기준정보!$C$9)-MAX($K54-기준정보!$C$6,기준정보!$C$8)+1),IF(ISNUMBER(SEARCH("인도네시아",$U54)),MAX(0,MIN($K54,기준정보!$C$11)-MAX($K54-기준정보!$C$6,기준정보!$C$10)+1),0)))</f>
        <v/>
      </c>
      <c r="M54" s="22">
        <f>IF($K54="","",$K54-기준정보!$C$6-$L54)</f>
        <v/>
      </c>
      <c r="N54" s="24">
        <f>IF($M54="","",$M54-기준정보!$C$4)</f>
        <v/>
      </c>
      <c r="O54" s="21" t="n"/>
      <c r="P54" s="21" t="n"/>
      <c r="Q54" s="21" t="n"/>
      <c r="R54" s="25" t="n"/>
      <c r="S54" s="20">
        <f>IF($H54="","",IF($H54="C","본사(소재팀)",IF($H54="완","생산처","확인 필요")))</f>
        <v/>
      </c>
      <c r="T54" s="20" t="inlineStr">
        <is>
          <t>장안</t>
        </is>
      </c>
      <c r="U54" s="20" t="inlineStr">
        <is>
          <t>베트남</t>
        </is>
      </c>
      <c r="V54" s="20" t="n"/>
      <c r="W54" s="26" t="n"/>
      <c r="X54" s="26" t="n"/>
      <c r="Y54" s="22" t="n"/>
      <c r="Z54" s="27" t="n">
        <v>300</v>
      </c>
      <c r="AA54" s="27" t="n">
        <v>10384800</v>
      </c>
      <c r="AB54" s="27" t="n">
        <v>38400000</v>
      </c>
      <c r="AC54" s="20" t="n"/>
      <c r="AD54" s="20">
        <f>IF($J54="","출고일 미정",IF($P54="X","작지 미발행",IF($P54="부분","작지 일부 미발행",IF(AND($R54&lt;&gt;"",$R54&gt;$M54),"소재입고 마감("&amp;TEXT($M54,"MM/DD")&amp;") 초과",IF($P54="","발행여부 확인 필요",IF($R54="","소재 입고일정 확인 필요","정상"))))))</f>
        <v/>
      </c>
      <c r="AE54" s="19">
        <f>IF($J54="","",IF(OR(LEFT($AD54,2)="작지",LEFT($AD54,4)="소재입고"),IF(LEFT($G54,1)="A","★ 납기위험(A코드)","◆ 지연주의"),IF($AD54="정상","✓ 정상","? 확인필요")))</f>
        <v/>
      </c>
      <c r="AF54" s="21" t="n"/>
      <c r="AG54" s="28" t="n"/>
    </row>
    <row r="55">
      <c r="A55" s="19" t="n">
        <v>51</v>
      </c>
      <c r="B55" s="20" t="inlineStr">
        <is>
          <t>최진민</t>
        </is>
      </c>
      <c r="C55" s="20" t="inlineStr">
        <is>
          <t>김지원</t>
        </is>
      </c>
      <c r="D55" s="20" t="inlineStr">
        <is>
          <t>JWIBA27401</t>
        </is>
      </c>
      <c r="E55" s="20" t="inlineStr">
        <is>
          <t>남성 PP 슬림핏 베이스레이어 하의</t>
        </is>
      </c>
      <c r="F55" s="20" t="inlineStr">
        <is>
          <t>DEB</t>
        </is>
      </c>
      <c r="G55" s="19">
        <f>IF($D55="","",IF(MID($D55,5,1)="A","A(가을)",IF(MID($D55,5,1)="W","W(겨울)",IF(MID($D55,5,1)="X","X(사계절)",MID($D55,5,1)))))</f>
        <v/>
      </c>
      <c r="H55" s="19" t="inlineStr">
        <is>
          <t>완</t>
        </is>
      </c>
      <c r="I55" s="21" t="inlineStr">
        <is>
          <t>8월3주</t>
        </is>
      </c>
      <c r="J55" s="22">
        <f>IF($I55="","",IFERROR(DATE(기준정보!$C$7,VALUE(LEFT($I55,FIND("월",$I55)-1)),1+7*(VALUE(SUBSTITUTE(MID($I55,FIND("월",$I55)+1,5),"주",""))-1)),""))</f>
        <v/>
      </c>
      <c r="K55" s="22">
        <f>IF($J55="","",IF(AND(ISNUMBER(SEARCH("미얀마",$U55)),$J55-기준정보!$C$5&gt;=기준정보!$C$8,$J55-기준정보!$C$5&lt;=기준정보!$C$9),기준정보!$C$8-1,IF(AND(ISNUMBER(SEARCH("인도네시아",$U55)),$J55-기준정보!$C$5&gt;=기준정보!$C$10,$J55-기준정보!$C$5&lt;=기준정보!$C$11),기준정보!$C$10-1,$J55-기준정보!$C$5)))</f>
        <v/>
      </c>
      <c r="L55" s="23">
        <f>IF($K55="","",IF(ISNUMBER(SEARCH("미얀마",$U55)),MAX(0,MIN($K55,기준정보!$C$9)-MAX($K55-기준정보!$C$6,기준정보!$C$8)+1),IF(ISNUMBER(SEARCH("인도네시아",$U55)),MAX(0,MIN($K55,기준정보!$C$11)-MAX($K55-기준정보!$C$6,기준정보!$C$10)+1),0)))</f>
        <v/>
      </c>
      <c r="M55" s="22">
        <f>IF($K55="","",$K55-기준정보!$C$6-$L55)</f>
        <v/>
      </c>
      <c r="N55" s="24">
        <f>IF($M55="","",$M55-기준정보!$C$4)</f>
        <v/>
      </c>
      <c r="O55" s="21" t="n"/>
      <c r="P55" s="21" t="n"/>
      <c r="Q55" s="21" t="n"/>
      <c r="R55" s="25" t="n"/>
      <c r="S55" s="20">
        <f>IF($H55="","",IF($H55="C","본사(소재팀)",IF($H55="완","생산처","확인 필요")))</f>
        <v/>
      </c>
      <c r="T55" s="20" t="inlineStr">
        <is>
          <t>IKG</t>
        </is>
      </c>
      <c r="U55" s="20" t="inlineStr">
        <is>
          <t>인도네시아</t>
        </is>
      </c>
      <c r="V55" s="20" t="n"/>
      <c r="W55" s="26" t="n"/>
      <c r="X55" s="26" t="n"/>
      <c r="Y55" s="22" t="n"/>
      <c r="Z55" s="27" t="n">
        <v>400</v>
      </c>
      <c r="AA55" s="27" t="n">
        <v>7602000</v>
      </c>
      <c r="AB55" s="27" t="n">
        <v>43200000</v>
      </c>
      <c r="AC55" s="20" t="n"/>
      <c r="AD55" s="20">
        <f>IF($J55="","출고일 미정",IF($P55="X","작지 미발행",IF($P55="부분","작지 일부 미발행",IF(AND($R55&lt;&gt;"",$R55&gt;$M55),"소재입고 마감("&amp;TEXT($M55,"MM/DD")&amp;") 초과",IF($P55="","발행여부 확인 필요",IF($R55="","소재 입고일정 확인 필요","정상"))))))</f>
        <v/>
      </c>
      <c r="AE55" s="19">
        <f>IF($J55="","",IF(OR(LEFT($AD55,2)="작지",LEFT($AD55,4)="소재입고"),IF(LEFT($G55,1)="A","★ 납기위험(A코드)","◆ 지연주의"),IF($AD55="정상","✓ 정상","? 확인필요")))</f>
        <v/>
      </c>
      <c r="AF55" s="21" t="n"/>
      <c r="AG55" s="28" t="n"/>
    </row>
    <row r="56">
      <c r="A56" s="19" t="n">
        <v>52</v>
      </c>
      <c r="B56" s="20" t="inlineStr">
        <is>
          <t>최진민</t>
        </is>
      </c>
      <c r="C56" s="20" t="inlineStr">
        <is>
          <t>김지원</t>
        </is>
      </c>
      <c r="D56" s="20" t="inlineStr">
        <is>
          <t>JWICA27401</t>
        </is>
      </c>
      <c r="E56" s="20" t="inlineStr">
        <is>
          <t>남성 PP 슬림핏 긴팔 베이스레이어 상의</t>
        </is>
      </c>
      <c r="F56" s="20" t="inlineStr">
        <is>
          <t>PEG/DEB</t>
        </is>
      </c>
      <c r="G56" s="19">
        <f>IF($D56="","",IF(MID($D56,5,1)="A","A(가을)",IF(MID($D56,5,1)="W","W(겨울)",IF(MID($D56,5,1)="X","X(사계절)",MID($D56,5,1)))))</f>
        <v/>
      </c>
      <c r="H56" s="19" t="inlineStr">
        <is>
          <t>완</t>
        </is>
      </c>
      <c r="I56" s="21" t="inlineStr">
        <is>
          <t>8월3주</t>
        </is>
      </c>
      <c r="J56" s="22">
        <f>IF($I56="","",IFERROR(DATE(기준정보!$C$7,VALUE(LEFT($I56,FIND("월",$I56)-1)),1+7*(VALUE(SUBSTITUTE(MID($I56,FIND("월",$I56)+1,5),"주",""))-1)),""))</f>
        <v/>
      </c>
      <c r="K56" s="22">
        <f>IF($J56="","",IF(AND(ISNUMBER(SEARCH("미얀마",$U56)),$J56-기준정보!$C$5&gt;=기준정보!$C$8,$J56-기준정보!$C$5&lt;=기준정보!$C$9),기준정보!$C$8-1,IF(AND(ISNUMBER(SEARCH("인도네시아",$U56)),$J56-기준정보!$C$5&gt;=기준정보!$C$10,$J56-기준정보!$C$5&lt;=기준정보!$C$11),기준정보!$C$10-1,$J56-기준정보!$C$5)))</f>
        <v/>
      </c>
      <c r="L56" s="23">
        <f>IF($K56="","",IF(ISNUMBER(SEARCH("미얀마",$U56)),MAX(0,MIN($K56,기준정보!$C$9)-MAX($K56-기준정보!$C$6,기준정보!$C$8)+1),IF(ISNUMBER(SEARCH("인도네시아",$U56)),MAX(0,MIN($K56,기준정보!$C$11)-MAX($K56-기준정보!$C$6,기준정보!$C$10)+1),0)))</f>
        <v/>
      </c>
      <c r="M56" s="22">
        <f>IF($K56="","",$K56-기준정보!$C$6-$L56)</f>
        <v/>
      </c>
      <c r="N56" s="24">
        <f>IF($M56="","",$M56-기준정보!$C$4)</f>
        <v/>
      </c>
      <c r="O56" s="21" t="n"/>
      <c r="P56" s="21" t="n"/>
      <c r="Q56" s="21" t="n"/>
      <c r="R56" s="25" t="n"/>
      <c r="S56" s="20">
        <f>IF($H56="","",IF($H56="C","본사(소재팀)",IF($H56="완","생산처","확인 필요")))</f>
        <v/>
      </c>
      <c r="T56" s="20" t="inlineStr">
        <is>
          <t>IKG</t>
        </is>
      </c>
      <c r="U56" s="20" t="inlineStr">
        <is>
          <t>인도네시아</t>
        </is>
      </c>
      <c r="V56" s="20" t="n"/>
      <c r="W56" s="26" t="n"/>
      <c r="X56" s="26" t="n"/>
      <c r="Y56" s="22" t="n"/>
      <c r="Z56" s="27" t="n">
        <v>500</v>
      </c>
      <c r="AA56" s="27" t="n">
        <v>15000000</v>
      </c>
      <c r="AB56" s="27" t="n">
        <v>59000000</v>
      </c>
      <c r="AC56" s="20" t="n"/>
      <c r="AD56" s="20">
        <f>IF($J56="","출고일 미정",IF($P56="X","작지 미발행",IF($P56="부분","작지 일부 미발행",IF(AND($R56&lt;&gt;"",$R56&gt;$M56),"소재입고 마감("&amp;TEXT($M56,"MM/DD")&amp;") 초과",IF($P56="","발행여부 확인 필요",IF($R56="","소재 입고일정 확인 필요","정상"))))))</f>
        <v/>
      </c>
      <c r="AE56" s="19">
        <f>IF($J56="","",IF(OR(LEFT($AD56,2)="작지",LEFT($AD56,4)="소재입고"),IF(LEFT($G56,1)="A","★ 납기위험(A코드)","◆ 지연주의"),IF($AD56="정상","✓ 정상","? 확인필요")))</f>
        <v/>
      </c>
      <c r="AF56" s="21" t="n"/>
      <c r="AG56" s="28" t="n"/>
    </row>
    <row r="57">
      <c r="A57" s="19" t="n">
        <v>53</v>
      </c>
      <c r="B57" s="20" t="inlineStr">
        <is>
          <t>이재헌</t>
        </is>
      </c>
      <c r="C57" s="20" t="inlineStr">
        <is>
          <t>나영길</t>
        </is>
      </c>
      <c r="D57" s="20" t="inlineStr">
        <is>
          <t>JWJGA27411</t>
        </is>
      </c>
      <c r="E57" s="20" t="inlineStr">
        <is>
          <t>남성 윈드체이서 고어텍스 2L 릴렉스핏 후디드 방수 재킷</t>
        </is>
      </c>
      <c r="F57" s="20" t="inlineStr">
        <is>
          <t>NEG/DOE/DEB</t>
        </is>
      </c>
      <c r="G57" s="19">
        <f>IF($D57="","",IF(MID($D57,5,1)="A","A(가을)",IF(MID($D57,5,1)="W","W(겨울)",IF(MID($D57,5,1)="X","X(사계절)",MID($D57,5,1)))))</f>
        <v/>
      </c>
      <c r="H57" s="19" t="n"/>
      <c r="I57" s="21" t="inlineStr">
        <is>
          <t>8월3주</t>
        </is>
      </c>
      <c r="J57" s="22">
        <f>IF($I57="","",IFERROR(DATE(기준정보!$C$7,VALUE(LEFT($I57,FIND("월",$I57)-1)),1+7*(VALUE(SUBSTITUTE(MID($I57,FIND("월",$I57)+1,5),"주",""))-1)),""))</f>
        <v/>
      </c>
      <c r="K57" s="22">
        <f>IF($J57="","",IF(AND(ISNUMBER(SEARCH("미얀마",$U57)),$J57-기준정보!$C$5&gt;=기준정보!$C$8,$J57-기준정보!$C$5&lt;=기준정보!$C$9),기준정보!$C$8-1,IF(AND(ISNUMBER(SEARCH("인도네시아",$U57)),$J57-기준정보!$C$5&gt;=기준정보!$C$10,$J57-기준정보!$C$5&lt;=기준정보!$C$11),기준정보!$C$10-1,$J57-기준정보!$C$5)))</f>
        <v/>
      </c>
      <c r="L57" s="23">
        <f>IF($K57="","",IF(ISNUMBER(SEARCH("미얀마",$U57)),MAX(0,MIN($K57,기준정보!$C$9)-MAX($K57-기준정보!$C$6,기준정보!$C$8)+1),IF(ISNUMBER(SEARCH("인도네시아",$U57)),MAX(0,MIN($K57,기준정보!$C$11)-MAX($K57-기준정보!$C$6,기준정보!$C$10)+1),0)))</f>
        <v/>
      </c>
      <c r="M57" s="22">
        <f>IF($K57="","",$K57-기준정보!$C$6-$L57)</f>
        <v/>
      </c>
      <c r="N57" s="24">
        <f>IF($M57="","",$M57-기준정보!$C$4)</f>
        <v/>
      </c>
      <c r="O57" s="21" t="n"/>
      <c r="P57" s="21" t="n"/>
      <c r="Q57" s="21" t="n"/>
      <c r="R57" s="25" t="n"/>
      <c r="S57" s="20">
        <f>IF($H57="","",IF($H57="C","본사(소재팀)",IF($H57="완","생산처","확인 필요")))</f>
        <v/>
      </c>
      <c r="T57" s="20" t="inlineStr">
        <is>
          <t>기도</t>
        </is>
      </c>
      <c r="U57" s="20" t="inlineStr">
        <is>
          <t>베트남</t>
        </is>
      </c>
      <c r="V57" s="20" t="n"/>
      <c r="W57" s="26" t="n"/>
      <c r="X57" s="26" t="n"/>
      <c r="Y57" s="22" t="n"/>
      <c r="Z57" s="27" t="n">
        <v>850</v>
      </c>
      <c r="AA57" s="27" t="n">
        <v>102000000</v>
      </c>
      <c r="AB57" s="27" t="n">
        <v>416500000</v>
      </c>
      <c r="AC57" s="20" t="n"/>
      <c r="AD57" s="20">
        <f>IF($J57="","출고일 미정",IF($P57="X","작지 미발행",IF($P57="부분","작지 일부 미발행",IF(AND($R57&lt;&gt;"",$R57&gt;$M57),"소재입고 마감("&amp;TEXT($M57,"MM/DD")&amp;") 초과",IF($P57="","발행여부 확인 필요",IF($R57="","소재 입고일정 확인 필요","정상"))))))</f>
        <v/>
      </c>
      <c r="AE57" s="19">
        <f>IF($J57="","",IF(OR(LEFT($AD57,2)="작지",LEFT($AD57,4)="소재입고"),IF(LEFT($G57,1)="A","★ 납기위험(A코드)","◆ 지연주의"),IF($AD57="정상","✓ 정상","? 확인필요")))</f>
        <v/>
      </c>
      <c r="AF57" s="21" t="n"/>
      <c r="AG57" s="28" t="n"/>
    </row>
    <row r="58">
      <c r="A58" s="19" t="n">
        <v>54</v>
      </c>
      <c r="B58" s="20" t="inlineStr">
        <is>
          <t>이재헌</t>
        </is>
      </c>
      <c r="C58" s="20" t="inlineStr">
        <is>
          <t>나영길</t>
        </is>
      </c>
      <c r="D58" s="20" t="inlineStr">
        <is>
          <t>JWJJA27413</t>
        </is>
      </c>
      <c r="E58" s="20" t="inlineStr">
        <is>
          <t>남성 윈드체이서 릴렉스핏 후디드 방수 재킷</t>
        </is>
      </c>
      <c r="F58" s="20" t="inlineStr">
        <is>
          <t>WHY</t>
        </is>
      </c>
      <c r="G58" s="19">
        <f>IF($D58="","",IF(MID($D58,5,1)="A","A(가을)",IF(MID($D58,5,1)="W","W(겨울)",IF(MID($D58,5,1)="X","X(사계절)",MID($D58,5,1)))))</f>
        <v/>
      </c>
      <c r="H58" s="19" t="n"/>
      <c r="I58" s="21" t="inlineStr">
        <is>
          <t>8월3주</t>
        </is>
      </c>
      <c r="J58" s="22">
        <f>IF($I58="","",IFERROR(DATE(기준정보!$C$7,VALUE(LEFT($I58,FIND("월",$I58)-1)),1+7*(VALUE(SUBSTITUTE(MID($I58,FIND("월",$I58)+1,5),"주",""))-1)),""))</f>
        <v/>
      </c>
      <c r="K58" s="22">
        <f>IF($J58="","",IF(AND(ISNUMBER(SEARCH("미얀마",$U58)),$J58-기준정보!$C$5&gt;=기준정보!$C$8,$J58-기준정보!$C$5&lt;=기준정보!$C$9),기준정보!$C$8-1,IF(AND(ISNUMBER(SEARCH("인도네시아",$U58)),$J58-기준정보!$C$5&gt;=기준정보!$C$10,$J58-기준정보!$C$5&lt;=기준정보!$C$11),기준정보!$C$10-1,$J58-기준정보!$C$5)))</f>
        <v/>
      </c>
      <c r="L58" s="23">
        <f>IF($K58="","",IF(ISNUMBER(SEARCH("미얀마",$U58)),MAX(0,MIN($K58,기준정보!$C$9)-MAX($K58-기준정보!$C$6,기준정보!$C$8)+1),IF(ISNUMBER(SEARCH("인도네시아",$U58)),MAX(0,MIN($K58,기준정보!$C$11)-MAX($K58-기준정보!$C$6,기준정보!$C$10)+1),0)))</f>
        <v/>
      </c>
      <c r="M58" s="22">
        <f>IF($K58="","",$K58-기준정보!$C$6-$L58)</f>
        <v/>
      </c>
      <c r="N58" s="24">
        <f>IF($M58="","",$M58-기준정보!$C$4)</f>
        <v/>
      </c>
      <c r="O58" s="21" t="n"/>
      <c r="P58" s="21" t="n"/>
      <c r="Q58" s="21" t="n"/>
      <c r="R58" s="25" t="n"/>
      <c r="S58" s="20">
        <f>IF($H58="","",IF($H58="C","본사(소재팀)",IF($H58="완","생산처","확인 필요")))</f>
        <v/>
      </c>
      <c r="T58" s="20" t="inlineStr">
        <is>
          <t>기도</t>
        </is>
      </c>
      <c r="U58" s="20" t="inlineStr">
        <is>
          <t>베트남</t>
        </is>
      </c>
      <c r="V58" s="20" t="n"/>
      <c r="W58" s="26" t="n"/>
      <c r="X58" s="26" t="n"/>
      <c r="Y58" s="22" t="n"/>
      <c r="Z58" s="27" t="n">
        <v>50</v>
      </c>
      <c r="AA58" s="27" t="n">
        <v>10000000</v>
      </c>
      <c r="AB58" s="27" t="n">
        <v>44500000</v>
      </c>
      <c r="AC58" s="20" t="n"/>
      <c r="AD58" s="20">
        <f>IF($J58="","출고일 미정",IF($P58="X","작지 미발행",IF($P58="부분","작지 일부 미발행",IF(AND($R58&lt;&gt;"",$R58&gt;$M58),"소재입고 마감("&amp;TEXT($M58,"MM/DD")&amp;") 초과",IF($P58="","발행여부 확인 필요",IF($R58="","소재 입고일정 확인 필요","정상"))))))</f>
        <v/>
      </c>
      <c r="AE58" s="19">
        <f>IF($J58="","",IF(OR(LEFT($AD58,2)="작지",LEFT($AD58,4)="소재입고"),IF(LEFT($G58,1)="A","★ 납기위험(A코드)","◆ 지연주의"),IF($AD58="정상","✓ 정상","? 확인필요")))</f>
        <v/>
      </c>
      <c r="AF58" s="21" t="n"/>
      <c r="AG58" s="28" t="n"/>
    </row>
    <row r="59">
      <c r="A59" s="19" t="n">
        <v>55</v>
      </c>
      <c r="B59" s="20" t="inlineStr">
        <is>
          <t>이재헌</t>
        </is>
      </c>
      <c r="C59" s="20" t="inlineStr">
        <is>
          <t>나영길</t>
        </is>
      </c>
      <c r="D59" s="20" t="inlineStr">
        <is>
          <t>JWJJA27415</t>
        </is>
      </c>
      <c r="E59" s="20" t="inlineStr">
        <is>
          <t>남성 윈드체이서 릴렉스핏 후디드 방수 재킷</t>
        </is>
      </c>
      <c r="F59" s="20" t="inlineStr">
        <is>
          <t>DEB</t>
        </is>
      </c>
      <c r="G59" s="19">
        <f>IF($D59="","",IF(MID($D59,5,1)="A","A(가을)",IF(MID($D59,5,1)="W","W(겨울)",IF(MID($D59,5,1)="X","X(사계절)",MID($D59,5,1)))))</f>
        <v/>
      </c>
      <c r="H59" s="19" t="n"/>
      <c r="I59" s="21" t="inlineStr">
        <is>
          <t>8월3주</t>
        </is>
      </c>
      <c r="J59" s="22">
        <f>IF($I59="","",IFERROR(DATE(기준정보!$C$7,VALUE(LEFT($I59,FIND("월",$I59)-1)),1+7*(VALUE(SUBSTITUTE(MID($I59,FIND("월",$I59)+1,5),"주",""))-1)),""))</f>
        <v/>
      </c>
      <c r="K59" s="22">
        <f>IF($J59="","",IF(AND(ISNUMBER(SEARCH("미얀마",$U59)),$J59-기준정보!$C$5&gt;=기준정보!$C$8,$J59-기준정보!$C$5&lt;=기준정보!$C$9),기준정보!$C$8-1,IF(AND(ISNUMBER(SEARCH("인도네시아",$U59)),$J59-기준정보!$C$5&gt;=기준정보!$C$10,$J59-기준정보!$C$5&lt;=기준정보!$C$11),기준정보!$C$10-1,$J59-기준정보!$C$5)))</f>
        <v/>
      </c>
      <c r="L59" s="23">
        <f>IF($K59="","",IF(ISNUMBER(SEARCH("미얀마",$U59)),MAX(0,MIN($K59,기준정보!$C$9)-MAX($K59-기준정보!$C$6,기준정보!$C$8)+1),IF(ISNUMBER(SEARCH("인도네시아",$U59)),MAX(0,MIN($K59,기준정보!$C$11)-MAX($K59-기준정보!$C$6,기준정보!$C$10)+1),0)))</f>
        <v/>
      </c>
      <c r="M59" s="22">
        <f>IF($K59="","",$K59-기준정보!$C$6-$L59)</f>
        <v/>
      </c>
      <c r="N59" s="24">
        <f>IF($M59="","",$M59-기준정보!$C$4)</f>
        <v/>
      </c>
      <c r="O59" s="21" t="n"/>
      <c r="P59" s="21" t="n"/>
      <c r="Q59" s="21" t="n"/>
      <c r="R59" s="25" t="n"/>
      <c r="S59" s="20">
        <f>IF($H59="","",IF($H59="C","본사(소재팀)",IF($H59="완","생산처","확인 필요")))</f>
        <v/>
      </c>
      <c r="T59" s="20" t="inlineStr">
        <is>
          <t>기도</t>
        </is>
      </c>
      <c r="U59" s="20" t="inlineStr">
        <is>
          <t>베트남</t>
        </is>
      </c>
      <c r="V59" s="20" t="n"/>
      <c r="W59" s="26" t="n"/>
      <c r="X59" s="26" t="n"/>
      <c r="Y59" s="22" t="n"/>
      <c r="Z59" s="27" t="n">
        <v>100</v>
      </c>
      <c r="AA59" s="27" t="n">
        <v>17000000</v>
      </c>
      <c r="AB59" s="27" t="n">
        <v>69000000</v>
      </c>
      <c r="AC59" s="20" t="n"/>
      <c r="AD59" s="20">
        <f>IF($J59="","출고일 미정",IF($P59="X","작지 미발행",IF($P59="부분","작지 일부 미발행",IF(AND($R59&lt;&gt;"",$R59&gt;$M59),"소재입고 마감("&amp;TEXT($M59,"MM/DD")&amp;") 초과",IF($P59="","발행여부 확인 필요",IF($R59="","소재 입고일정 확인 필요","정상"))))))</f>
        <v/>
      </c>
      <c r="AE59" s="19">
        <f>IF($J59="","",IF(OR(LEFT($AD59,2)="작지",LEFT($AD59,4)="소재입고"),IF(LEFT($G59,1)="A","★ 납기위험(A코드)","◆ 지연주의"),IF($AD59="정상","✓ 정상","? 확인필요")))</f>
        <v/>
      </c>
      <c r="AF59" s="21" t="n"/>
      <c r="AG59" s="28" t="n"/>
    </row>
    <row r="60">
      <c r="A60" s="19" t="n">
        <v>56</v>
      </c>
      <c r="B60" s="20" t="inlineStr">
        <is>
          <t>박진아</t>
        </is>
      </c>
      <c r="C60" s="20" t="inlineStr">
        <is>
          <t>김지원</t>
        </is>
      </c>
      <c r="D60" s="20" t="inlineStr">
        <is>
          <t>JWPNA27401</t>
        </is>
      </c>
      <c r="E60" s="20" t="inlineStr">
        <is>
          <t>남성 올라운드 팬츠</t>
        </is>
      </c>
      <c r="F60" s="20" t="inlineStr">
        <is>
          <t>PEG/EFL/CHR/DEB</t>
        </is>
      </c>
      <c r="G60" s="19">
        <f>IF($D60="","",IF(MID($D60,5,1)="A","A(가을)",IF(MID($D60,5,1)="W","W(겨울)",IF(MID($D60,5,1)="X","X(사계절)",MID($D60,5,1)))))</f>
        <v/>
      </c>
      <c r="H60" s="19" t="n"/>
      <c r="I60" s="21" t="inlineStr">
        <is>
          <t>8월3주</t>
        </is>
      </c>
      <c r="J60" s="22">
        <f>IF($I60="","",IFERROR(DATE(기준정보!$C$7,VALUE(LEFT($I60,FIND("월",$I60)-1)),1+7*(VALUE(SUBSTITUTE(MID($I60,FIND("월",$I60)+1,5),"주",""))-1)),""))</f>
        <v/>
      </c>
      <c r="K60" s="22">
        <f>IF($J60="","",IF(AND(ISNUMBER(SEARCH("미얀마",$U60)),$J60-기준정보!$C$5&gt;=기준정보!$C$8,$J60-기준정보!$C$5&lt;=기준정보!$C$9),기준정보!$C$8-1,IF(AND(ISNUMBER(SEARCH("인도네시아",$U60)),$J60-기준정보!$C$5&gt;=기준정보!$C$10,$J60-기준정보!$C$5&lt;=기준정보!$C$11),기준정보!$C$10-1,$J60-기준정보!$C$5)))</f>
        <v/>
      </c>
      <c r="L60" s="23">
        <f>IF($K60="","",IF(ISNUMBER(SEARCH("미얀마",$U60)),MAX(0,MIN($K60,기준정보!$C$9)-MAX($K60-기준정보!$C$6,기준정보!$C$8)+1),IF(ISNUMBER(SEARCH("인도네시아",$U60)),MAX(0,MIN($K60,기준정보!$C$11)-MAX($K60-기준정보!$C$6,기준정보!$C$10)+1),0)))</f>
        <v/>
      </c>
      <c r="M60" s="22">
        <f>IF($K60="","",$K60-기준정보!$C$6-$L60)</f>
        <v/>
      </c>
      <c r="N60" s="24">
        <f>IF($M60="","",$M60-기준정보!$C$4)</f>
        <v/>
      </c>
      <c r="O60" s="21" t="n"/>
      <c r="P60" s="21" t="n"/>
      <c r="Q60" s="21" t="n"/>
      <c r="R60" s="25" t="n"/>
      <c r="S60" s="20">
        <f>IF($H60="","",IF($H60="C","본사(소재팀)",IF($H60="완","생산처","확인 필요")))</f>
        <v/>
      </c>
      <c r="T60" s="20" t="inlineStr">
        <is>
          <t>TBO</t>
        </is>
      </c>
      <c r="U60" s="20" t="inlineStr">
        <is>
          <t>베트남</t>
        </is>
      </c>
      <c r="V60" s="20" t="n"/>
      <c r="W60" s="26" t="n"/>
      <c r="X60" s="26" t="n"/>
      <c r="Y60" s="22" t="n"/>
      <c r="Z60" s="27" t="n">
        <v>1200</v>
      </c>
      <c r="AA60" s="27" t="n">
        <v>56342400</v>
      </c>
      <c r="AB60" s="27" t="n">
        <v>264000000</v>
      </c>
      <c r="AC60" s="20" t="n"/>
      <c r="AD60" s="20">
        <f>IF($J60="","출고일 미정",IF($P60="X","작지 미발행",IF($P60="부분","작지 일부 미발행",IF(AND($R60&lt;&gt;"",$R60&gt;$M60),"소재입고 마감("&amp;TEXT($M60,"MM/DD")&amp;") 초과",IF($P60="","발행여부 확인 필요",IF($R60="","소재 입고일정 확인 필요","정상"))))))</f>
        <v/>
      </c>
      <c r="AE60" s="19">
        <f>IF($J60="","",IF(OR(LEFT($AD60,2)="작지",LEFT($AD60,4)="소재입고"),IF(LEFT($G60,1)="A","★ 납기위험(A코드)","◆ 지연주의"),IF($AD60="정상","✓ 정상","? 확인필요")))</f>
        <v/>
      </c>
      <c r="AF60" s="21" t="n"/>
      <c r="AG60" s="28" t="n"/>
    </row>
    <row r="61">
      <c r="A61" s="19" t="n">
        <v>57</v>
      </c>
      <c r="B61" s="20" t="inlineStr">
        <is>
          <t>박진아</t>
        </is>
      </c>
      <c r="C61" s="20" t="inlineStr">
        <is>
          <t>김지원</t>
        </is>
      </c>
      <c r="D61" s="20" t="inlineStr">
        <is>
          <t>JWTBA27401</t>
        </is>
      </c>
      <c r="E61" s="20" t="inlineStr">
        <is>
          <t>남성 긴팔 라운드 티셔츠</t>
        </is>
      </c>
      <c r="F61" s="20" t="inlineStr">
        <is>
          <t>AWH/CHR/DEB</t>
        </is>
      </c>
      <c r="G61" s="19">
        <f>IF($D61="","",IF(MID($D61,5,1)="A","A(가을)",IF(MID($D61,5,1)="W","W(겨울)",IF(MID($D61,5,1)="X","X(사계절)",MID($D61,5,1)))))</f>
        <v/>
      </c>
      <c r="H61" s="19" t="n"/>
      <c r="I61" s="21" t="inlineStr">
        <is>
          <t>8월3주</t>
        </is>
      </c>
      <c r="J61" s="22">
        <f>IF($I61="","",IFERROR(DATE(기준정보!$C$7,VALUE(LEFT($I61,FIND("월",$I61)-1)),1+7*(VALUE(SUBSTITUTE(MID($I61,FIND("월",$I61)+1,5),"주",""))-1)),""))</f>
        <v/>
      </c>
      <c r="K61" s="22">
        <f>IF($J61="","",IF(AND(ISNUMBER(SEARCH("미얀마",$U61)),$J61-기준정보!$C$5&gt;=기준정보!$C$8,$J61-기준정보!$C$5&lt;=기준정보!$C$9),기준정보!$C$8-1,IF(AND(ISNUMBER(SEARCH("인도네시아",$U61)),$J61-기준정보!$C$5&gt;=기준정보!$C$10,$J61-기준정보!$C$5&lt;=기준정보!$C$11),기준정보!$C$10-1,$J61-기준정보!$C$5)))</f>
        <v/>
      </c>
      <c r="L61" s="23">
        <f>IF($K61="","",IF(ISNUMBER(SEARCH("미얀마",$U61)),MAX(0,MIN($K61,기준정보!$C$9)-MAX($K61-기준정보!$C$6,기준정보!$C$8)+1),IF(ISNUMBER(SEARCH("인도네시아",$U61)),MAX(0,MIN($K61,기준정보!$C$11)-MAX($K61-기준정보!$C$6,기준정보!$C$10)+1),0)))</f>
        <v/>
      </c>
      <c r="M61" s="22">
        <f>IF($K61="","",$K61-기준정보!$C$6-$L61)</f>
        <v/>
      </c>
      <c r="N61" s="24">
        <f>IF($M61="","",$M61-기준정보!$C$4)</f>
        <v/>
      </c>
      <c r="O61" s="21" t="n"/>
      <c r="P61" s="21" t="n"/>
      <c r="Q61" s="21" t="n"/>
      <c r="R61" s="25" t="n"/>
      <c r="S61" s="20">
        <f>IF($H61="","",IF($H61="C","본사(소재팀)",IF($H61="완","생산처","확인 필요")))</f>
        <v/>
      </c>
      <c r="T61" s="20" t="inlineStr">
        <is>
          <t>장안</t>
        </is>
      </c>
      <c r="U61" s="20" t="inlineStr">
        <is>
          <t>베트남</t>
        </is>
      </c>
      <c r="V61" s="20" t="n"/>
      <c r="W61" s="26" t="n"/>
      <c r="X61" s="26" t="n"/>
      <c r="Y61" s="22" t="n"/>
      <c r="Z61" s="27" t="n">
        <v>400</v>
      </c>
      <c r="AA61" s="27" t="n">
        <v>14406400</v>
      </c>
      <c r="AB61" s="27" t="n">
        <v>47200000</v>
      </c>
      <c r="AC61" s="20" t="n"/>
      <c r="AD61" s="20">
        <f>IF($J61="","출고일 미정",IF($P61="X","작지 미발행",IF($P61="부분","작지 일부 미발행",IF(AND($R61&lt;&gt;"",$R61&gt;$M61),"소재입고 마감("&amp;TEXT($M61,"MM/DD")&amp;") 초과",IF($P61="","발행여부 확인 필요",IF($R61="","소재 입고일정 확인 필요","정상"))))))</f>
        <v/>
      </c>
      <c r="AE61" s="19">
        <f>IF($J61="","",IF(OR(LEFT($AD61,2)="작지",LEFT($AD61,4)="소재입고"),IF(LEFT($G61,1)="A","★ 납기위험(A코드)","◆ 지연주의"),IF($AD61="정상","✓ 정상","? 확인필요")))</f>
        <v/>
      </c>
      <c r="AF61" s="21" t="n"/>
      <c r="AG61" s="28" t="n"/>
    </row>
    <row r="62">
      <c r="A62" s="19" t="n">
        <v>58</v>
      </c>
      <c r="B62" s="20" t="inlineStr">
        <is>
          <t>박진아</t>
        </is>
      </c>
      <c r="C62" s="20" t="inlineStr">
        <is>
          <t>김지원</t>
        </is>
      </c>
      <c r="D62" s="20" t="inlineStr">
        <is>
          <t>JWTCA27401</t>
        </is>
      </c>
      <c r="E62" s="20" t="inlineStr">
        <is>
          <t>남성 반팔 라운드 티셔츠</t>
        </is>
      </c>
      <c r="F62" s="20" t="inlineStr">
        <is>
          <t>NEG/DEB</t>
        </is>
      </c>
      <c r="G62" s="19">
        <f>IF($D62="","",IF(MID($D62,5,1)="A","A(가을)",IF(MID($D62,5,1)="W","W(겨울)",IF(MID($D62,5,1)="X","X(사계절)",MID($D62,5,1)))))</f>
        <v/>
      </c>
      <c r="H62" s="19" t="n"/>
      <c r="I62" s="21" t="inlineStr">
        <is>
          <t>8월3주</t>
        </is>
      </c>
      <c r="J62" s="22">
        <f>IF($I62="","",IFERROR(DATE(기준정보!$C$7,VALUE(LEFT($I62,FIND("월",$I62)-1)),1+7*(VALUE(SUBSTITUTE(MID($I62,FIND("월",$I62)+1,5),"주",""))-1)),""))</f>
        <v/>
      </c>
      <c r="K62" s="22">
        <f>IF($J62="","",IF(AND(ISNUMBER(SEARCH("미얀마",$U62)),$J62-기준정보!$C$5&gt;=기준정보!$C$8,$J62-기준정보!$C$5&lt;=기준정보!$C$9),기준정보!$C$8-1,IF(AND(ISNUMBER(SEARCH("인도네시아",$U62)),$J62-기준정보!$C$5&gt;=기준정보!$C$10,$J62-기준정보!$C$5&lt;=기준정보!$C$11),기준정보!$C$10-1,$J62-기준정보!$C$5)))</f>
        <v/>
      </c>
      <c r="L62" s="23">
        <f>IF($K62="","",IF(ISNUMBER(SEARCH("미얀마",$U62)),MAX(0,MIN($K62,기준정보!$C$9)-MAX($K62-기준정보!$C$6,기준정보!$C$8)+1),IF(ISNUMBER(SEARCH("인도네시아",$U62)),MAX(0,MIN($K62,기준정보!$C$11)-MAX($K62-기준정보!$C$6,기준정보!$C$10)+1),0)))</f>
        <v/>
      </c>
      <c r="M62" s="22">
        <f>IF($K62="","",$K62-기준정보!$C$6-$L62)</f>
        <v/>
      </c>
      <c r="N62" s="24">
        <f>IF($M62="","",$M62-기준정보!$C$4)</f>
        <v/>
      </c>
      <c r="O62" s="21" t="n"/>
      <c r="P62" s="21" t="n"/>
      <c r="Q62" s="21" t="n"/>
      <c r="R62" s="25" t="n"/>
      <c r="S62" s="20">
        <f>IF($H62="","",IF($H62="C","본사(소재팀)",IF($H62="완","생산처","확인 필요")))</f>
        <v/>
      </c>
      <c r="T62" s="20" t="inlineStr">
        <is>
          <t>장안</t>
        </is>
      </c>
      <c r="U62" s="20" t="inlineStr">
        <is>
          <t>베트남</t>
        </is>
      </c>
      <c r="V62" s="20" t="n"/>
      <c r="W62" s="26" t="n"/>
      <c r="X62" s="26" t="n"/>
      <c r="Y62" s="22" t="n"/>
      <c r="Z62" s="27" t="n">
        <v>800</v>
      </c>
      <c r="AA62" s="27" t="n">
        <v>18308000</v>
      </c>
      <c r="AB62" s="27" t="n">
        <v>70400000</v>
      </c>
      <c r="AC62" s="20" t="n"/>
      <c r="AD62" s="20">
        <f>IF($J62="","출고일 미정",IF($P62="X","작지 미발행",IF($P62="부분","작지 일부 미발행",IF(AND($R62&lt;&gt;"",$R62&gt;$M62),"소재입고 마감("&amp;TEXT($M62,"MM/DD")&amp;") 초과",IF($P62="","발행여부 확인 필요",IF($R62="","소재 입고일정 확인 필요","정상"))))))</f>
        <v/>
      </c>
      <c r="AE62" s="19">
        <f>IF($J62="","",IF(OR(LEFT($AD62,2)="작지",LEFT($AD62,4)="소재입고"),IF(LEFT($G62,1)="A","★ 납기위험(A코드)","◆ 지연주의"),IF($AD62="정상","✓ 정상","? 확인필요")))</f>
        <v/>
      </c>
      <c r="AF62" s="21" t="n"/>
      <c r="AG62" s="28" t="n"/>
    </row>
    <row r="63">
      <c r="A63" s="19" t="n">
        <v>59</v>
      </c>
      <c r="B63" s="20" t="inlineStr">
        <is>
          <t>박진아</t>
        </is>
      </c>
      <c r="C63" s="20" t="inlineStr">
        <is>
          <t>김지원</t>
        </is>
      </c>
      <c r="D63" s="20" t="inlineStr">
        <is>
          <t>JWTCA27403</t>
        </is>
      </c>
      <c r="E63" s="20" t="inlineStr">
        <is>
          <t>남성 반팔 라운드 티셔츠</t>
        </is>
      </c>
      <c r="F63" s="20" t="inlineStr">
        <is>
          <t>CO1</t>
        </is>
      </c>
      <c r="G63" s="19">
        <f>IF($D63="","",IF(MID($D63,5,1)="A","A(가을)",IF(MID($D63,5,1)="W","W(겨울)",IF(MID($D63,5,1)="X","X(사계절)",MID($D63,5,1)))))</f>
        <v/>
      </c>
      <c r="H63" s="19" t="n"/>
      <c r="I63" s="21" t="inlineStr">
        <is>
          <t>8월3주</t>
        </is>
      </c>
      <c r="J63" s="22">
        <f>IF($I63="","",IFERROR(DATE(기준정보!$C$7,VALUE(LEFT($I63,FIND("월",$I63)-1)),1+7*(VALUE(SUBSTITUTE(MID($I63,FIND("월",$I63)+1,5),"주",""))-1)),""))</f>
        <v/>
      </c>
      <c r="K63" s="22">
        <f>IF($J63="","",IF(AND(ISNUMBER(SEARCH("미얀마",$U63)),$J63-기준정보!$C$5&gt;=기준정보!$C$8,$J63-기준정보!$C$5&lt;=기준정보!$C$9),기준정보!$C$8-1,IF(AND(ISNUMBER(SEARCH("인도네시아",$U63)),$J63-기준정보!$C$5&gt;=기준정보!$C$10,$J63-기준정보!$C$5&lt;=기준정보!$C$11),기준정보!$C$10-1,$J63-기준정보!$C$5)))</f>
        <v/>
      </c>
      <c r="L63" s="23">
        <f>IF($K63="","",IF(ISNUMBER(SEARCH("미얀마",$U63)),MAX(0,MIN($K63,기준정보!$C$9)-MAX($K63-기준정보!$C$6,기준정보!$C$8)+1),IF(ISNUMBER(SEARCH("인도네시아",$U63)),MAX(0,MIN($K63,기준정보!$C$11)-MAX($K63-기준정보!$C$6,기준정보!$C$10)+1),0)))</f>
        <v/>
      </c>
      <c r="M63" s="22">
        <f>IF($K63="","",$K63-기준정보!$C$6-$L63)</f>
        <v/>
      </c>
      <c r="N63" s="24">
        <f>IF($M63="","",$M63-기준정보!$C$4)</f>
        <v/>
      </c>
      <c r="O63" s="21" t="n"/>
      <c r="P63" s="21" t="n"/>
      <c r="Q63" s="21" t="n"/>
      <c r="R63" s="25" t="n"/>
      <c r="S63" s="20">
        <f>IF($H63="","",IF($H63="C","본사(소재팀)",IF($H63="완","생산처","확인 필요")))</f>
        <v/>
      </c>
      <c r="T63" s="20" t="inlineStr">
        <is>
          <t>장안</t>
        </is>
      </c>
      <c r="U63" s="20" t="inlineStr">
        <is>
          <t>베트남</t>
        </is>
      </c>
      <c r="V63" s="20" t="n"/>
      <c r="W63" s="26" t="n"/>
      <c r="X63" s="26" t="n"/>
      <c r="Y63" s="22" t="n"/>
      <c r="Z63" s="27" t="n">
        <v>400</v>
      </c>
      <c r="AA63" s="27" t="n">
        <v>9438000</v>
      </c>
      <c r="AB63" s="27" t="n">
        <v>39200000</v>
      </c>
      <c r="AC63" s="20" t="n"/>
      <c r="AD63" s="20">
        <f>IF($J63="","출고일 미정",IF($P63="X","작지 미발행",IF($P63="부분","작지 일부 미발행",IF(AND($R63&lt;&gt;"",$R63&gt;$M63),"소재입고 마감("&amp;TEXT($M63,"MM/DD")&amp;") 초과",IF($P63="","발행여부 확인 필요",IF($R63="","소재 입고일정 확인 필요","정상"))))))</f>
        <v/>
      </c>
      <c r="AE63" s="19">
        <f>IF($J63="","",IF(OR(LEFT($AD63,2)="작지",LEFT($AD63,4)="소재입고"),IF(LEFT($G63,1)="A","★ 납기위험(A코드)","◆ 지연주의"),IF($AD63="정상","✓ 정상","? 확인필요")))</f>
        <v/>
      </c>
      <c r="AF63" s="21" t="n"/>
      <c r="AG63" s="28" t="n"/>
    </row>
    <row r="64">
      <c r="A64" s="19" t="n">
        <v>60</v>
      </c>
      <c r="B64" s="20" t="inlineStr">
        <is>
          <t>김준래</t>
        </is>
      </c>
      <c r="C64" s="20" t="inlineStr">
        <is>
          <t>강기환</t>
        </is>
      </c>
      <c r="D64" s="20" t="inlineStr">
        <is>
          <t>JNPNA27621</t>
        </is>
      </c>
      <c r="E64" s="20" t="inlineStr">
        <is>
          <t>남녀공용 스트라이프 루즈핏 팬츠</t>
        </is>
      </c>
      <c r="F64" s="20" t="inlineStr">
        <is>
          <t>CHR</t>
        </is>
      </c>
      <c r="G64" s="19">
        <f>IF($D64="","",IF(MID($D64,5,1)="A","A(가을)",IF(MID($D64,5,1)="W","W(겨울)",IF(MID($D64,5,1)="X","X(사계절)",MID($D64,5,1)))))</f>
        <v/>
      </c>
      <c r="H64" s="19" t="inlineStr">
        <is>
          <t>완</t>
        </is>
      </c>
      <c r="I64" s="21" t="inlineStr">
        <is>
          <t>9월1주</t>
        </is>
      </c>
      <c r="J64" s="22">
        <f>IF($I64="","",IFERROR(DATE(기준정보!$C$7,VALUE(LEFT($I64,FIND("월",$I64)-1)),1+7*(VALUE(SUBSTITUTE(MID($I64,FIND("월",$I64)+1,5),"주",""))-1)),""))</f>
        <v/>
      </c>
      <c r="K64" s="22">
        <f>IF($J64="","",IF(AND(ISNUMBER(SEARCH("미얀마",$U64)),$J64-기준정보!$C$5&gt;=기준정보!$C$8,$J64-기준정보!$C$5&lt;=기준정보!$C$9),기준정보!$C$8-1,IF(AND(ISNUMBER(SEARCH("인도네시아",$U64)),$J64-기준정보!$C$5&gt;=기준정보!$C$10,$J64-기준정보!$C$5&lt;=기준정보!$C$11),기준정보!$C$10-1,$J64-기준정보!$C$5)))</f>
        <v/>
      </c>
      <c r="L64" s="23">
        <f>IF($K64="","",IF(ISNUMBER(SEARCH("미얀마",$U64)),MAX(0,MIN($K64,기준정보!$C$9)-MAX($K64-기준정보!$C$6,기준정보!$C$8)+1),IF(ISNUMBER(SEARCH("인도네시아",$U64)),MAX(0,MIN($K64,기준정보!$C$11)-MAX($K64-기준정보!$C$6,기준정보!$C$10)+1),0)))</f>
        <v/>
      </c>
      <c r="M64" s="22">
        <f>IF($K64="","",$K64-기준정보!$C$6-$L64)</f>
        <v/>
      </c>
      <c r="N64" s="24">
        <f>IF($M64="","",$M64-기준정보!$C$4)</f>
        <v/>
      </c>
      <c r="O64" s="21" t="n"/>
      <c r="P64" s="21" t="n"/>
      <c r="Q64" s="21" t="n"/>
      <c r="R64" s="25" t="n"/>
      <c r="S64" s="20">
        <f>IF($H64="","",IF($H64="C","본사(소재팀)",IF($H64="완","생산처","확인 필요")))</f>
        <v/>
      </c>
      <c r="T64" s="20" t="inlineStr">
        <is>
          <t>거림</t>
        </is>
      </c>
      <c r="U64" s="20" t="inlineStr">
        <is>
          <t>베트남</t>
        </is>
      </c>
      <c r="V64" s="20" t="n"/>
      <c r="W64" s="26" t="n"/>
      <c r="X64" s="26" t="n"/>
      <c r="Y64" s="22" t="n"/>
      <c r="Z64" s="27" t="n">
        <v>400</v>
      </c>
      <c r="AA64" s="27" t="n">
        <v>19620800</v>
      </c>
      <c r="AB64" s="27" t="n">
        <v>79200000</v>
      </c>
      <c r="AC64" s="20" t="n"/>
      <c r="AD64" s="20">
        <f>IF($J64="","출고일 미정",IF($P64="X","작지 미발행",IF($P64="부분","작지 일부 미발행",IF(AND($R64&lt;&gt;"",$R64&gt;$M64),"소재입고 마감("&amp;TEXT($M64,"MM/DD")&amp;") 초과",IF($P64="","발행여부 확인 필요",IF($R64="","소재 입고일정 확인 필요","정상"))))))</f>
        <v/>
      </c>
      <c r="AE64" s="19">
        <f>IF($J64="","",IF(OR(LEFT($AD64,2)="작지",LEFT($AD64,4)="소재입고"),IF(LEFT($G64,1)="A","★ 납기위험(A코드)","◆ 지연주의"),IF($AD64="정상","✓ 정상","? 확인필요")))</f>
        <v/>
      </c>
      <c r="AF64" s="21" t="n"/>
      <c r="AG64" s="28" t="n"/>
    </row>
    <row r="65">
      <c r="A65" s="19" t="n">
        <v>61</v>
      </c>
      <c r="B65" s="20" t="inlineStr">
        <is>
          <t>김준래</t>
        </is>
      </c>
      <c r="C65" s="20" t="inlineStr">
        <is>
          <t>강기환</t>
        </is>
      </c>
      <c r="D65" s="20" t="inlineStr">
        <is>
          <t>JWPNA27611</t>
        </is>
      </c>
      <c r="E65" s="20" t="inlineStr">
        <is>
          <t>남성 벤틸레이션 스트레이트 팬츠</t>
        </is>
      </c>
      <c r="F65" s="20" t="inlineStr">
        <is>
          <t>DEB/RBW</t>
        </is>
      </c>
      <c r="G65" s="19">
        <f>IF($D65="","",IF(MID($D65,5,1)="A","A(가을)",IF(MID($D65,5,1)="W","W(겨울)",IF(MID($D65,5,1)="X","X(사계절)",MID($D65,5,1)))))</f>
        <v/>
      </c>
      <c r="H65" s="19" t="inlineStr">
        <is>
          <t>완</t>
        </is>
      </c>
      <c r="I65" s="21" t="inlineStr">
        <is>
          <t>9월1주</t>
        </is>
      </c>
      <c r="J65" s="22">
        <f>IF($I65="","",IFERROR(DATE(기준정보!$C$7,VALUE(LEFT($I65,FIND("월",$I65)-1)),1+7*(VALUE(SUBSTITUTE(MID($I65,FIND("월",$I65)+1,5),"주",""))-1)),""))</f>
        <v/>
      </c>
      <c r="K65" s="22">
        <f>IF($J65="","",IF(AND(ISNUMBER(SEARCH("미얀마",$U65)),$J65-기준정보!$C$5&gt;=기준정보!$C$8,$J65-기준정보!$C$5&lt;=기준정보!$C$9),기준정보!$C$8-1,IF(AND(ISNUMBER(SEARCH("인도네시아",$U65)),$J65-기준정보!$C$5&gt;=기준정보!$C$10,$J65-기준정보!$C$5&lt;=기준정보!$C$11),기준정보!$C$10-1,$J65-기준정보!$C$5)))</f>
        <v/>
      </c>
      <c r="L65" s="23">
        <f>IF($K65="","",IF(ISNUMBER(SEARCH("미얀마",$U65)),MAX(0,MIN($K65,기준정보!$C$9)-MAX($K65-기준정보!$C$6,기준정보!$C$8)+1),IF(ISNUMBER(SEARCH("인도네시아",$U65)),MAX(0,MIN($K65,기준정보!$C$11)-MAX($K65-기준정보!$C$6,기준정보!$C$10)+1),0)))</f>
        <v/>
      </c>
      <c r="M65" s="22">
        <f>IF($K65="","",$K65-기준정보!$C$6-$L65)</f>
        <v/>
      </c>
      <c r="N65" s="24">
        <f>IF($M65="","",$M65-기준정보!$C$4)</f>
        <v/>
      </c>
      <c r="O65" s="21" t="n"/>
      <c r="P65" s="21" t="n"/>
      <c r="Q65" s="21" t="n"/>
      <c r="R65" s="25" t="n"/>
      <c r="S65" s="20">
        <f>IF($H65="","",IF($H65="C","본사(소재팀)",IF($H65="완","생산처","확인 필요")))</f>
        <v/>
      </c>
      <c r="T65" s="20" t="inlineStr">
        <is>
          <t>TBO</t>
        </is>
      </c>
      <c r="U65" s="20" t="inlineStr">
        <is>
          <t>베트남</t>
        </is>
      </c>
      <c r="V65" s="20" t="n"/>
      <c r="W65" s="26" t="n"/>
      <c r="X65" s="26" t="n"/>
      <c r="Y65" s="22" t="n"/>
      <c r="Z65" s="27" t="n">
        <v>1000</v>
      </c>
      <c r="AA65" s="27" t="n">
        <v>58375000</v>
      </c>
      <c r="AB65" s="27" t="n">
        <v>270000000</v>
      </c>
      <c r="AC65" s="20" t="n"/>
      <c r="AD65" s="20">
        <f>IF($J65="","출고일 미정",IF($P65="X","작지 미발행",IF($P65="부분","작지 일부 미발행",IF(AND($R65&lt;&gt;"",$R65&gt;$M65),"소재입고 마감("&amp;TEXT($M65,"MM/DD")&amp;") 초과",IF($P65="","발행여부 확인 필요",IF($R65="","소재 입고일정 확인 필요","정상"))))))</f>
        <v/>
      </c>
      <c r="AE65" s="19">
        <f>IF($J65="","",IF(OR(LEFT($AD65,2)="작지",LEFT($AD65,4)="소재입고"),IF(LEFT($G65,1)="A","★ 납기위험(A코드)","◆ 지연주의"),IF($AD65="정상","✓ 정상","? 확인필요")))</f>
        <v/>
      </c>
      <c r="AF65" s="21" t="n"/>
      <c r="AG65" s="28" t="n"/>
    </row>
    <row r="66">
      <c r="A66" s="19" t="n">
        <v>62</v>
      </c>
      <c r="B66" s="20" t="inlineStr">
        <is>
          <t>박진아</t>
        </is>
      </c>
      <c r="C66" s="20" t="inlineStr">
        <is>
          <t>김지원</t>
        </is>
      </c>
      <c r="D66" s="20" t="inlineStr">
        <is>
          <t>JKPNA27406</t>
        </is>
      </c>
      <c r="E66" s="20" t="inlineStr">
        <is>
          <t>여성 부츠컷 팬츠</t>
        </is>
      </c>
      <c r="F66" s="20" t="inlineStr">
        <is>
          <t>CHR/DEB</t>
        </is>
      </c>
      <c r="G66" s="19">
        <f>IF($D66="","",IF(MID($D66,5,1)="A","A(가을)",IF(MID($D66,5,1)="W","W(겨울)",IF(MID($D66,5,1)="X","X(사계절)",MID($D66,5,1)))))</f>
        <v/>
      </c>
      <c r="H66" s="19" t="n"/>
      <c r="I66" s="21" t="inlineStr">
        <is>
          <t>9월2주</t>
        </is>
      </c>
      <c r="J66" s="22">
        <f>IF($I66="","",IFERROR(DATE(기준정보!$C$7,VALUE(LEFT($I66,FIND("월",$I66)-1)),1+7*(VALUE(SUBSTITUTE(MID($I66,FIND("월",$I66)+1,5),"주",""))-1)),""))</f>
        <v/>
      </c>
      <c r="K66" s="22">
        <f>IF($J66="","",IF(AND(ISNUMBER(SEARCH("미얀마",$U66)),$J66-기준정보!$C$5&gt;=기준정보!$C$8,$J66-기준정보!$C$5&lt;=기준정보!$C$9),기준정보!$C$8-1,IF(AND(ISNUMBER(SEARCH("인도네시아",$U66)),$J66-기준정보!$C$5&gt;=기준정보!$C$10,$J66-기준정보!$C$5&lt;=기준정보!$C$11),기준정보!$C$10-1,$J66-기준정보!$C$5)))</f>
        <v/>
      </c>
      <c r="L66" s="23">
        <f>IF($K66="","",IF(ISNUMBER(SEARCH("미얀마",$U66)),MAX(0,MIN($K66,기준정보!$C$9)-MAX($K66-기준정보!$C$6,기준정보!$C$8)+1),IF(ISNUMBER(SEARCH("인도네시아",$U66)),MAX(0,MIN($K66,기준정보!$C$11)-MAX($K66-기준정보!$C$6,기준정보!$C$10)+1),0)))</f>
        <v/>
      </c>
      <c r="M66" s="22">
        <f>IF($K66="","",$K66-기준정보!$C$6-$L66)</f>
        <v/>
      </c>
      <c r="N66" s="24">
        <f>IF($M66="","",$M66-기준정보!$C$4)</f>
        <v/>
      </c>
      <c r="O66" s="21" t="n"/>
      <c r="P66" s="21" t="n"/>
      <c r="Q66" s="21" t="n"/>
      <c r="R66" s="25" t="n"/>
      <c r="S66" s="20">
        <f>IF($H66="","",IF($H66="C","본사(소재팀)",IF($H66="완","생산처","확인 필요")))</f>
        <v/>
      </c>
      <c r="T66" s="20" t="inlineStr">
        <is>
          <t>TBO</t>
        </is>
      </c>
      <c r="U66" s="20" t="inlineStr">
        <is>
          <t>베트남</t>
        </is>
      </c>
      <c r="V66" s="20" t="n"/>
      <c r="W66" s="26" t="n"/>
      <c r="X66" s="26" t="n"/>
      <c r="Y66" s="22" t="n"/>
      <c r="Z66" s="27" t="n">
        <v>300</v>
      </c>
      <c r="AA66" s="27" t="n">
        <v>14145000</v>
      </c>
      <c r="AB66" s="27" t="n">
        <v>66000000</v>
      </c>
      <c r="AC66" s="20" t="n"/>
      <c r="AD66" s="20">
        <f>IF($J66="","출고일 미정",IF($P66="X","작지 미발행",IF($P66="부분","작지 일부 미발행",IF(AND($R66&lt;&gt;"",$R66&gt;$M66),"소재입고 마감("&amp;TEXT($M66,"MM/DD")&amp;") 초과",IF($P66="","발행여부 확인 필요",IF($R66="","소재 입고일정 확인 필요","정상"))))))</f>
        <v/>
      </c>
      <c r="AE66" s="19">
        <f>IF($J66="","",IF(OR(LEFT($AD66,2)="작지",LEFT($AD66,4)="소재입고"),IF(LEFT($G66,1)="A","★ 납기위험(A코드)","◆ 지연주의"),IF($AD66="정상","✓ 정상","? 확인필요")))</f>
        <v/>
      </c>
      <c r="AF66" s="21" t="n"/>
      <c r="AG66" s="28" t="n"/>
    </row>
    <row r="67">
      <c r="A67" s="19" t="n">
        <v>63</v>
      </c>
      <c r="B67" s="20" t="inlineStr">
        <is>
          <t>이재헌</t>
        </is>
      </c>
      <c r="C67" s="20" t="inlineStr">
        <is>
          <t>조이슬</t>
        </is>
      </c>
      <c r="D67" s="20" t="inlineStr">
        <is>
          <t>TLJGA27451</t>
        </is>
      </c>
      <c r="E67" s="20" t="inlineStr">
        <is>
          <t>남성 고어텍스 2L 디테쳐블 후디드 방수 재킷</t>
        </is>
      </c>
      <c r="F67" s="20" t="inlineStr">
        <is>
          <t>DOE/SKA/DEB</t>
        </is>
      </c>
      <c r="G67" s="19">
        <f>IF($D67="","",IF(MID($D67,5,1)="A","A(가을)",IF(MID($D67,5,1)="W","W(겨울)",IF(MID($D67,5,1)="X","X(사계절)",MID($D67,5,1)))))</f>
        <v/>
      </c>
      <c r="H67" s="19" t="n"/>
      <c r="I67" s="21" t="n"/>
      <c r="J67" s="22">
        <f>IF($I67="","",IFERROR(DATE(기준정보!$C$7,VALUE(LEFT($I67,FIND("월",$I67)-1)),1+7*(VALUE(SUBSTITUTE(MID($I67,FIND("월",$I67)+1,5),"주",""))-1)),""))</f>
        <v/>
      </c>
      <c r="K67" s="22">
        <f>IF($J67="","",IF(AND(ISNUMBER(SEARCH("미얀마",$U67)),$J67-기준정보!$C$5&gt;=기준정보!$C$8,$J67-기준정보!$C$5&lt;=기준정보!$C$9),기준정보!$C$8-1,IF(AND(ISNUMBER(SEARCH("인도네시아",$U67)),$J67-기준정보!$C$5&gt;=기준정보!$C$10,$J67-기준정보!$C$5&lt;=기준정보!$C$11),기준정보!$C$10-1,$J67-기준정보!$C$5)))</f>
        <v/>
      </c>
      <c r="L67" s="23">
        <f>IF($K67="","",IF(ISNUMBER(SEARCH("미얀마",$U67)),MAX(0,MIN($K67,기준정보!$C$9)-MAX($K67-기준정보!$C$6,기준정보!$C$8)+1),IF(ISNUMBER(SEARCH("인도네시아",$U67)),MAX(0,MIN($K67,기준정보!$C$11)-MAX($K67-기준정보!$C$6,기준정보!$C$10)+1),0)))</f>
        <v/>
      </c>
      <c r="M67" s="22">
        <f>IF($K67="","",$K67-기준정보!$C$6-$L67)</f>
        <v/>
      </c>
      <c r="N67" s="24">
        <f>IF($M67="","",$M67-기준정보!$C$4)</f>
        <v/>
      </c>
      <c r="O67" s="21" t="n"/>
      <c r="P67" s="21" t="n"/>
      <c r="Q67" s="21" t="n"/>
      <c r="R67" s="25" t="n"/>
      <c r="S67" s="20">
        <f>IF($H67="","",IF($H67="C","본사(소재팀)",IF($H67="완","생산처","확인 필요")))</f>
        <v/>
      </c>
      <c r="T67" s="20" t="inlineStr">
        <is>
          <t>호전</t>
        </is>
      </c>
      <c r="U67" s="20" t="inlineStr">
        <is>
          <t>인도네시아</t>
        </is>
      </c>
      <c r="V67" s="20" t="n"/>
      <c r="W67" s="26" t="n"/>
      <c r="X67" s="26" t="n"/>
      <c r="Y67" s="22" t="n"/>
      <c r="Z67" s="27" t="n">
        <v>9000</v>
      </c>
      <c r="AA67" s="27" t="n">
        <v>810000000</v>
      </c>
      <c r="AB67" s="27" t="n">
        <v>3510000000</v>
      </c>
      <c r="AC67" s="20" t="n"/>
      <c r="AD67" s="20">
        <f>IF($J67="","출고일 미정",IF($P67="X","작지 미발행",IF($P67="부분","작지 일부 미발행",IF(AND($R67&lt;&gt;"",$R67&gt;$M67),"소재입고 마감("&amp;TEXT($M67,"MM/DD")&amp;") 초과",IF($P67="","발행여부 확인 필요",IF($R67="","소재 입고일정 확인 필요","정상"))))))</f>
        <v/>
      </c>
      <c r="AE67" s="19">
        <f>IF($J67="","",IF(OR(LEFT($AD67,2)="작지",LEFT($AD67,4)="소재입고"),IF(LEFT($G67,1)="A","★ 납기위험(A코드)","◆ 지연주의"),IF($AD67="정상","✓ 정상","? 확인필요")))</f>
        <v/>
      </c>
      <c r="AF67" s="21" t="n"/>
      <c r="AG67" s="28" t="n"/>
    </row>
    <row r="68">
      <c r="A68" s="19" t="n">
        <v>64</v>
      </c>
      <c r="B68" s="20" t="inlineStr">
        <is>
          <t>이재헌</t>
        </is>
      </c>
      <c r="C68" s="20" t="inlineStr">
        <is>
          <t>조이슬</t>
        </is>
      </c>
      <c r="D68" s="20" t="inlineStr">
        <is>
          <t>TLJGA27461</t>
        </is>
      </c>
      <c r="E68" s="20" t="inlineStr">
        <is>
          <t>남성 경량 3L 릴렉스핏 후디드 방수 재킷</t>
        </is>
      </c>
      <c r="F68" s="20" t="inlineStr">
        <is>
          <t>NEG/DEB</t>
        </is>
      </c>
      <c r="G68" s="19">
        <f>IF($D68="","",IF(MID($D68,5,1)="A","A(가을)",IF(MID($D68,5,1)="W","W(겨울)",IF(MID($D68,5,1)="X","X(사계절)",MID($D68,5,1)))))</f>
        <v/>
      </c>
      <c r="H68" s="19" t="n"/>
      <c r="I68" s="21" t="n"/>
      <c r="J68" s="22">
        <f>IF($I68="","",IFERROR(DATE(기준정보!$C$7,VALUE(LEFT($I68,FIND("월",$I68)-1)),1+7*(VALUE(SUBSTITUTE(MID($I68,FIND("월",$I68)+1,5),"주",""))-1)),""))</f>
        <v/>
      </c>
      <c r="K68" s="22">
        <f>IF($J68="","",IF(AND(ISNUMBER(SEARCH("미얀마",$U68)),$J68-기준정보!$C$5&gt;=기준정보!$C$8,$J68-기준정보!$C$5&lt;=기준정보!$C$9),기준정보!$C$8-1,IF(AND(ISNUMBER(SEARCH("인도네시아",$U68)),$J68-기준정보!$C$5&gt;=기준정보!$C$10,$J68-기준정보!$C$5&lt;=기준정보!$C$11),기준정보!$C$10-1,$J68-기준정보!$C$5)))</f>
        <v/>
      </c>
      <c r="L68" s="23">
        <f>IF($K68="","",IF(ISNUMBER(SEARCH("미얀마",$U68)),MAX(0,MIN($K68,기준정보!$C$9)-MAX($K68-기준정보!$C$6,기준정보!$C$8)+1),IF(ISNUMBER(SEARCH("인도네시아",$U68)),MAX(0,MIN($K68,기준정보!$C$11)-MAX($K68-기준정보!$C$6,기준정보!$C$10)+1),0)))</f>
        <v/>
      </c>
      <c r="M68" s="22">
        <f>IF($K68="","",$K68-기준정보!$C$6-$L68)</f>
        <v/>
      </c>
      <c r="N68" s="24">
        <f>IF($M68="","",$M68-기준정보!$C$4)</f>
        <v/>
      </c>
      <c r="O68" s="21" t="n"/>
      <c r="P68" s="21" t="n"/>
      <c r="Q68" s="21" t="n"/>
      <c r="R68" s="25" t="n"/>
      <c r="S68" s="20">
        <f>IF($H68="","",IF($H68="C","본사(소재팀)",IF($H68="완","생산처","확인 필요")))</f>
        <v/>
      </c>
      <c r="T68" s="20" t="inlineStr">
        <is>
          <t>기도</t>
        </is>
      </c>
      <c r="U68" s="20" t="inlineStr">
        <is>
          <t>미얀마</t>
        </is>
      </c>
      <c r="V68" s="20" t="n"/>
      <c r="W68" s="26" t="n"/>
      <c r="X68" s="26" t="n"/>
      <c r="Y68" s="22" t="n"/>
      <c r="Z68" s="27" t="n">
        <v>1500</v>
      </c>
      <c r="AA68" s="27" t="n">
        <v>165000000</v>
      </c>
      <c r="AB68" s="27" t="n">
        <v>735000000</v>
      </c>
      <c r="AC68" s="20" t="n"/>
      <c r="AD68" s="20">
        <f>IF($J68="","출고일 미정",IF($P68="X","작지 미발행",IF($P68="부분","작지 일부 미발행",IF(AND($R68&lt;&gt;"",$R68&gt;$M68),"소재입고 마감("&amp;TEXT($M68,"MM/DD")&amp;") 초과",IF($P68="","발행여부 확인 필요",IF($R68="","소재 입고일정 확인 필요","정상"))))))</f>
        <v/>
      </c>
      <c r="AE68" s="19">
        <f>IF($J68="","",IF(OR(LEFT($AD68,2)="작지",LEFT($AD68,4)="소재입고"),IF(LEFT($G68,1)="A","★ 납기위험(A코드)","◆ 지연주의"),IF($AD68="정상","✓ 정상","? 확인필요")))</f>
        <v/>
      </c>
      <c r="AF68" s="21" t="n"/>
      <c r="AG68" s="28" t="n"/>
    </row>
    <row r="69">
      <c r="A69" s="19" t="n">
        <v>65</v>
      </c>
      <c r="B69" s="20" t="inlineStr">
        <is>
          <t>이재헌</t>
        </is>
      </c>
      <c r="C69" s="20" t="inlineStr">
        <is>
          <t>조이슬</t>
        </is>
      </c>
      <c r="D69" s="20" t="inlineStr">
        <is>
          <t>TLJJA27401</t>
        </is>
      </c>
      <c r="E69" s="20" t="inlineStr">
        <is>
          <t>남성 스탠드넥 트레이닝 집업 재킷</t>
        </is>
      </c>
      <c r="F69" s="20" t="inlineStr">
        <is>
          <t>CHR/DEB</t>
        </is>
      </c>
      <c r="G69" s="19">
        <f>IF($D69="","",IF(MID($D69,5,1)="A","A(가을)",IF(MID($D69,5,1)="W","W(겨울)",IF(MID($D69,5,1)="X","X(사계절)",MID($D69,5,1)))))</f>
        <v/>
      </c>
      <c r="H69" s="19" t="n"/>
      <c r="I69" s="21" t="n"/>
      <c r="J69" s="22">
        <f>IF($I69="","",IFERROR(DATE(기준정보!$C$7,VALUE(LEFT($I69,FIND("월",$I69)-1)),1+7*(VALUE(SUBSTITUTE(MID($I69,FIND("월",$I69)+1,5),"주",""))-1)),""))</f>
        <v/>
      </c>
      <c r="K69" s="22">
        <f>IF($J69="","",IF(AND(ISNUMBER(SEARCH("미얀마",$U69)),$J69-기준정보!$C$5&gt;=기준정보!$C$8,$J69-기준정보!$C$5&lt;=기준정보!$C$9),기준정보!$C$8-1,IF(AND(ISNUMBER(SEARCH("인도네시아",$U69)),$J69-기준정보!$C$5&gt;=기준정보!$C$10,$J69-기준정보!$C$5&lt;=기준정보!$C$11),기준정보!$C$10-1,$J69-기준정보!$C$5)))</f>
        <v/>
      </c>
      <c r="L69" s="23">
        <f>IF($K69="","",IF(ISNUMBER(SEARCH("미얀마",$U69)),MAX(0,MIN($K69,기준정보!$C$9)-MAX($K69-기준정보!$C$6,기준정보!$C$8)+1),IF(ISNUMBER(SEARCH("인도네시아",$U69)),MAX(0,MIN($K69,기준정보!$C$11)-MAX($K69-기준정보!$C$6,기준정보!$C$10)+1),0)))</f>
        <v/>
      </c>
      <c r="M69" s="22">
        <f>IF($K69="","",$K69-기준정보!$C$6-$L69)</f>
        <v/>
      </c>
      <c r="N69" s="24">
        <f>IF($M69="","",$M69-기준정보!$C$4)</f>
        <v/>
      </c>
      <c r="O69" s="21" t="n"/>
      <c r="P69" s="21" t="n"/>
      <c r="Q69" s="21" t="n"/>
      <c r="R69" s="25" t="n"/>
      <c r="S69" s="20">
        <f>IF($H69="","",IF($H69="C","본사(소재팀)",IF($H69="완","생산처","확인 필요")))</f>
        <v/>
      </c>
      <c r="T69" s="20" t="inlineStr">
        <is>
          <t>YIC</t>
        </is>
      </c>
      <c r="U69" s="20" t="inlineStr">
        <is>
          <t>베트남</t>
        </is>
      </c>
      <c r="V69" s="20" t="n"/>
      <c r="W69" s="26" t="n"/>
      <c r="X69" s="26" t="n"/>
      <c r="Y69" s="22" t="n"/>
      <c r="Z69" s="27" t="n">
        <v>3000</v>
      </c>
      <c r="AA69" s="27" t="n">
        <v>103293000</v>
      </c>
      <c r="AB69" s="27" t="n">
        <v>534000000</v>
      </c>
      <c r="AC69" s="20" t="n"/>
      <c r="AD69" s="20">
        <f>IF($J69="","출고일 미정",IF($P69="X","작지 미발행",IF($P69="부분","작지 일부 미발행",IF(AND($R69&lt;&gt;"",$R69&gt;$M69),"소재입고 마감("&amp;TEXT($M69,"MM/DD")&amp;") 초과",IF($P69="","발행여부 확인 필요",IF($R69="","소재 입고일정 확인 필요","정상"))))))</f>
        <v/>
      </c>
      <c r="AE69" s="19">
        <f>IF($J69="","",IF(OR(LEFT($AD69,2)="작지",LEFT($AD69,4)="소재입고"),IF(LEFT($G69,1)="A","★ 납기위험(A코드)","◆ 지연주의"),IF($AD69="정상","✓ 정상","? 확인필요")))</f>
        <v/>
      </c>
      <c r="AF69" s="21" t="n"/>
      <c r="AG69" s="28" t="n"/>
    </row>
    <row r="70">
      <c r="A70" s="19" t="n">
        <v>66</v>
      </c>
      <c r="B70" s="20" t="inlineStr">
        <is>
          <t>이재헌</t>
        </is>
      </c>
      <c r="C70" s="20" t="inlineStr">
        <is>
          <t>조이슬</t>
        </is>
      </c>
      <c r="D70" s="20" t="inlineStr">
        <is>
          <t>TLJJA27421</t>
        </is>
      </c>
      <c r="E70" s="20" t="inlineStr">
        <is>
          <t>남성 소프트 안감 후디드 방풍 재킷</t>
        </is>
      </c>
      <c r="F70" s="20" t="inlineStr">
        <is>
          <t>SHA/DEB</t>
        </is>
      </c>
      <c r="G70" s="19">
        <f>IF($D70="","",IF(MID($D70,5,1)="A","A(가을)",IF(MID($D70,5,1)="W","W(겨울)",IF(MID($D70,5,1)="X","X(사계절)",MID($D70,5,1)))))</f>
        <v/>
      </c>
      <c r="H70" s="19" t="n"/>
      <c r="I70" s="21" t="n"/>
      <c r="J70" s="22">
        <f>IF($I70="","",IFERROR(DATE(기준정보!$C$7,VALUE(LEFT($I70,FIND("월",$I70)-1)),1+7*(VALUE(SUBSTITUTE(MID($I70,FIND("월",$I70)+1,5),"주",""))-1)),""))</f>
        <v/>
      </c>
      <c r="K70" s="22">
        <f>IF($J70="","",IF(AND(ISNUMBER(SEARCH("미얀마",$U70)),$J70-기준정보!$C$5&gt;=기준정보!$C$8,$J70-기준정보!$C$5&lt;=기준정보!$C$9),기준정보!$C$8-1,IF(AND(ISNUMBER(SEARCH("인도네시아",$U70)),$J70-기준정보!$C$5&gt;=기준정보!$C$10,$J70-기준정보!$C$5&lt;=기준정보!$C$11),기준정보!$C$10-1,$J70-기준정보!$C$5)))</f>
        <v/>
      </c>
      <c r="L70" s="23">
        <f>IF($K70="","",IF(ISNUMBER(SEARCH("미얀마",$U70)),MAX(0,MIN($K70,기준정보!$C$9)-MAX($K70-기준정보!$C$6,기준정보!$C$8)+1),IF(ISNUMBER(SEARCH("인도네시아",$U70)),MAX(0,MIN($K70,기준정보!$C$11)-MAX($K70-기준정보!$C$6,기준정보!$C$10)+1),0)))</f>
        <v/>
      </c>
      <c r="M70" s="22">
        <f>IF($K70="","",$K70-기준정보!$C$6-$L70)</f>
        <v/>
      </c>
      <c r="N70" s="24">
        <f>IF($M70="","",$M70-기준정보!$C$4)</f>
        <v/>
      </c>
      <c r="O70" s="21" t="n"/>
      <c r="P70" s="21" t="n"/>
      <c r="Q70" s="21" t="n"/>
      <c r="R70" s="25" t="n"/>
      <c r="S70" s="20">
        <f>IF($H70="","",IF($H70="C","본사(소재팀)",IF($H70="완","생산처","확인 필요")))</f>
        <v/>
      </c>
      <c r="T70" s="20" t="inlineStr">
        <is>
          <t>기도</t>
        </is>
      </c>
      <c r="U70" s="20" t="inlineStr">
        <is>
          <t>미얀마</t>
        </is>
      </c>
      <c r="V70" s="20" t="n"/>
      <c r="W70" s="26" t="n"/>
      <c r="X70" s="26" t="n"/>
      <c r="Y70" s="22" t="n"/>
      <c r="Z70" s="27" t="n">
        <v>3000</v>
      </c>
      <c r="AA70" s="27" t="n">
        <v>195000000</v>
      </c>
      <c r="AB70" s="27" t="n">
        <v>870000000</v>
      </c>
      <c r="AC70" s="20" t="n"/>
      <c r="AD70" s="20">
        <f>IF($J70="","출고일 미정",IF($P70="X","작지 미발행",IF($P70="부분","작지 일부 미발행",IF(AND($R70&lt;&gt;"",$R70&gt;$M70),"소재입고 마감("&amp;TEXT($M70,"MM/DD")&amp;") 초과",IF($P70="","발행여부 확인 필요",IF($R70="","소재 입고일정 확인 필요","정상"))))))</f>
        <v/>
      </c>
      <c r="AE70" s="19">
        <f>IF($J70="","",IF(OR(LEFT($AD70,2)="작지",LEFT($AD70,4)="소재입고"),IF(LEFT($G70,1)="A","★ 납기위험(A코드)","◆ 지연주의"),IF($AD70="정상","✓ 정상","? 확인필요")))</f>
        <v/>
      </c>
      <c r="AF70" s="21" t="n"/>
      <c r="AG70" s="28" t="n"/>
    </row>
    <row r="71">
      <c r="A71" s="19" t="n">
        <v>67</v>
      </c>
      <c r="B71" s="20" t="inlineStr">
        <is>
          <t>이재헌</t>
        </is>
      </c>
      <c r="C71" s="20" t="inlineStr">
        <is>
          <t>조이슬</t>
        </is>
      </c>
      <c r="D71" s="20" t="inlineStr">
        <is>
          <t>TLJJA27431</t>
        </is>
      </c>
      <c r="E71" s="20" t="inlineStr">
        <is>
          <t>남성 소프트쉘 스탠드넥 방풍 재킷</t>
        </is>
      </c>
      <c r="F71" s="20" t="inlineStr">
        <is>
          <t>CTP/CHR</t>
        </is>
      </c>
      <c r="G71" s="19">
        <f>IF($D71="","",IF(MID($D71,5,1)="A","A(가을)",IF(MID($D71,5,1)="W","W(겨울)",IF(MID($D71,5,1)="X","X(사계절)",MID($D71,5,1)))))</f>
        <v/>
      </c>
      <c r="H71" s="19" t="n"/>
      <c r="I71" s="21" t="n"/>
      <c r="J71" s="22">
        <f>IF($I71="","",IFERROR(DATE(기준정보!$C$7,VALUE(LEFT($I71,FIND("월",$I71)-1)),1+7*(VALUE(SUBSTITUTE(MID($I71,FIND("월",$I71)+1,5),"주",""))-1)),""))</f>
        <v/>
      </c>
      <c r="K71" s="22">
        <f>IF($J71="","",IF(AND(ISNUMBER(SEARCH("미얀마",$U71)),$J71-기준정보!$C$5&gt;=기준정보!$C$8,$J71-기준정보!$C$5&lt;=기준정보!$C$9),기준정보!$C$8-1,IF(AND(ISNUMBER(SEARCH("인도네시아",$U71)),$J71-기준정보!$C$5&gt;=기준정보!$C$10,$J71-기준정보!$C$5&lt;=기준정보!$C$11),기준정보!$C$10-1,$J71-기준정보!$C$5)))</f>
        <v/>
      </c>
      <c r="L71" s="23">
        <f>IF($K71="","",IF(ISNUMBER(SEARCH("미얀마",$U71)),MAX(0,MIN($K71,기준정보!$C$9)-MAX($K71-기준정보!$C$6,기준정보!$C$8)+1),IF(ISNUMBER(SEARCH("인도네시아",$U71)),MAX(0,MIN($K71,기준정보!$C$11)-MAX($K71-기준정보!$C$6,기준정보!$C$10)+1),0)))</f>
        <v/>
      </c>
      <c r="M71" s="22">
        <f>IF($K71="","",$K71-기준정보!$C$6-$L71)</f>
        <v/>
      </c>
      <c r="N71" s="24">
        <f>IF($M71="","",$M71-기준정보!$C$4)</f>
        <v/>
      </c>
      <c r="O71" s="21" t="n"/>
      <c r="P71" s="21" t="n"/>
      <c r="Q71" s="21" t="n"/>
      <c r="R71" s="25" t="n"/>
      <c r="S71" s="20">
        <f>IF($H71="","",IF($H71="C","본사(소재팀)",IF($H71="완","생산처","확인 필요")))</f>
        <v/>
      </c>
      <c r="T71" s="20" t="inlineStr">
        <is>
          <t>원전</t>
        </is>
      </c>
      <c r="U71" s="20" t="inlineStr">
        <is>
          <t>미얀마</t>
        </is>
      </c>
      <c r="V71" s="20" t="n"/>
      <c r="W71" s="26" t="n"/>
      <c r="X71" s="26" t="n"/>
      <c r="Y71" s="22" t="n"/>
      <c r="Z71" s="27" t="n">
        <v>2000</v>
      </c>
      <c r="AA71" s="27" t="n">
        <v>110000000</v>
      </c>
      <c r="AB71" s="27" t="n">
        <v>580000000</v>
      </c>
      <c r="AC71" s="20" t="n"/>
      <c r="AD71" s="20">
        <f>IF($J71="","출고일 미정",IF($P71="X","작지 미발행",IF($P71="부분","작지 일부 미발행",IF(AND($R71&lt;&gt;"",$R71&gt;$M71),"소재입고 마감("&amp;TEXT($M71,"MM/DD")&amp;") 초과",IF($P71="","발행여부 확인 필요",IF($R71="","소재 입고일정 확인 필요","정상"))))))</f>
        <v/>
      </c>
      <c r="AE71" s="19">
        <f>IF($J71="","",IF(OR(LEFT($AD71,2)="작지",LEFT($AD71,4)="소재입고"),IF(LEFT($G71,1)="A","★ 납기위험(A코드)","◆ 지연주의"),IF($AD71="정상","✓ 정상","? 확인필요")))</f>
        <v/>
      </c>
      <c r="AF71" s="21" t="n"/>
      <c r="AG71" s="28" t="n"/>
    </row>
    <row r="72">
      <c r="A72" s="19" t="n">
        <v>68</v>
      </c>
      <c r="B72" s="20" t="inlineStr">
        <is>
          <t>박술홍</t>
        </is>
      </c>
      <c r="C72" s="20" t="inlineStr">
        <is>
          <t>조이슬</t>
        </is>
      </c>
      <c r="D72" s="20" t="inlineStr">
        <is>
          <t>TLPNA27401</t>
        </is>
      </c>
      <c r="E72" s="20" t="inlineStr">
        <is>
          <t>남성 베이직 슬림핏 노턱 팬츠</t>
        </is>
      </c>
      <c r="F72" s="20" t="inlineStr">
        <is>
          <t>CHR/MID</t>
        </is>
      </c>
      <c r="G72" s="19">
        <f>IF($D72="","",IF(MID($D72,5,1)="A","A(가을)",IF(MID($D72,5,1)="W","W(겨울)",IF(MID($D72,5,1)="X","X(사계절)",MID($D72,5,1)))))</f>
        <v/>
      </c>
      <c r="H72" s="19" t="n"/>
      <c r="I72" s="21" t="n"/>
      <c r="J72" s="22">
        <f>IF($I72="","",IFERROR(DATE(기준정보!$C$7,VALUE(LEFT($I72,FIND("월",$I72)-1)),1+7*(VALUE(SUBSTITUTE(MID($I72,FIND("월",$I72)+1,5),"주",""))-1)),""))</f>
        <v/>
      </c>
      <c r="K72" s="22">
        <f>IF($J72="","",IF(AND(ISNUMBER(SEARCH("미얀마",$U72)),$J72-기준정보!$C$5&gt;=기준정보!$C$8,$J72-기준정보!$C$5&lt;=기준정보!$C$9),기준정보!$C$8-1,IF(AND(ISNUMBER(SEARCH("인도네시아",$U72)),$J72-기준정보!$C$5&gt;=기준정보!$C$10,$J72-기준정보!$C$5&lt;=기준정보!$C$11),기준정보!$C$10-1,$J72-기준정보!$C$5)))</f>
        <v/>
      </c>
      <c r="L72" s="23">
        <f>IF($K72="","",IF(ISNUMBER(SEARCH("미얀마",$U72)),MAX(0,MIN($K72,기준정보!$C$9)-MAX($K72-기준정보!$C$6,기준정보!$C$8)+1),IF(ISNUMBER(SEARCH("인도네시아",$U72)),MAX(0,MIN($K72,기준정보!$C$11)-MAX($K72-기준정보!$C$6,기준정보!$C$10)+1),0)))</f>
        <v/>
      </c>
      <c r="M72" s="22">
        <f>IF($K72="","",$K72-기준정보!$C$6-$L72)</f>
        <v/>
      </c>
      <c r="N72" s="24">
        <f>IF($M72="","",$M72-기준정보!$C$4)</f>
        <v/>
      </c>
      <c r="O72" s="21" t="n"/>
      <c r="P72" s="21" t="n"/>
      <c r="Q72" s="21" t="n"/>
      <c r="R72" s="25" t="n"/>
      <c r="S72" s="20">
        <f>IF($H72="","",IF($H72="C","본사(소재팀)",IF($H72="완","생산처","확인 필요")))</f>
        <v/>
      </c>
      <c r="T72" s="20" t="inlineStr">
        <is>
          <t>TBO</t>
        </is>
      </c>
      <c r="U72" s="20" t="inlineStr">
        <is>
          <t>베트남</t>
        </is>
      </c>
      <c r="V72" s="20" t="n"/>
      <c r="W72" s="26" t="n"/>
      <c r="X72" s="26" t="n"/>
      <c r="Y72" s="22" t="n"/>
      <c r="Z72" s="27" t="n">
        <v>6000</v>
      </c>
      <c r="AA72" s="27" t="n">
        <v>192738000</v>
      </c>
      <c r="AB72" s="27" t="n">
        <v>1068000000</v>
      </c>
      <c r="AC72" s="20" t="n"/>
      <c r="AD72" s="20">
        <f>IF($J72="","출고일 미정",IF($P72="X","작지 미발행",IF($P72="부분","작지 일부 미발행",IF(AND($R72&lt;&gt;"",$R72&gt;$M72),"소재입고 마감("&amp;TEXT($M72,"MM/DD")&amp;") 초과",IF($P72="","발행여부 확인 필요",IF($R72="","소재 입고일정 확인 필요","정상"))))))</f>
        <v/>
      </c>
      <c r="AE72" s="19">
        <f>IF($J72="","",IF(OR(LEFT($AD72,2)="작지",LEFT($AD72,4)="소재입고"),IF(LEFT($G72,1)="A","★ 납기위험(A코드)","◆ 지연주의"),IF($AD72="정상","✓ 정상","? 확인필요")))</f>
        <v/>
      </c>
      <c r="AF72" s="21" t="n"/>
      <c r="AG72" s="28" t="n"/>
    </row>
    <row r="73">
      <c r="A73" s="19" t="n">
        <v>69</v>
      </c>
      <c r="B73" s="20" t="inlineStr">
        <is>
          <t>박술홍</t>
        </is>
      </c>
      <c r="C73" s="20" t="inlineStr">
        <is>
          <t>조이슬</t>
        </is>
      </c>
      <c r="D73" s="20" t="inlineStr">
        <is>
          <t>TLPNA27403</t>
        </is>
      </c>
      <c r="E73" s="20" t="inlineStr">
        <is>
          <t>남성 베이직 원턱 팬츠</t>
        </is>
      </c>
      <c r="F73" s="20" t="inlineStr">
        <is>
          <t>DEB/DNV</t>
        </is>
      </c>
      <c r="G73" s="19">
        <f>IF($D73="","",IF(MID($D73,5,1)="A","A(가을)",IF(MID($D73,5,1)="W","W(겨울)",IF(MID($D73,5,1)="X","X(사계절)",MID($D73,5,1)))))</f>
        <v/>
      </c>
      <c r="H73" s="19" t="n"/>
      <c r="I73" s="21" t="n"/>
      <c r="J73" s="22">
        <f>IF($I73="","",IFERROR(DATE(기준정보!$C$7,VALUE(LEFT($I73,FIND("월",$I73)-1)),1+7*(VALUE(SUBSTITUTE(MID($I73,FIND("월",$I73)+1,5),"주",""))-1)),""))</f>
        <v/>
      </c>
      <c r="K73" s="22">
        <f>IF($J73="","",IF(AND(ISNUMBER(SEARCH("미얀마",$U73)),$J73-기준정보!$C$5&gt;=기준정보!$C$8,$J73-기준정보!$C$5&lt;=기준정보!$C$9),기준정보!$C$8-1,IF(AND(ISNUMBER(SEARCH("인도네시아",$U73)),$J73-기준정보!$C$5&gt;=기준정보!$C$10,$J73-기준정보!$C$5&lt;=기준정보!$C$11),기준정보!$C$10-1,$J73-기준정보!$C$5)))</f>
        <v/>
      </c>
      <c r="L73" s="23">
        <f>IF($K73="","",IF(ISNUMBER(SEARCH("미얀마",$U73)),MAX(0,MIN($K73,기준정보!$C$9)-MAX($K73-기준정보!$C$6,기준정보!$C$8)+1),IF(ISNUMBER(SEARCH("인도네시아",$U73)),MAX(0,MIN($K73,기준정보!$C$11)-MAX($K73-기준정보!$C$6,기준정보!$C$10)+1),0)))</f>
        <v/>
      </c>
      <c r="M73" s="22">
        <f>IF($K73="","",$K73-기준정보!$C$6-$L73)</f>
        <v/>
      </c>
      <c r="N73" s="24">
        <f>IF($M73="","",$M73-기준정보!$C$4)</f>
        <v/>
      </c>
      <c r="O73" s="21" t="n"/>
      <c r="P73" s="21" t="n"/>
      <c r="Q73" s="21" t="n"/>
      <c r="R73" s="25" t="n"/>
      <c r="S73" s="20">
        <f>IF($H73="","",IF($H73="C","본사(소재팀)",IF($H73="완","생산처","확인 필요")))</f>
        <v/>
      </c>
      <c r="T73" s="20" t="inlineStr">
        <is>
          <t>거림</t>
        </is>
      </c>
      <c r="U73" s="20" t="inlineStr">
        <is>
          <t>베트남</t>
        </is>
      </c>
      <c r="V73" s="20" t="n"/>
      <c r="W73" s="26" t="n"/>
      <c r="X73" s="26" t="n"/>
      <c r="Y73" s="22" t="n"/>
      <c r="Z73" s="27" t="n">
        <v>4000</v>
      </c>
      <c r="AA73" s="27" t="n">
        <v>123596000</v>
      </c>
      <c r="AB73" s="27" t="n">
        <v>712000000</v>
      </c>
      <c r="AC73" s="20" t="n"/>
      <c r="AD73" s="20">
        <f>IF($J73="","출고일 미정",IF($P73="X","작지 미발행",IF($P73="부분","작지 일부 미발행",IF(AND($R73&lt;&gt;"",$R73&gt;$M73),"소재입고 마감("&amp;TEXT($M73,"MM/DD")&amp;") 초과",IF($P73="","발행여부 확인 필요",IF($R73="","소재 입고일정 확인 필요","정상"))))))</f>
        <v/>
      </c>
      <c r="AE73" s="19">
        <f>IF($J73="","",IF(OR(LEFT($AD73,2)="작지",LEFT($AD73,4)="소재입고"),IF(LEFT($G73,1)="A","★ 납기위험(A코드)","◆ 지연주의"),IF($AD73="정상","✓ 정상","? 확인필요")))</f>
        <v/>
      </c>
      <c r="AF73" s="21" t="n"/>
      <c r="AG73" s="28" t="n"/>
    </row>
    <row r="74">
      <c r="A74" s="19" t="n">
        <v>70</v>
      </c>
      <c r="B74" s="20" t="inlineStr">
        <is>
          <t>박술홍</t>
        </is>
      </c>
      <c r="C74" s="20" t="inlineStr">
        <is>
          <t>조이슬</t>
        </is>
      </c>
      <c r="D74" s="20" t="inlineStr">
        <is>
          <t>TLPNA27405</t>
        </is>
      </c>
      <c r="E74" s="20" t="inlineStr">
        <is>
          <t>남성 위고 팬츠</t>
        </is>
      </c>
      <c r="F74" s="20" t="inlineStr">
        <is>
          <t>DEB</t>
        </is>
      </c>
      <c r="G74" s="19">
        <f>IF($D74="","",IF(MID($D74,5,1)="A","A(가을)",IF(MID($D74,5,1)="W","W(겨울)",IF(MID($D74,5,1)="X","X(사계절)",MID($D74,5,1)))))</f>
        <v/>
      </c>
      <c r="H74" s="19" t="n"/>
      <c r="I74" s="21" t="n"/>
      <c r="J74" s="22">
        <f>IF($I74="","",IFERROR(DATE(기준정보!$C$7,VALUE(LEFT($I74,FIND("월",$I74)-1)),1+7*(VALUE(SUBSTITUTE(MID($I74,FIND("월",$I74)+1,5),"주",""))-1)),""))</f>
        <v/>
      </c>
      <c r="K74" s="22">
        <f>IF($J74="","",IF(AND(ISNUMBER(SEARCH("미얀마",$U74)),$J74-기준정보!$C$5&gt;=기준정보!$C$8,$J74-기준정보!$C$5&lt;=기준정보!$C$9),기준정보!$C$8-1,IF(AND(ISNUMBER(SEARCH("인도네시아",$U74)),$J74-기준정보!$C$5&gt;=기준정보!$C$10,$J74-기준정보!$C$5&lt;=기준정보!$C$11),기준정보!$C$10-1,$J74-기준정보!$C$5)))</f>
        <v/>
      </c>
      <c r="L74" s="23">
        <f>IF($K74="","",IF(ISNUMBER(SEARCH("미얀마",$U74)),MAX(0,MIN($K74,기준정보!$C$9)-MAX($K74-기준정보!$C$6,기준정보!$C$8)+1),IF(ISNUMBER(SEARCH("인도네시아",$U74)),MAX(0,MIN($K74,기준정보!$C$11)-MAX($K74-기준정보!$C$6,기준정보!$C$10)+1),0)))</f>
        <v/>
      </c>
      <c r="M74" s="22">
        <f>IF($K74="","",$K74-기준정보!$C$6-$L74)</f>
        <v/>
      </c>
      <c r="N74" s="24">
        <f>IF($M74="","",$M74-기준정보!$C$4)</f>
        <v/>
      </c>
      <c r="O74" s="21" t="n"/>
      <c r="P74" s="21" t="n"/>
      <c r="Q74" s="21" t="n"/>
      <c r="R74" s="25" t="n"/>
      <c r="S74" s="20">
        <f>IF($H74="","",IF($H74="C","본사(소재팀)",IF($H74="완","생산처","확인 필요")))</f>
        <v/>
      </c>
      <c r="T74" s="20" t="inlineStr">
        <is>
          <t>거림</t>
        </is>
      </c>
      <c r="U74" s="20" t="inlineStr">
        <is>
          <t>베트남</t>
        </is>
      </c>
      <c r="V74" s="20" t="n"/>
      <c r="W74" s="26" t="n"/>
      <c r="X74" s="26" t="n"/>
      <c r="Y74" s="22" t="n"/>
      <c r="Z74" s="27" t="n">
        <v>1500</v>
      </c>
      <c r="AA74" s="27" t="n">
        <v>76852500</v>
      </c>
      <c r="AB74" s="27" t="n">
        <v>330000000</v>
      </c>
      <c r="AC74" s="20" t="n"/>
      <c r="AD74" s="20">
        <f>IF($J74="","출고일 미정",IF($P74="X","작지 미발행",IF($P74="부분","작지 일부 미발행",IF(AND($R74&lt;&gt;"",$R74&gt;$M74),"소재입고 마감("&amp;TEXT($M74,"MM/DD")&amp;") 초과",IF($P74="","발행여부 확인 필요",IF($R74="","소재 입고일정 확인 필요","정상"))))))</f>
        <v/>
      </c>
      <c r="AE74" s="19">
        <f>IF($J74="","",IF(OR(LEFT($AD74,2)="작지",LEFT($AD74,4)="소재입고"),IF(LEFT($G74,1)="A","★ 납기위험(A코드)","◆ 지연주의"),IF($AD74="정상","✓ 정상","? 확인필요")))</f>
        <v/>
      </c>
      <c r="AF74" s="21" t="n"/>
      <c r="AG74" s="28" t="n"/>
    </row>
    <row r="75">
      <c r="A75" s="19" t="n">
        <v>71</v>
      </c>
      <c r="B75" s="20" t="inlineStr">
        <is>
          <t>박술홍</t>
        </is>
      </c>
      <c r="C75" s="20" t="inlineStr">
        <is>
          <t>조이슬</t>
        </is>
      </c>
      <c r="D75" s="20" t="inlineStr">
        <is>
          <t>TLPNA27411</t>
        </is>
      </c>
      <c r="E75" s="20" t="inlineStr">
        <is>
          <t>남성 테이퍼드 트레이닝 팬츠</t>
        </is>
      </c>
      <c r="F75" s="20" t="inlineStr">
        <is>
          <t>DEB/CHR</t>
        </is>
      </c>
      <c r="G75" s="19">
        <f>IF($D75="","",IF(MID($D75,5,1)="A","A(가을)",IF(MID($D75,5,1)="W","W(겨울)",IF(MID($D75,5,1)="X","X(사계절)",MID($D75,5,1)))))</f>
        <v/>
      </c>
      <c r="H75" s="19" t="n"/>
      <c r="I75" s="21" t="n"/>
      <c r="J75" s="22">
        <f>IF($I75="","",IFERROR(DATE(기준정보!$C$7,VALUE(LEFT($I75,FIND("월",$I75)-1)),1+7*(VALUE(SUBSTITUTE(MID($I75,FIND("월",$I75)+1,5),"주",""))-1)),""))</f>
        <v/>
      </c>
      <c r="K75" s="22">
        <f>IF($J75="","",IF(AND(ISNUMBER(SEARCH("미얀마",$U75)),$J75-기준정보!$C$5&gt;=기준정보!$C$8,$J75-기준정보!$C$5&lt;=기준정보!$C$9),기준정보!$C$8-1,IF(AND(ISNUMBER(SEARCH("인도네시아",$U75)),$J75-기준정보!$C$5&gt;=기준정보!$C$10,$J75-기준정보!$C$5&lt;=기준정보!$C$11),기준정보!$C$10-1,$J75-기준정보!$C$5)))</f>
        <v/>
      </c>
      <c r="L75" s="23">
        <f>IF($K75="","",IF(ISNUMBER(SEARCH("미얀마",$U75)),MAX(0,MIN($K75,기준정보!$C$9)-MAX($K75-기준정보!$C$6,기준정보!$C$8)+1),IF(ISNUMBER(SEARCH("인도네시아",$U75)),MAX(0,MIN($K75,기준정보!$C$11)-MAX($K75-기준정보!$C$6,기준정보!$C$10)+1),0)))</f>
        <v/>
      </c>
      <c r="M75" s="22">
        <f>IF($K75="","",$K75-기준정보!$C$6-$L75)</f>
        <v/>
      </c>
      <c r="N75" s="24">
        <f>IF($M75="","",$M75-기준정보!$C$4)</f>
        <v/>
      </c>
      <c r="O75" s="21" t="n"/>
      <c r="P75" s="21" t="n"/>
      <c r="Q75" s="21" t="n"/>
      <c r="R75" s="25" t="n"/>
      <c r="S75" s="20">
        <f>IF($H75="","",IF($H75="C","본사(소재팀)",IF($H75="완","생산처","확인 필요")))</f>
        <v/>
      </c>
      <c r="T75" s="20" t="inlineStr">
        <is>
          <t>YIC</t>
        </is>
      </c>
      <c r="U75" s="20" t="inlineStr">
        <is>
          <t>베트남</t>
        </is>
      </c>
      <c r="V75" s="20" t="n"/>
      <c r="W75" s="26" t="n"/>
      <c r="X75" s="26" t="n"/>
      <c r="Y75" s="22" t="n"/>
      <c r="Z75" s="27" t="n">
        <v>1500</v>
      </c>
      <c r="AA75" s="27" t="n">
        <v>58072500</v>
      </c>
      <c r="AB75" s="27" t="n">
        <v>267000000</v>
      </c>
      <c r="AC75" s="20" t="n"/>
      <c r="AD75" s="20">
        <f>IF($J75="","출고일 미정",IF($P75="X","작지 미발행",IF($P75="부분","작지 일부 미발행",IF(AND($R75&lt;&gt;"",$R75&gt;$M75),"소재입고 마감("&amp;TEXT($M75,"MM/DD")&amp;") 초과",IF($P75="","발행여부 확인 필요",IF($R75="","소재 입고일정 확인 필요","정상"))))))</f>
        <v/>
      </c>
      <c r="AE75" s="19">
        <f>IF($J75="","",IF(OR(LEFT($AD75,2)="작지",LEFT($AD75,4)="소재입고"),IF(LEFT($G75,1)="A","★ 납기위험(A코드)","◆ 지연주의"),IF($AD75="정상","✓ 정상","? 확인필요")))</f>
        <v/>
      </c>
      <c r="AF75" s="21" t="n"/>
      <c r="AG75" s="28" t="n"/>
    </row>
    <row r="76">
      <c r="A76" s="19" t="n">
        <v>72</v>
      </c>
      <c r="B76" s="20" t="inlineStr">
        <is>
          <t>박술홍</t>
        </is>
      </c>
      <c r="C76" s="20" t="inlineStr">
        <is>
          <t>조이슬</t>
        </is>
      </c>
      <c r="D76" s="20" t="inlineStr">
        <is>
          <t>TLPNA27431</t>
        </is>
      </c>
      <c r="E76" s="20" t="inlineStr">
        <is>
          <t>남성 소프트쉘 팬츠</t>
        </is>
      </c>
      <c r="F76" s="20" t="inlineStr">
        <is>
          <t>CHR/CTP</t>
        </is>
      </c>
      <c r="G76" s="19">
        <f>IF($D76="","",IF(MID($D76,5,1)="A","A(가을)",IF(MID($D76,5,1)="W","W(겨울)",IF(MID($D76,5,1)="X","X(사계절)",MID($D76,5,1)))))</f>
        <v/>
      </c>
      <c r="H76" s="19" t="n"/>
      <c r="I76" s="21" t="n"/>
      <c r="J76" s="22">
        <f>IF($I76="","",IFERROR(DATE(기준정보!$C$7,VALUE(LEFT($I76,FIND("월",$I76)-1)),1+7*(VALUE(SUBSTITUTE(MID($I76,FIND("월",$I76)+1,5),"주",""))-1)),""))</f>
        <v/>
      </c>
      <c r="K76" s="22">
        <f>IF($J76="","",IF(AND(ISNUMBER(SEARCH("미얀마",$U76)),$J76-기준정보!$C$5&gt;=기준정보!$C$8,$J76-기준정보!$C$5&lt;=기준정보!$C$9),기준정보!$C$8-1,IF(AND(ISNUMBER(SEARCH("인도네시아",$U76)),$J76-기준정보!$C$5&gt;=기준정보!$C$10,$J76-기준정보!$C$5&lt;=기준정보!$C$11),기준정보!$C$10-1,$J76-기준정보!$C$5)))</f>
        <v/>
      </c>
      <c r="L76" s="23">
        <f>IF($K76="","",IF(ISNUMBER(SEARCH("미얀마",$U76)),MAX(0,MIN($K76,기준정보!$C$9)-MAX($K76-기준정보!$C$6,기준정보!$C$8)+1),IF(ISNUMBER(SEARCH("인도네시아",$U76)),MAX(0,MIN($K76,기준정보!$C$11)-MAX($K76-기준정보!$C$6,기준정보!$C$10)+1),0)))</f>
        <v/>
      </c>
      <c r="M76" s="22">
        <f>IF($K76="","",$K76-기준정보!$C$6-$L76)</f>
        <v/>
      </c>
      <c r="N76" s="24">
        <f>IF($M76="","",$M76-기준정보!$C$4)</f>
        <v/>
      </c>
      <c r="O76" s="21" t="n"/>
      <c r="P76" s="21" t="n"/>
      <c r="Q76" s="21" t="n"/>
      <c r="R76" s="25" t="n"/>
      <c r="S76" s="20">
        <f>IF($H76="","",IF($H76="C","본사(소재팀)",IF($H76="완","생산처","확인 필요")))</f>
        <v/>
      </c>
      <c r="T76" s="20" t="inlineStr">
        <is>
          <t>YIC</t>
        </is>
      </c>
      <c r="U76" s="20" t="inlineStr">
        <is>
          <t>베트남</t>
        </is>
      </c>
      <c r="V76" s="20" t="n"/>
      <c r="W76" s="26" t="n"/>
      <c r="X76" s="26" t="n"/>
      <c r="Y76" s="22" t="n"/>
      <c r="Z76" s="27" t="n">
        <v>2500</v>
      </c>
      <c r="AA76" s="27" t="n">
        <v>107852500</v>
      </c>
      <c r="AB76" s="27" t="n">
        <v>470000000</v>
      </c>
      <c r="AC76" s="20" t="n"/>
      <c r="AD76" s="20">
        <f>IF($J76="","출고일 미정",IF($P76="X","작지 미발행",IF($P76="부분","작지 일부 미발행",IF(AND($R76&lt;&gt;"",$R76&gt;$M76),"소재입고 마감("&amp;TEXT($M76,"MM/DD")&amp;") 초과",IF($P76="","발행여부 확인 필요",IF($R76="","소재 입고일정 확인 필요","정상"))))))</f>
        <v/>
      </c>
      <c r="AE76" s="19">
        <f>IF($J76="","",IF(OR(LEFT($AD76,2)="작지",LEFT($AD76,4)="소재입고"),IF(LEFT($G76,1)="A","★ 납기위험(A코드)","◆ 지연주의"),IF($AD76="정상","✓ 정상","? 확인필요")))</f>
        <v/>
      </c>
      <c r="AF76" s="21" t="n"/>
      <c r="AG76" s="28" t="n"/>
    </row>
    <row r="77">
      <c r="A77" s="19" t="n">
        <v>73</v>
      </c>
      <c r="B77" s="20" t="inlineStr">
        <is>
          <t>박술홍</t>
        </is>
      </c>
      <c r="C77" s="20" t="inlineStr">
        <is>
          <t>조이슬</t>
        </is>
      </c>
      <c r="D77" s="20" t="inlineStr">
        <is>
          <t>TLSXA27401</t>
        </is>
      </c>
      <c r="E77" s="20" t="inlineStr">
        <is>
          <t>남성 긴팔 셔츠</t>
        </is>
      </c>
      <c r="F77" s="20" t="inlineStr">
        <is>
          <t>DEB/RBW</t>
        </is>
      </c>
      <c r="G77" s="19">
        <f>IF($D77="","",IF(MID($D77,5,1)="A","A(가을)",IF(MID($D77,5,1)="W","W(겨울)",IF(MID($D77,5,1)="X","X(사계절)",MID($D77,5,1)))))</f>
        <v/>
      </c>
      <c r="H77" s="19" t="n"/>
      <c r="I77" s="21" t="n"/>
      <c r="J77" s="22">
        <f>IF($I77="","",IFERROR(DATE(기준정보!$C$7,VALUE(LEFT($I77,FIND("월",$I77)-1)),1+7*(VALUE(SUBSTITUTE(MID($I77,FIND("월",$I77)+1,5),"주",""))-1)),""))</f>
        <v/>
      </c>
      <c r="K77" s="22">
        <f>IF($J77="","",IF(AND(ISNUMBER(SEARCH("미얀마",$U77)),$J77-기준정보!$C$5&gt;=기준정보!$C$8,$J77-기준정보!$C$5&lt;=기준정보!$C$9),기준정보!$C$8-1,IF(AND(ISNUMBER(SEARCH("인도네시아",$U77)),$J77-기준정보!$C$5&gt;=기준정보!$C$10,$J77-기준정보!$C$5&lt;=기준정보!$C$11),기준정보!$C$10-1,$J77-기준정보!$C$5)))</f>
        <v/>
      </c>
      <c r="L77" s="23">
        <f>IF($K77="","",IF(ISNUMBER(SEARCH("미얀마",$U77)),MAX(0,MIN($K77,기준정보!$C$9)-MAX($K77-기준정보!$C$6,기준정보!$C$8)+1),IF(ISNUMBER(SEARCH("인도네시아",$U77)),MAX(0,MIN($K77,기준정보!$C$11)-MAX($K77-기준정보!$C$6,기준정보!$C$10)+1),0)))</f>
        <v/>
      </c>
      <c r="M77" s="22">
        <f>IF($K77="","",$K77-기준정보!$C$6-$L77)</f>
        <v/>
      </c>
      <c r="N77" s="24">
        <f>IF($M77="","",$M77-기준정보!$C$4)</f>
        <v/>
      </c>
      <c r="O77" s="21" t="n"/>
      <c r="P77" s="21" t="n"/>
      <c r="Q77" s="21" t="n"/>
      <c r="R77" s="25" t="n"/>
      <c r="S77" s="20">
        <f>IF($H77="","",IF($H77="C","본사(소재팀)",IF($H77="완","생산처","확인 필요")))</f>
        <v/>
      </c>
      <c r="T77" s="20" t="inlineStr">
        <is>
          <t>픽스쳐</t>
        </is>
      </c>
      <c r="U77" s="20" t="inlineStr">
        <is>
          <t>베트남</t>
        </is>
      </c>
      <c r="V77" s="20" t="n"/>
      <c r="W77" s="26" t="n"/>
      <c r="X77" s="26" t="n"/>
      <c r="Y77" s="22" t="n"/>
      <c r="Z77" s="27" t="n">
        <v>2000</v>
      </c>
      <c r="AA77" s="27" t="n">
        <v>65908000</v>
      </c>
      <c r="AB77" s="27" t="n">
        <v>336000000</v>
      </c>
      <c r="AC77" s="20" t="n"/>
      <c r="AD77" s="20">
        <f>IF($J77="","출고일 미정",IF($P77="X","작지 미발행",IF($P77="부분","작지 일부 미발행",IF(AND($R77&lt;&gt;"",$R77&gt;$M77),"소재입고 마감("&amp;TEXT($M77,"MM/DD")&amp;") 초과",IF($P77="","발행여부 확인 필요",IF($R77="","소재 입고일정 확인 필요","정상"))))))</f>
        <v/>
      </c>
      <c r="AE77" s="19">
        <f>IF($J77="","",IF(OR(LEFT($AD77,2)="작지",LEFT($AD77,4)="소재입고"),IF(LEFT($G77,1)="A","★ 납기위험(A코드)","◆ 지연주의"),IF($AD77="정상","✓ 정상","? 확인필요")))</f>
        <v/>
      </c>
      <c r="AF77" s="21" t="n"/>
      <c r="AG77" s="28" t="n"/>
    </row>
    <row r="78">
      <c r="A78" s="19" t="n">
        <v>74</v>
      </c>
      <c r="B78" s="20" t="inlineStr">
        <is>
          <t>박술홍</t>
        </is>
      </c>
      <c r="C78" s="20" t="inlineStr">
        <is>
          <t>조이슬</t>
        </is>
      </c>
      <c r="D78" s="20" t="inlineStr">
        <is>
          <t>TLSXA27411</t>
        </is>
      </c>
      <c r="E78" s="20" t="inlineStr">
        <is>
          <t>남녀공용 소프트쉘 긴팔 셔츠</t>
        </is>
      </c>
      <c r="F78" s="20" t="inlineStr">
        <is>
          <t>DEB/SKA</t>
        </is>
      </c>
      <c r="G78" s="19">
        <f>IF($D78="","",IF(MID($D78,5,1)="A","A(가을)",IF(MID($D78,5,1)="W","W(겨울)",IF(MID($D78,5,1)="X","X(사계절)",MID($D78,5,1)))))</f>
        <v/>
      </c>
      <c r="H78" s="19" t="n"/>
      <c r="I78" s="21" t="n"/>
      <c r="J78" s="22">
        <f>IF($I78="","",IFERROR(DATE(기준정보!$C$7,VALUE(LEFT($I78,FIND("월",$I78)-1)),1+7*(VALUE(SUBSTITUTE(MID($I78,FIND("월",$I78)+1,5),"주",""))-1)),""))</f>
        <v/>
      </c>
      <c r="K78" s="22">
        <f>IF($J78="","",IF(AND(ISNUMBER(SEARCH("미얀마",$U78)),$J78-기준정보!$C$5&gt;=기준정보!$C$8,$J78-기준정보!$C$5&lt;=기준정보!$C$9),기준정보!$C$8-1,IF(AND(ISNUMBER(SEARCH("인도네시아",$U78)),$J78-기준정보!$C$5&gt;=기준정보!$C$10,$J78-기준정보!$C$5&lt;=기준정보!$C$11),기준정보!$C$10-1,$J78-기준정보!$C$5)))</f>
        <v/>
      </c>
      <c r="L78" s="23">
        <f>IF($K78="","",IF(ISNUMBER(SEARCH("미얀마",$U78)),MAX(0,MIN($K78,기준정보!$C$9)-MAX($K78-기준정보!$C$6,기준정보!$C$8)+1),IF(ISNUMBER(SEARCH("인도네시아",$U78)),MAX(0,MIN($K78,기준정보!$C$11)-MAX($K78-기준정보!$C$6,기준정보!$C$10)+1),0)))</f>
        <v/>
      </c>
      <c r="M78" s="22">
        <f>IF($K78="","",$K78-기준정보!$C$6-$L78)</f>
        <v/>
      </c>
      <c r="N78" s="24">
        <f>IF($M78="","",$M78-기준정보!$C$4)</f>
        <v/>
      </c>
      <c r="O78" s="21" t="n"/>
      <c r="P78" s="21" t="n"/>
      <c r="Q78" s="21" t="n"/>
      <c r="R78" s="25" t="n"/>
      <c r="S78" s="20">
        <f>IF($H78="","",IF($H78="C","본사(소재팀)",IF($H78="완","생산처","확인 필요")))</f>
        <v/>
      </c>
      <c r="T78" s="20" t="inlineStr">
        <is>
          <t>성원</t>
        </is>
      </c>
      <c r="U78" s="20" t="inlineStr">
        <is>
          <t>베트남</t>
        </is>
      </c>
      <c r="V78" s="20" t="n"/>
      <c r="W78" s="26" t="n"/>
      <c r="X78" s="26" t="n"/>
      <c r="Y78" s="22" t="n"/>
      <c r="Z78" s="27" t="n">
        <v>1500</v>
      </c>
      <c r="AA78" s="27" t="n">
        <v>55263000</v>
      </c>
      <c r="AB78" s="27" t="n">
        <v>282000000</v>
      </c>
      <c r="AC78" s="20" t="n"/>
      <c r="AD78" s="20">
        <f>IF($J78="","출고일 미정",IF($P78="X","작지 미발행",IF($P78="부분","작지 일부 미발행",IF(AND($R78&lt;&gt;"",$R78&gt;$M78),"소재입고 마감("&amp;TEXT($M78,"MM/DD")&amp;") 초과",IF($P78="","발행여부 확인 필요",IF($R78="","소재 입고일정 확인 필요","정상"))))))</f>
        <v/>
      </c>
      <c r="AE78" s="19">
        <f>IF($J78="","",IF(OR(LEFT($AD78,2)="작지",LEFT($AD78,4)="소재입고"),IF(LEFT($G78,1)="A","★ 납기위험(A코드)","◆ 지연주의"),IF($AD78="정상","✓ 정상","? 확인필요")))</f>
        <v/>
      </c>
      <c r="AF78" s="21" t="n"/>
      <c r="AG78" s="28" t="n"/>
    </row>
    <row r="79">
      <c r="A79" s="19" t="n">
        <v>75</v>
      </c>
      <c r="B79" s="20" t="inlineStr">
        <is>
          <t>이재헌</t>
        </is>
      </c>
      <c r="C79" s="20" t="inlineStr">
        <is>
          <t>조이슬</t>
        </is>
      </c>
      <c r="D79" s="20" t="inlineStr">
        <is>
          <t>TNJJA27411</t>
        </is>
      </c>
      <c r="E79" s="20" t="inlineStr">
        <is>
          <t>남녀공용 메쉬 안감 후디드 방풍 재킷</t>
        </is>
      </c>
      <c r="F79" s="20" t="inlineStr">
        <is>
          <t>HYL/ABE/MID</t>
        </is>
      </c>
      <c r="G79" s="19">
        <f>IF($D79="","",IF(MID($D79,5,1)="A","A(가을)",IF(MID($D79,5,1)="W","W(겨울)",IF(MID($D79,5,1)="X","X(사계절)",MID($D79,5,1)))))</f>
        <v/>
      </c>
      <c r="H79" s="19" t="n"/>
      <c r="I79" s="21" t="n"/>
      <c r="J79" s="22">
        <f>IF($I79="","",IFERROR(DATE(기준정보!$C$7,VALUE(LEFT($I79,FIND("월",$I79)-1)),1+7*(VALUE(SUBSTITUTE(MID($I79,FIND("월",$I79)+1,5),"주",""))-1)),""))</f>
        <v/>
      </c>
      <c r="K79" s="22">
        <f>IF($J79="","",IF(AND(ISNUMBER(SEARCH("미얀마",$U79)),$J79-기준정보!$C$5&gt;=기준정보!$C$8,$J79-기준정보!$C$5&lt;=기준정보!$C$9),기준정보!$C$8-1,IF(AND(ISNUMBER(SEARCH("인도네시아",$U79)),$J79-기준정보!$C$5&gt;=기준정보!$C$10,$J79-기준정보!$C$5&lt;=기준정보!$C$11),기준정보!$C$10-1,$J79-기준정보!$C$5)))</f>
        <v/>
      </c>
      <c r="L79" s="23">
        <f>IF($K79="","",IF(ISNUMBER(SEARCH("미얀마",$U79)),MAX(0,MIN($K79,기준정보!$C$9)-MAX($K79-기준정보!$C$6,기준정보!$C$8)+1),IF(ISNUMBER(SEARCH("인도네시아",$U79)),MAX(0,MIN($K79,기준정보!$C$11)-MAX($K79-기준정보!$C$6,기준정보!$C$10)+1),0)))</f>
        <v/>
      </c>
      <c r="M79" s="22">
        <f>IF($K79="","",$K79-기준정보!$C$6-$L79)</f>
        <v/>
      </c>
      <c r="N79" s="24">
        <f>IF($M79="","",$M79-기준정보!$C$4)</f>
        <v/>
      </c>
      <c r="O79" s="21" t="n"/>
      <c r="P79" s="21" t="n"/>
      <c r="Q79" s="21" t="n"/>
      <c r="R79" s="25" t="n"/>
      <c r="S79" s="20">
        <f>IF($H79="","",IF($H79="C","본사(소재팀)",IF($H79="완","생산처","확인 필요")))</f>
        <v/>
      </c>
      <c r="T79" s="20" t="inlineStr">
        <is>
          <t>아이블</t>
        </is>
      </c>
      <c r="U79" s="20" t="inlineStr">
        <is>
          <t>베트남</t>
        </is>
      </c>
      <c r="V79" s="20" t="n"/>
      <c r="W79" s="26" t="n"/>
      <c r="X79" s="26" t="n"/>
      <c r="Y79" s="22" t="n"/>
      <c r="Z79" s="27" t="n">
        <v>5000</v>
      </c>
      <c r="AA79" s="27" t="n">
        <v>215000000</v>
      </c>
      <c r="AB79" s="27" t="n">
        <v>1100000000</v>
      </c>
      <c r="AC79" s="20" t="n"/>
      <c r="AD79" s="20">
        <f>IF($J79="","출고일 미정",IF($P79="X","작지 미발행",IF($P79="부분","작지 일부 미발행",IF(AND($R79&lt;&gt;"",$R79&gt;$M79),"소재입고 마감("&amp;TEXT($M79,"MM/DD")&amp;") 초과",IF($P79="","발행여부 확인 필요",IF($R79="","소재 입고일정 확인 필요","정상"))))))</f>
        <v/>
      </c>
      <c r="AE79" s="19">
        <f>IF($J79="","",IF(OR(LEFT($AD79,2)="작지",LEFT($AD79,4)="소재입고"),IF(LEFT($G79,1)="A","★ 납기위험(A코드)","◆ 지연주의"),IF($AD79="정상","✓ 정상","? 확인필요")))</f>
        <v/>
      </c>
      <c r="AF79" s="21" t="n"/>
      <c r="AG79" s="28" t="n"/>
    </row>
    <row r="80">
      <c r="A80" s="19" t="n">
        <v>76</v>
      </c>
      <c r="B80" s="20" t="inlineStr">
        <is>
          <t>박지인</t>
        </is>
      </c>
      <c r="C80" s="20" t="inlineStr">
        <is>
          <t>정은진</t>
        </is>
      </c>
      <c r="D80" s="20" t="inlineStr">
        <is>
          <t>TVJGA27452</t>
        </is>
      </c>
      <c r="E80" s="20" t="inlineStr">
        <is>
          <t>여성 2L 기본형 고어텍스 디테쳐블 후드 방수 재킷</t>
        </is>
      </c>
      <c r="F80" s="20" t="inlineStr">
        <is>
          <t>LPI/ABE/DEB</t>
        </is>
      </c>
      <c r="G80" s="19">
        <f>IF($D80="","",IF(MID($D80,5,1)="A","A(가을)",IF(MID($D80,5,1)="W","W(겨울)",IF(MID($D80,5,1)="X","X(사계절)",MID($D80,5,1)))))</f>
        <v/>
      </c>
      <c r="H80" s="19" t="n"/>
      <c r="I80" s="21" t="n"/>
      <c r="J80" s="22">
        <f>IF($I80="","",IFERROR(DATE(기준정보!$C$7,VALUE(LEFT($I80,FIND("월",$I80)-1)),1+7*(VALUE(SUBSTITUTE(MID($I80,FIND("월",$I80)+1,5),"주",""))-1)),""))</f>
        <v/>
      </c>
      <c r="K80" s="22">
        <f>IF($J80="","",IF(AND(ISNUMBER(SEARCH("미얀마",$U80)),$J80-기준정보!$C$5&gt;=기준정보!$C$8,$J80-기준정보!$C$5&lt;=기준정보!$C$9),기준정보!$C$8-1,IF(AND(ISNUMBER(SEARCH("인도네시아",$U80)),$J80-기준정보!$C$5&gt;=기준정보!$C$10,$J80-기준정보!$C$5&lt;=기준정보!$C$11),기준정보!$C$10-1,$J80-기준정보!$C$5)))</f>
        <v/>
      </c>
      <c r="L80" s="23">
        <f>IF($K80="","",IF(ISNUMBER(SEARCH("미얀마",$U80)),MAX(0,MIN($K80,기준정보!$C$9)-MAX($K80-기준정보!$C$6,기준정보!$C$8)+1),IF(ISNUMBER(SEARCH("인도네시아",$U80)),MAX(0,MIN($K80,기준정보!$C$11)-MAX($K80-기준정보!$C$6,기준정보!$C$10)+1),0)))</f>
        <v/>
      </c>
      <c r="M80" s="22">
        <f>IF($K80="","",$K80-기준정보!$C$6-$L80)</f>
        <v/>
      </c>
      <c r="N80" s="24">
        <f>IF($M80="","",$M80-기준정보!$C$4)</f>
        <v/>
      </c>
      <c r="O80" s="21" t="n"/>
      <c r="P80" s="21" t="n"/>
      <c r="Q80" s="21" t="n"/>
      <c r="R80" s="25" t="n"/>
      <c r="S80" s="20">
        <f>IF($H80="","",IF($H80="C","본사(소재팀)",IF($H80="완","생산처","확인 필요")))</f>
        <v/>
      </c>
      <c r="T80" s="20" t="inlineStr">
        <is>
          <t>호전</t>
        </is>
      </c>
      <c r="U80" s="20" t="inlineStr">
        <is>
          <t>인도네시아</t>
        </is>
      </c>
      <c r="V80" s="20" t="n"/>
      <c r="W80" s="26" t="n"/>
      <c r="X80" s="26" t="n"/>
      <c r="Y80" s="22" t="n"/>
      <c r="Z80" s="27" t="n">
        <v>6000</v>
      </c>
      <c r="AA80" s="27" t="n">
        <v>507648000</v>
      </c>
      <c r="AB80" s="27" t="n">
        <v>2340000000</v>
      </c>
      <c r="AC80" s="20" t="n"/>
      <c r="AD80" s="20">
        <f>IF($J80="","출고일 미정",IF($P80="X","작지 미발행",IF($P80="부분","작지 일부 미발행",IF(AND($R80&lt;&gt;"",$R80&gt;$M80),"소재입고 마감("&amp;TEXT($M80,"MM/DD")&amp;") 초과",IF($P80="","발행여부 확인 필요",IF($R80="","소재 입고일정 확인 필요","정상"))))))</f>
        <v/>
      </c>
      <c r="AE80" s="19">
        <f>IF($J80="","",IF(OR(LEFT($AD80,2)="작지",LEFT($AD80,4)="소재입고"),IF(LEFT($G80,1)="A","★ 납기위험(A코드)","◆ 지연주의"),IF($AD80="정상","✓ 정상","? 확인필요")))</f>
        <v/>
      </c>
      <c r="AF80" s="21" t="n"/>
      <c r="AG80" s="28" t="n"/>
    </row>
    <row r="81">
      <c r="A81" s="19" t="n">
        <v>77</v>
      </c>
      <c r="B81" s="20" t="inlineStr">
        <is>
          <t>박지인</t>
        </is>
      </c>
      <c r="C81" s="20" t="inlineStr">
        <is>
          <t>정은진</t>
        </is>
      </c>
      <c r="D81" s="20" t="inlineStr">
        <is>
          <t>TVJGA27454</t>
        </is>
      </c>
      <c r="E81" s="20" t="inlineStr">
        <is>
          <t>여성 2L 중기장 고어텍스 방수 재킷</t>
        </is>
      </c>
      <c r="F81" s="20" t="inlineStr">
        <is>
          <t>OAT/TEA/DEB</t>
        </is>
      </c>
      <c r="G81" s="19">
        <f>IF($D81="","",IF(MID($D81,5,1)="A","A(가을)",IF(MID($D81,5,1)="W","W(겨울)",IF(MID($D81,5,1)="X","X(사계절)",MID($D81,5,1)))))</f>
        <v/>
      </c>
      <c r="H81" s="19" t="n"/>
      <c r="I81" s="21" t="n"/>
      <c r="J81" s="22">
        <f>IF($I81="","",IFERROR(DATE(기준정보!$C$7,VALUE(LEFT($I81,FIND("월",$I81)-1)),1+7*(VALUE(SUBSTITUTE(MID($I81,FIND("월",$I81)+1,5),"주",""))-1)),""))</f>
        <v/>
      </c>
      <c r="K81" s="22">
        <f>IF($J81="","",IF(AND(ISNUMBER(SEARCH("미얀마",$U81)),$J81-기준정보!$C$5&gt;=기준정보!$C$8,$J81-기준정보!$C$5&lt;=기준정보!$C$9),기준정보!$C$8-1,IF(AND(ISNUMBER(SEARCH("인도네시아",$U81)),$J81-기준정보!$C$5&gt;=기준정보!$C$10,$J81-기준정보!$C$5&lt;=기준정보!$C$11),기준정보!$C$10-1,$J81-기준정보!$C$5)))</f>
        <v/>
      </c>
      <c r="L81" s="23">
        <f>IF($K81="","",IF(ISNUMBER(SEARCH("미얀마",$U81)),MAX(0,MIN($K81,기준정보!$C$9)-MAX($K81-기준정보!$C$6,기준정보!$C$8)+1),IF(ISNUMBER(SEARCH("인도네시아",$U81)),MAX(0,MIN($K81,기준정보!$C$11)-MAX($K81-기준정보!$C$6,기준정보!$C$10)+1),0)))</f>
        <v/>
      </c>
      <c r="M81" s="22">
        <f>IF($K81="","",$K81-기준정보!$C$6-$L81)</f>
        <v/>
      </c>
      <c r="N81" s="24">
        <f>IF($M81="","",$M81-기준정보!$C$4)</f>
        <v/>
      </c>
      <c r="O81" s="21" t="n"/>
      <c r="P81" s="21" t="n"/>
      <c r="Q81" s="21" t="n"/>
      <c r="R81" s="25" t="n"/>
      <c r="S81" s="20">
        <f>IF($H81="","",IF($H81="C","본사(소재팀)",IF($H81="완","생산처","확인 필요")))</f>
        <v/>
      </c>
      <c r="T81" s="20" t="inlineStr">
        <is>
          <t>포마트</t>
        </is>
      </c>
      <c r="U81" s="20" t="inlineStr">
        <is>
          <t>베트남</t>
        </is>
      </c>
      <c r="V81" s="20" t="n"/>
      <c r="W81" s="26" t="n"/>
      <c r="X81" s="26" t="n"/>
      <c r="Y81" s="22" t="n"/>
      <c r="Z81" s="27" t="n">
        <v>5500</v>
      </c>
      <c r="AA81" s="27" t="n">
        <v>577874000</v>
      </c>
      <c r="AB81" s="27" t="n">
        <v>2475000000</v>
      </c>
      <c r="AC81" s="20" t="n"/>
      <c r="AD81" s="20">
        <f>IF($J81="","출고일 미정",IF($P81="X","작지 미발행",IF($P81="부분","작지 일부 미발행",IF(AND($R81&lt;&gt;"",$R81&gt;$M81),"소재입고 마감("&amp;TEXT($M81,"MM/DD")&amp;") 초과",IF($P81="","발행여부 확인 필요",IF($R81="","소재 입고일정 확인 필요","정상"))))))</f>
        <v/>
      </c>
      <c r="AE81" s="19">
        <f>IF($J81="","",IF(OR(LEFT($AD81,2)="작지",LEFT($AD81,4)="소재입고"),IF(LEFT($G81,1)="A","★ 납기위험(A코드)","◆ 지연주의"),IF($AD81="정상","✓ 정상","? 확인필요")))</f>
        <v/>
      </c>
      <c r="AF81" s="21" t="n"/>
      <c r="AG81" s="28" t="n"/>
    </row>
    <row r="82">
      <c r="A82" s="19" t="n">
        <v>78</v>
      </c>
      <c r="B82" s="20" t="inlineStr">
        <is>
          <t>박지인</t>
        </is>
      </c>
      <c r="C82" s="20" t="inlineStr">
        <is>
          <t>권혁일</t>
        </is>
      </c>
      <c r="D82" s="20" t="inlineStr">
        <is>
          <t>TVJJA27422</t>
        </is>
      </c>
      <c r="E82" s="20" t="inlineStr">
        <is>
          <t>여성 소프트 안감 방풍 재킷</t>
        </is>
      </c>
      <c r="F82" s="20" t="inlineStr">
        <is>
          <t>ECR/CHR</t>
        </is>
      </c>
      <c r="G82" s="19">
        <f>IF($D82="","",IF(MID($D82,5,1)="A","A(가을)",IF(MID($D82,5,1)="W","W(겨울)",IF(MID($D82,5,1)="X","X(사계절)",MID($D82,5,1)))))</f>
        <v/>
      </c>
      <c r="H82" s="19" t="n"/>
      <c r="I82" s="21" t="n"/>
      <c r="J82" s="22">
        <f>IF($I82="","",IFERROR(DATE(기준정보!$C$7,VALUE(LEFT($I82,FIND("월",$I82)-1)),1+7*(VALUE(SUBSTITUTE(MID($I82,FIND("월",$I82)+1,5),"주",""))-1)),""))</f>
        <v/>
      </c>
      <c r="K82" s="22">
        <f>IF($J82="","",IF(AND(ISNUMBER(SEARCH("미얀마",$U82)),$J82-기준정보!$C$5&gt;=기준정보!$C$8,$J82-기준정보!$C$5&lt;=기준정보!$C$9),기준정보!$C$8-1,IF(AND(ISNUMBER(SEARCH("인도네시아",$U82)),$J82-기준정보!$C$5&gt;=기준정보!$C$10,$J82-기준정보!$C$5&lt;=기준정보!$C$11),기준정보!$C$10-1,$J82-기준정보!$C$5)))</f>
        <v/>
      </c>
      <c r="L82" s="23">
        <f>IF($K82="","",IF(ISNUMBER(SEARCH("미얀마",$U82)),MAX(0,MIN($K82,기준정보!$C$9)-MAX($K82-기준정보!$C$6,기준정보!$C$8)+1),IF(ISNUMBER(SEARCH("인도네시아",$U82)),MAX(0,MIN($K82,기준정보!$C$11)-MAX($K82-기준정보!$C$6,기준정보!$C$10)+1),0)))</f>
        <v/>
      </c>
      <c r="M82" s="22">
        <f>IF($K82="","",$K82-기준정보!$C$6-$L82)</f>
        <v/>
      </c>
      <c r="N82" s="24">
        <f>IF($M82="","",$M82-기준정보!$C$4)</f>
        <v/>
      </c>
      <c r="O82" s="21" t="n"/>
      <c r="P82" s="21" t="n"/>
      <c r="Q82" s="21" t="n"/>
      <c r="R82" s="25" t="n"/>
      <c r="S82" s="20">
        <f>IF($H82="","",IF($H82="C","본사(소재팀)",IF($H82="완","생산처","확인 필요")))</f>
        <v/>
      </c>
      <c r="T82" s="20" t="inlineStr">
        <is>
          <t>기도</t>
        </is>
      </c>
      <c r="U82" s="20" t="inlineStr">
        <is>
          <t>미얀마</t>
        </is>
      </c>
      <c r="V82" s="20" t="n"/>
      <c r="W82" s="26" t="n"/>
      <c r="X82" s="26" t="n"/>
      <c r="Y82" s="22" t="n"/>
      <c r="Z82" s="27" t="n">
        <v>2500</v>
      </c>
      <c r="AA82" s="27" t="n">
        <v>155030000</v>
      </c>
      <c r="AB82" s="27" t="n">
        <v>725000000</v>
      </c>
      <c r="AC82" s="20" t="n"/>
      <c r="AD82" s="20">
        <f>IF($J82="","출고일 미정",IF($P82="X","작지 미발행",IF($P82="부분","작지 일부 미발행",IF(AND($R82&lt;&gt;"",$R82&gt;$M82),"소재입고 마감("&amp;TEXT($M82,"MM/DD")&amp;") 초과",IF($P82="","발행여부 확인 필요",IF($R82="","소재 입고일정 확인 필요","정상"))))))</f>
        <v/>
      </c>
      <c r="AE82" s="19">
        <f>IF($J82="","",IF(OR(LEFT($AD82,2)="작지",LEFT($AD82,4)="소재입고"),IF(LEFT($G82,1)="A","★ 납기위험(A코드)","◆ 지연주의"),IF($AD82="정상","✓ 정상","? 확인필요")))</f>
        <v/>
      </c>
      <c r="AF82" s="21" t="n"/>
      <c r="AG82" s="28" t="n"/>
    </row>
    <row r="83">
      <c r="A83" s="19" t="n">
        <v>79</v>
      </c>
      <c r="B83" s="20" t="inlineStr">
        <is>
          <t>박지인</t>
        </is>
      </c>
      <c r="C83" s="20" t="inlineStr">
        <is>
          <t>권혁일</t>
        </is>
      </c>
      <c r="D83" s="20" t="inlineStr">
        <is>
          <t>TVJJA27432</t>
        </is>
      </c>
      <c r="E83" s="20" t="inlineStr">
        <is>
          <t>여성 스탠드넥 소프트쉘 재킷</t>
        </is>
      </c>
      <c r="F83" s="20" t="inlineStr">
        <is>
          <t>ABU/CHR</t>
        </is>
      </c>
      <c r="G83" s="19">
        <f>IF($D83="","",IF(MID($D83,5,1)="A","A(가을)",IF(MID($D83,5,1)="W","W(겨울)",IF(MID($D83,5,1)="X","X(사계절)",MID($D83,5,1)))))</f>
        <v/>
      </c>
      <c r="H83" s="19" t="n"/>
      <c r="I83" s="21" t="n"/>
      <c r="J83" s="22">
        <f>IF($I83="","",IFERROR(DATE(기준정보!$C$7,VALUE(LEFT($I83,FIND("월",$I83)-1)),1+7*(VALUE(SUBSTITUTE(MID($I83,FIND("월",$I83)+1,5),"주",""))-1)),""))</f>
        <v/>
      </c>
      <c r="K83" s="22">
        <f>IF($J83="","",IF(AND(ISNUMBER(SEARCH("미얀마",$U83)),$J83-기준정보!$C$5&gt;=기준정보!$C$8,$J83-기준정보!$C$5&lt;=기준정보!$C$9),기준정보!$C$8-1,IF(AND(ISNUMBER(SEARCH("인도네시아",$U83)),$J83-기준정보!$C$5&gt;=기준정보!$C$10,$J83-기준정보!$C$5&lt;=기준정보!$C$11),기준정보!$C$10-1,$J83-기준정보!$C$5)))</f>
        <v/>
      </c>
      <c r="L83" s="23">
        <f>IF($K83="","",IF(ISNUMBER(SEARCH("미얀마",$U83)),MAX(0,MIN($K83,기준정보!$C$9)-MAX($K83-기준정보!$C$6,기준정보!$C$8)+1),IF(ISNUMBER(SEARCH("인도네시아",$U83)),MAX(0,MIN($K83,기준정보!$C$11)-MAX($K83-기준정보!$C$6,기준정보!$C$10)+1),0)))</f>
        <v/>
      </c>
      <c r="M83" s="22">
        <f>IF($K83="","",$K83-기준정보!$C$6-$L83)</f>
        <v/>
      </c>
      <c r="N83" s="24">
        <f>IF($M83="","",$M83-기준정보!$C$4)</f>
        <v/>
      </c>
      <c r="O83" s="21" t="n"/>
      <c r="P83" s="21" t="n"/>
      <c r="Q83" s="21" t="n"/>
      <c r="R83" s="25" t="n"/>
      <c r="S83" s="20">
        <f>IF($H83="","",IF($H83="C","본사(소재팀)",IF($H83="완","생산처","확인 필요")))</f>
        <v/>
      </c>
      <c r="T83" s="20" t="inlineStr">
        <is>
          <t>아이블</t>
        </is>
      </c>
      <c r="U83" s="20" t="inlineStr">
        <is>
          <t>베트남</t>
        </is>
      </c>
      <c r="V83" s="20" t="n"/>
      <c r="W83" s="26" t="n"/>
      <c r="X83" s="26" t="n"/>
      <c r="Y83" s="22" t="n"/>
      <c r="Z83" s="27" t="n">
        <v>2000</v>
      </c>
      <c r="AA83" s="27" t="n">
        <v>81280000</v>
      </c>
      <c r="AB83" s="27" t="n">
        <v>500000000</v>
      </c>
      <c r="AC83" s="20" t="n"/>
      <c r="AD83" s="20">
        <f>IF($J83="","출고일 미정",IF($P83="X","작지 미발행",IF($P83="부분","작지 일부 미발행",IF(AND($R83&lt;&gt;"",$R83&gt;$M83),"소재입고 마감("&amp;TEXT($M83,"MM/DD")&amp;") 초과",IF($P83="","발행여부 확인 필요",IF($R83="","소재 입고일정 확인 필요","정상"))))))</f>
        <v/>
      </c>
      <c r="AE83" s="19">
        <f>IF($J83="","",IF(OR(LEFT($AD83,2)="작지",LEFT($AD83,4)="소재입고"),IF(LEFT($G83,1)="A","★ 납기위험(A코드)","◆ 지연주의"),IF($AD83="정상","✓ 정상","? 확인필요")))</f>
        <v/>
      </c>
      <c r="AF83" s="21" t="n"/>
      <c r="AG83" s="28" t="n"/>
    </row>
    <row r="84">
      <c r="A84" s="19" t="n">
        <v>80</v>
      </c>
      <c r="B84" s="20" t="inlineStr">
        <is>
          <t>박지인</t>
        </is>
      </c>
      <c r="C84" s="20" t="inlineStr">
        <is>
          <t>정은진</t>
        </is>
      </c>
      <c r="D84" s="20" t="inlineStr">
        <is>
          <t>TVJJA27462</t>
        </is>
      </c>
      <c r="E84" s="20" t="inlineStr">
        <is>
          <t>여성 3L 방수 재킷</t>
        </is>
      </c>
      <c r="F84" s="20" t="inlineStr">
        <is>
          <t>NEG/DEB</t>
        </is>
      </c>
      <c r="G84" s="19">
        <f>IF($D84="","",IF(MID($D84,5,1)="A","A(가을)",IF(MID($D84,5,1)="W","W(겨울)",IF(MID($D84,5,1)="X","X(사계절)",MID($D84,5,1)))))</f>
        <v/>
      </c>
      <c r="H84" s="19" t="n"/>
      <c r="I84" s="21" t="n"/>
      <c r="J84" s="22">
        <f>IF($I84="","",IFERROR(DATE(기준정보!$C$7,VALUE(LEFT($I84,FIND("월",$I84)-1)),1+7*(VALUE(SUBSTITUTE(MID($I84,FIND("월",$I84)+1,5),"주",""))-1)),""))</f>
        <v/>
      </c>
      <c r="K84" s="22">
        <f>IF($J84="","",IF(AND(ISNUMBER(SEARCH("미얀마",$U84)),$J84-기준정보!$C$5&gt;=기준정보!$C$8,$J84-기준정보!$C$5&lt;=기준정보!$C$9),기준정보!$C$8-1,IF(AND(ISNUMBER(SEARCH("인도네시아",$U84)),$J84-기준정보!$C$5&gt;=기준정보!$C$10,$J84-기준정보!$C$5&lt;=기준정보!$C$11),기준정보!$C$10-1,$J84-기준정보!$C$5)))</f>
        <v/>
      </c>
      <c r="L84" s="23">
        <f>IF($K84="","",IF(ISNUMBER(SEARCH("미얀마",$U84)),MAX(0,MIN($K84,기준정보!$C$9)-MAX($K84-기준정보!$C$6,기준정보!$C$8)+1),IF(ISNUMBER(SEARCH("인도네시아",$U84)),MAX(0,MIN($K84,기준정보!$C$11)-MAX($K84-기준정보!$C$6,기준정보!$C$10)+1),0)))</f>
        <v/>
      </c>
      <c r="M84" s="22">
        <f>IF($K84="","",$K84-기준정보!$C$6-$L84)</f>
        <v/>
      </c>
      <c r="N84" s="24">
        <f>IF($M84="","",$M84-기준정보!$C$4)</f>
        <v/>
      </c>
      <c r="O84" s="21" t="n"/>
      <c r="P84" s="21" t="n"/>
      <c r="Q84" s="21" t="n"/>
      <c r="R84" s="25" t="n"/>
      <c r="S84" s="20">
        <f>IF($H84="","",IF($H84="C","본사(소재팀)",IF($H84="완","생산처","확인 필요")))</f>
        <v/>
      </c>
      <c r="T84" s="20" t="inlineStr">
        <is>
          <t>포마트</t>
        </is>
      </c>
      <c r="U84" s="20" t="inlineStr">
        <is>
          <t>베트남</t>
        </is>
      </c>
      <c r="V84" s="20" t="n"/>
      <c r="W84" s="26" t="n"/>
      <c r="X84" s="26" t="n"/>
      <c r="Y84" s="22" t="n"/>
      <c r="Z84" s="27" t="n">
        <v>1200</v>
      </c>
      <c r="AA84" s="27" t="n">
        <v>117751200</v>
      </c>
      <c r="AB84" s="27" t="n">
        <v>588000000</v>
      </c>
      <c r="AC84" s="20" t="n"/>
      <c r="AD84" s="20">
        <f>IF($J84="","출고일 미정",IF($P84="X","작지 미발행",IF($P84="부분","작지 일부 미발행",IF(AND($R84&lt;&gt;"",$R84&gt;$M84),"소재입고 마감("&amp;TEXT($M84,"MM/DD")&amp;") 초과",IF($P84="","발행여부 확인 필요",IF($R84="","소재 입고일정 확인 필요","정상"))))))</f>
        <v/>
      </c>
      <c r="AE84" s="19">
        <f>IF($J84="","",IF(OR(LEFT($AD84,2)="작지",LEFT($AD84,4)="소재입고"),IF(LEFT($G84,1)="A","★ 납기위험(A코드)","◆ 지연주의"),IF($AD84="정상","✓ 정상","? 확인필요")))</f>
        <v/>
      </c>
      <c r="AF84" s="21" t="n"/>
      <c r="AG84" s="28" t="n"/>
    </row>
    <row r="85">
      <c r="A85" s="19" t="n">
        <v>81</v>
      </c>
      <c r="B85" s="20" t="inlineStr">
        <is>
          <t>박진아</t>
        </is>
      </c>
      <c r="C85" s="20" t="inlineStr">
        <is>
          <t>권혁일</t>
        </is>
      </c>
      <c r="D85" s="20" t="inlineStr">
        <is>
          <t>TVPNA27402</t>
        </is>
      </c>
      <c r="E85" s="20" t="inlineStr">
        <is>
          <t>여성 베이직 슬림핏 스트레이트 팬츠</t>
        </is>
      </c>
      <c r="F85" s="20" t="inlineStr">
        <is>
          <t>CTP/MID</t>
        </is>
      </c>
      <c r="G85" s="19">
        <f>IF($D85="","",IF(MID($D85,5,1)="A","A(가을)",IF(MID($D85,5,1)="W","W(겨울)",IF(MID($D85,5,1)="X","X(사계절)",MID($D85,5,1)))))</f>
        <v/>
      </c>
      <c r="H85" s="19" t="n"/>
      <c r="I85" s="21" t="n"/>
      <c r="J85" s="22">
        <f>IF($I85="","",IFERROR(DATE(기준정보!$C$7,VALUE(LEFT($I85,FIND("월",$I85)-1)),1+7*(VALUE(SUBSTITUTE(MID($I85,FIND("월",$I85)+1,5),"주",""))-1)),""))</f>
        <v/>
      </c>
      <c r="K85" s="22">
        <f>IF($J85="","",IF(AND(ISNUMBER(SEARCH("미얀마",$U85)),$J85-기준정보!$C$5&gt;=기준정보!$C$8,$J85-기준정보!$C$5&lt;=기준정보!$C$9),기준정보!$C$8-1,IF(AND(ISNUMBER(SEARCH("인도네시아",$U85)),$J85-기준정보!$C$5&gt;=기준정보!$C$10,$J85-기준정보!$C$5&lt;=기준정보!$C$11),기준정보!$C$10-1,$J85-기준정보!$C$5)))</f>
        <v/>
      </c>
      <c r="L85" s="23">
        <f>IF($K85="","",IF(ISNUMBER(SEARCH("미얀마",$U85)),MAX(0,MIN($K85,기준정보!$C$9)-MAX($K85-기준정보!$C$6,기준정보!$C$8)+1),IF(ISNUMBER(SEARCH("인도네시아",$U85)),MAX(0,MIN($K85,기준정보!$C$11)-MAX($K85-기준정보!$C$6,기준정보!$C$10)+1),0)))</f>
        <v/>
      </c>
      <c r="M85" s="22">
        <f>IF($K85="","",$K85-기준정보!$C$6-$L85)</f>
        <v/>
      </c>
      <c r="N85" s="24">
        <f>IF($M85="","",$M85-기준정보!$C$4)</f>
        <v/>
      </c>
      <c r="O85" s="21" t="n"/>
      <c r="P85" s="21" t="n"/>
      <c r="Q85" s="21" t="n"/>
      <c r="R85" s="25" t="n"/>
      <c r="S85" s="20">
        <f>IF($H85="","",IF($H85="C","본사(소재팀)",IF($H85="완","생산처","확인 필요")))</f>
        <v/>
      </c>
      <c r="T85" s="20" t="inlineStr">
        <is>
          <t>거림</t>
        </is>
      </c>
      <c r="U85" s="20" t="inlineStr">
        <is>
          <t>베트남</t>
        </is>
      </c>
      <c r="V85" s="20" t="n"/>
      <c r="W85" s="26" t="n"/>
      <c r="X85" s="26" t="n"/>
      <c r="Y85" s="22" t="n"/>
      <c r="Z85" s="27" t="n">
        <v>3000</v>
      </c>
      <c r="AA85" s="27" t="n">
        <v>102588000</v>
      </c>
      <c r="AB85" s="27" t="n">
        <v>534000000</v>
      </c>
      <c r="AC85" s="20" t="n"/>
      <c r="AD85" s="20">
        <f>IF($J85="","출고일 미정",IF($P85="X","작지 미발행",IF($P85="부분","작지 일부 미발행",IF(AND($R85&lt;&gt;"",$R85&gt;$M85),"소재입고 마감("&amp;TEXT($M85,"MM/DD")&amp;") 초과",IF($P85="","발행여부 확인 필요",IF($R85="","소재 입고일정 확인 필요","정상"))))))</f>
        <v/>
      </c>
      <c r="AE85" s="19">
        <f>IF($J85="","",IF(OR(LEFT($AD85,2)="작지",LEFT($AD85,4)="소재입고"),IF(LEFT($G85,1)="A","★ 납기위험(A코드)","◆ 지연주의"),IF($AD85="정상","✓ 정상","? 확인필요")))</f>
        <v/>
      </c>
      <c r="AF85" s="21" t="n"/>
      <c r="AG85" s="28" t="n"/>
    </row>
    <row r="86">
      <c r="A86" s="19" t="n">
        <v>82</v>
      </c>
      <c r="B86" s="20" t="inlineStr">
        <is>
          <t>박진아</t>
        </is>
      </c>
      <c r="C86" s="20" t="inlineStr">
        <is>
          <t>권혁일</t>
        </is>
      </c>
      <c r="D86" s="20" t="inlineStr">
        <is>
          <t>TVPNA27404</t>
        </is>
      </c>
      <c r="E86" s="20" t="inlineStr">
        <is>
          <t>여성 WIGO 스트레이트 팬츠</t>
        </is>
      </c>
      <c r="F86" s="20" t="inlineStr">
        <is>
          <t>DEB</t>
        </is>
      </c>
      <c r="G86" s="19">
        <f>IF($D86="","",IF(MID($D86,5,1)="A","A(가을)",IF(MID($D86,5,1)="W","W(겨울)",IF(MID($D86,5,1)="X","X(사계절)",MID($D86,5,1)))))</f>
        <v/>
      </c>
      <c r="H86" s="19" t="n"/>
      <c r="I86" s="21" t="n"/>
      <c r="J86" s="22">
        <f>IF($I86="","",IFERROR(DATE(기준정보!$C$7,VALUE(LEFT($I86,FIND("월",$I86)-1)),1+7*(VALUE(SUBSTITUTE(MID($I86,FIND("월",$I86)+1,5),"주",""))-1)),""))</f>
        <v/>
      </c>
      <c r="K86" s="22">
        <f>IF($J86="","",IF(AND(ISNUMBER(SEARCH("미얀마",$U86)),$J86-기준정보!$C$5&gt;=기준정보!$C$8,$J86-기준정보!$C$5&lt;=기준정보!$C$9),기준정보!$C$8-1,IF(AND(ISNUMBER(SEARCH("인도네시아",$U86)),$J86-기준정보!$C$5&gt;=기준정보!$C$10,$J86-기준정보!$C$5&lt;=기준정보!$C$11),기준정보!$C$10-1,$J86-기준정보!$C$5)))</f>
        <v/>
      </c>
      <c r="L86" s="23">
        <f>IF($K86="","",IF(ISNUMBER(SEARCH("미얀마",$U86)),MAX(0,MIN($K86,기준정보!$C$9)-MAX($K86-기준정보!$C$6,기준정보!$C$8)+1),IF(ISNUMBER(SEARCH("인도네시아",$U86)),MAX(0,MIN($K86,기준정보!$C$11)-MAX($K86-기준정보!$C$6,기준정보!$C$10)+1),0)))</f>
        <v/>
      </c>
      <c r="M86" s="22">
        <f>IF($K86="","",$K86-기준정보!$C$6-$L86)</f>
        <v/>
      </c>
      <c r="N86" s="24">
        <f>IF($M86="","",$M86-기준정보!$C$4)</f>
        <v/>
      </c>
      <c r="O86" s="21" t="n"/>
      <c r="P86" s="21" t="n"/>
      <c r="Q86" s="21" t="n"/>
      <c r="R86" s="25" t="n"/>
      <c r="S86" s="20">
        <f>IF($H86="","",IF($H86="C","본사(소재팀)",IF($H86="완","생산처","확인 필요")))</f>
        <v/>
      </c>
      <c r="T86" s="20" t="inlineStr">
        <is>
          <t>거림</t>
        </is>
      </c>
      <c r="U86" s="20" t="inlineStr">
        <is>
          <t>베트남</t>
        </is>
      </c>
      <c r="V86" s="20" t="n"/>
      <c r="W86" s="26" t="n"/>
      <c r="X86" s="26" t="n"/>
      <c r="Y86" s="22" t="n"/>
      <c r="Z86" s="27" t="n">
        <v>1000</v>
      </c>
      <c r="AA86" s="27" t="n">
        <v>27253000</v>
      </c>
      <c r="AB86" s="27" t="n">
        <v>220000000</v>
      </c>
      <c r="AC86" s="20" t="n"/>
      <c r="AD86" s="20">
        <f>IF($J86="","출고일 미정",IF($P86="X","작지 미발행",IF($P86="부분","작지 일부 미발행",IF(AND($R86&lt;&gt;"",$R86&gt;$M86),"소재입고 마감("&amp;TEXT($M86,"MM/DD")&amp;") 초과",IF($P86="","발행여부 확인 필요",IF($R86="","소재 입고일정 확인 필요","정상"))))))</f>
        <v/>
      </c>
      <c r="AE86" s="19">
        <f>IF($J86="","",IF(OR(LEFT($AD86,2)="작지",LEFT($AD86,4)="소재입고"),IF(LEFT($G86,1)="A","★ 납기위험(A코드)","◆ 지연주의"),IF($AD86="정상","✓ 정상","? 확인필요")))</f>
        <v/>
      </c>
      <c r="AF86" s="21" t="n"/>
      <c r="AG86" s="28" t="n"/>
    </row>
    <row r="87">
      <c r="A87" s="19" t="n">
        <v>83</v>
      </c>
      <c r="B87" s="20" t="inlineStr">
        <is>
          <t>박진아</t>
        </is>
      </c>
      <c r="C87" s="20" t="inlineStr">
        <is>
          <t>권혁일</t>
        </is>
      </c>
      <c r="D87" s="20" t="inlineStr">
        <is>
          <t>TVPNA27406</t>
        </is>
      </c>
      <c r="E87" s="20" t="inlineStr">
        <is>
          <t>여성 우븐 릴렉스핏 스트레이트 팬츠</t>
        </is>
      </c>
      <c r="F87" s="20" t="inlineStr">
        <is>
          <t>RBW/CHR</t>
        </is>
      </c>
      <c r="G87" s="19">
        <f>IF($D87="","",IF(MID($D87,5,1)="A","A(가을)",IF(MID($D87,5,1)="W","W(겨울)",IF(MID($D87,5,1)="X","X(사계절)",MID($D87,5,1)))))</f>
        <v/>
      </c>
      <c r="H87" s="19" t="n"/>
      <c r="I87" s="21" t="n"/>
      <c r="J87" s="22">
        <f>IF($I87="","",IFERROR(DATE(기준정보!$C$7,VALUE(LEFT($I87,FIND("월",$I87)-1)),1+7*(VALUE(SUBSTITUTE(MID($I87,FIND("월",$I87)+1,5),"주",""))-1)),""))</f>
        <v/>
      </c>
      <c r="K87" s="22">
        <f>IF($J87="","",IF(AND(ISNUMBER(SEARCH("미얀마",$U87)),$J87-기준정보!$C$5&gt;=기준정보!$C$8,$J87-기준정보!$C$5&lt;=기준정보!$C$9),기준정보!$C$8-1,IF(AND(ISNUMBER(SEARCH("인도네시아",$U87)),$J87-기준정보!$C$5&gt;=기준정보!$C$10,$J87-기준정보!$C$5&lt;=기준정보!$C$11),기준정보!$C$10-1,$J87-기준정보!$C$5)))</f>
        <v/>
      </c>
      <c r="L87" s="23">
        <f>IF($K87="","",IF(ISNUMBER(SEARCH("미얀마",$U87)),MAX(0,MIN($K87,기준정보!$C$9)-MAX($K87-기준정보!$C$6,기준정보!$C$8)+1),IF(ISNUMBER(SEARCH("인도네시아",$U87)),MAX(0,MIN($K87,기준정보!$C$11)-MAX($K87-기준정보!$C$6,기준정보!$C$10)+1),0)))</f>
        <v/>
      </c>
      <c r="M87" s="22">
        <f>IF($K87="","",$K87-기준정보!$C$6-$L87)</f>
        <v/>
      </c>
      <c r="N87" s="24">
        <f>IF($M87="","",$M87-기준정보!$C$4)</f>
        <v/>
      </c>
      <c r="O87" s="21" t="n"/>
      <c r="P87" s="21" t="n"/>
      <c r="Q87" s="21" t="n"/>
      <c r="R87" s="25" t="n"/>
      <c r="S87" s="20">
        <f>IF($H87="","",IF($H87="C","본사(소재팀)",IF($H87="완","생산처","확인 필요")))</f>
        <v/>
      </c>
      <c r="T87" s="20" t="inlineStr">
        <is>
          <t>디코드</t>
        </is>
      </c>
      <c r="U87" s="20" t="inlineStr">
        <is>
          <t>베트남</t>
        </is>
      </c>
      <c r="V87" s="20" t="n"/>
      <c r="W87" s="26" t="n"/>
      <c r="X87" s="26" t="n"/>
      <c r="Y87" s="22" t="n"/>
      <c r="Z87" s="27" t="n">
        <v>2000</v>
      </c>
      <c r="AA87" s="27" t="n">
        <v>75396000</v>
      </c>
      <c r="AB87" s="27" t="n">
        <v>376000000</v>
      </c>
      <c r="AC87" s="20" t="n"/>
      <c r="AD87" s="20">
        <f>IF($J87="","출고일 미정",IF($P87="X","작지 미발행",IF($P87="부분","작지 일부 미발행",IF(AND($R87&lt;&gt;"",$R87&gt;$M87),"소재입고 마감("&amp;TEXT($M87,"MM/DD")&amp;") 초과",IF($P87="","발행여부 확인 필요",IF($R87="","소재 입고일정 확인 필요","정상"))))))</f>
        <v/>
      </c>
      <c r="AE87" s="19">
        <f>IF($J87="","",IF(OR(LEFT($AD87,2)="작지",LEFT($AD87,4)="소재입고"),IF(LEFT($G87,1)="A","★ 납기위험(A코드)","◆ 지연주의"),IF($AD87="정상","✓ 정상","? 확인필요")))</f>
        <v/>
      </c>
      <c r="AF87" s="21" t="n"/>
      <c r="AG87" s="28" t="n"/>
    </row>
    <row r="88">
      <c r="A88" s="19" t="n">
        <v>84</v>
      </c>
      <c r="B88" s="20" t="inlineStr">
        <is>
          <t>박진아</t>
        </is>
      </c>
      <c r="C88" s="20" t="inlineStr">
        <is>
          <t>권혁일</t>
        </is>
      </c>
      <c r="D88" s="20" t="inlineStr">
        <is>
          <t>TVPNA27432</t>
        </is>
      </c>
      <c r="E88" s="20" t="inlineStr">
        <is>
          <t>여성 소프트쉘 슬림핏 카고팬츠</t>
        </is>
      </c>
      <c r="F88" s="20" t="inlineStr">
        <is>
          <t>ASB/DEB</t>
        </is>
      </c>
      <c r="G88" s="19">
        <f>IF($D88="","",IF(MID($D88,5,1)="A","A(가을)",IF(MID($D88,5,1)="W","W(겨울)",IF(MID($D88,5,1)="X","X(사계절)",MID($D88,5,1)))))</f>
        <v/>
      </c>
      <c r="H88" s="19" t="n"/>
      <c r="I88" s="21" t="n"/>
      <c r="J88" s="22">
        <f>IF($I88="","",IFERROR(DATE(기준정보!$C$7,VALUE(LEFT($I88,FIND("월",$I88)-1)),1+7*(VALUE(SUBSTITUTE(MID($I88,FIND("월",$I88)+1,5),"주",""))-1)),""))</f>
        <v/>
      </c>
      <c r="K88" s="22">
        <f>IF($J88="","",IF(AND(ISNUMBER(SEARCH("미얀마",$U88)),$J88-기준정보!$C$5&gt;=기준정보!$C$8,$J88-기준정보!$C$5&lt;=기준정보!$C$9),기준정보!$C$8-1,IF(AND(ISNUMBER(SEARCH("인도네시아",$U88)),$J88-기준정보!$C$5&gt;=기준정보!$C$10,$J88-기준정보!$C$5&lt;=기준정보!$C$11),기준정보!$C$10-1,$J88-기준정보!$C$5)))</f>
        <v/>
      </c>
      <c r="L88" s="23">
        <f>IF($K88="","",IF(ISNUMBER(SEARCH("미얀마",$U88)),MAX(0,MIN($K88,기준정보!$C$9)-MAX($K88-기준정보!$C$6,기준정보!$C$8)+1),IF(ISNUMBER(SEARCH("인도네시아",$U88)),MAX(0,MIN($K88,기준정보!$C$11)-MAX($K88-기준정보!$C$6,기준정보!$C$10)+1),0)))</f>
        <v/>
      </c>
      <c r="M88" s="22">
        <f>IF($K88="","",$K88-기준정보!$C$6-$L88)</f>
        <v/>
      </c>
      <c r="N88" s="24">
        <f>IF($M88="","",$M88-기준정보!$C$4)</f>
        <v/>
      </c>
      <c r="O88" s="21" t="n"/>
      <c r="P88" s="21" t="n"/>
      <c r="Q88" s="21" t="n"/>
      <c r="R88" s="25" t="n"/>
      <c r="S88" s="20">
        <f>IF($H88="","",IF($H88="C","본사(소재팀)",IF($H88="완","생산처","확인 필요")))</f>
        <v/>
      </c>
      <c r="T88" s="20" t="inlineStr">
        <is>
          <t>원전</t>
        </is>
      </c>
      <c r="U88" s="20" t="inlineStr">
        <is>
          <t>인도네시아</t>
        </is>
      </c>
      <c r="V88" s="20" t="n"/>
      <c r="W88" s="26" t="n"/>
      <c r="X88" s="26" t="n"/>
      <c r="Y88" s="22" t="n"/>
      <c r="Z88" s="27" t="n">
        <v>2000</v>
      </c>
      <c r="AA88" s="27" t="n">
        <v>67668000</v>
      </c>
      <c r="AB88" s="27" t="n">
        <v>376000000</v>
      </c>
      <c r="AC88" s="20" t="n"/>
      <c r="AD88" s="20">
        <f>IF($J88="","출고일 미정",IF($P88="X","작지 미발행",IF($P88="부분","작지 일부 미발행",IF(AND($R88&lt;&gt;"",$R88&gt;$M88),"소재입고 마감("&amp;TEXT($M88,"MM/DD")&amp;") 초과",IF($P88="","발행여부 확인 필요",IF($R88="","소재 입고일정 확인 필요","정상"))))))</f>
        <v/>
      </c>
      <c r="AE88" s="19">
        <f>IF($J88="","",IF(OR(LEFT($AD88,2)="작지",LEFT($AD88,4)="소재입고"),IF(LEFT($G88,1)="A","★ 납기위험(A코드)","◆ 지연주의"),IF($AD88="정상","✓ 정상","? 확인필요")))</f>
        <v/>
      </c>
      <c r="AF88" s="21" t="n"/>
      <c r="AG88" s="28" t="n"/>
    </row>
    <row r="89">
      <c r="A89" s="19" t="n">
        <v>85</v>
      </c>
      <c r="B89" s="20" t="inlineStr">
        <is>
          <t>박진아</t>
        </is>
      </c>
      <c r="C89" s="20" t="inlineStr">
        <is>
          <t>권혁일</t>
        </is>
      </c>
      <c r="D89" s="20" t="inlineStr">
        <is>
          <t>TVPNA27434</t>
        </is>
      </c>
      <c r="E89" s="20" t="inlineStr">
        <is>
          <t>여성 조거 팬츠</t>
        </is>
      </c>
      <c r="F89" s="20" t="inlineStr">
        <is>
          <t>DTL/DEB</t>
        </is>
      </c>
      <c r="G89" s="19">
        <f>IF($D89="","",IF(MID($D89,5,1)="A","A(가을)",IF(MID($D89,5,1)="W","W(겨울)",IF(MID($D89,5,1)="X","X(사계절)",MID($D89,5,1)))))</f>
        <v/>
      </c>
      <c r="H89" s="19" t="n"/>
      <c r="I89" s="21" t="n"/>
      <c r="J89" s="22">
        <f>IF($I89="","",IFERROR(DATE(기준정보!$C$7,VALUE(LEFT($I89,FIND("월",$I89)-1)),1+7*(VALUE(SUBSTITUTE(MID($I89,FIND("월",$I89)+1,5),"주",""))-1)),""))</f>
        <v/>
      </c>
      <c r="K89" s="22">
        <f>IF($J89="","",IF(AND(ISNUMBER(SEARCH("미얀마",$U89)),$J89-기준정보!$C$5&gt;=기준정보!$C$8,$J89-기준정보!$C$5&lt;=기준정보!$C$9),기준정보!$C$8-1,IF(AND(ISNUMBER(SEARCH("인도네시아",$U89)),$J89-기준정보!$C$5&gt;=기준정보!$C$10,$J89-기준정보!$C$5&lt;=기준정보!$C$11),기준정보!$C$10-1,$J89-기준정보!$C$5)))</f>
        <v/>
      </c>
      <c r="L89" s="23">
        <f>IF($K89="","",IF(ISNUMBER(SEARCH("미얀마",$U89)),MAX(0,MIN($K89,기준정보!$C$9)-MAX($K89-기준정보!$C$6,기준정보!$C$8)+1),IF(ISNUMBER(SEARCH("인도네시아",$U89)),MAX(0,MIN($K89,기준정보!$C$11)-MAX($K89-기준정보!$C$6,기준정보!$C$10)+1),0)))</f>
        <v/>
      </c>
      <c r="M89" s="22">
        <f>IF($K89="","",$K89-기준정보!$C$6-$L89)</f>
        <v/>
      </c>
      <c r="N89" s="24">
        <f>IF($M89="","",$M89-기준정보!$C$4)</f>
        <v/>
      </c>
      <c r="O89" s="21" t="n"/>
      <c r="P89" s="21" t="n"/>
      <c r="Q89" s="21" t="n"/>
      <c r="R89" s="25" t="n"/>
      <c r="S89" s="20">
        <f>IF($H89="","",IF($H89="C","본사(소재팀)",IF($H89="완","생산처","확인 필요")))</f>
        <v/>
      </c>
      <c r="T89" s="20" t="inlineStr">
        <is>
          <t>YIC</t>
        </is>
      </c>
      <c r="U89" s="20" t="inlineStr">
        <is>
          <t>베트남</t>
        </is>
      </c>
      <c r="V89" s="20" t="n"/>
      <c r="W89" s="26" t="n"/>
      <c r="X89" s="26" t="n"/>
      <c r="Y89" s="22" t="n"/>
      <c r="Z89" s="27" t="n">
        <v>2000</v>
      </c>
      <c r="AA89" s="27" t="n">
        <v>67234000</v>
      </c>
      <c r="AB89" s="27" t="n">
        <v>356000000</v>
      </c>
      <c r="AC89" s="20" t="n"/>
      <c r="AD89" s="20">
        <f>IF($J89="","출고일 미정",IF($P89="X","작지 미발행",IF($P89="부분","작지 일부 미발행",IF(AND($R89&lt;&gt;"",$R89&gt;$M89),"소재입고 마감("&amp;TEXT($M89,"MM/DD")&amp;") 초과",IF($P89="","발행여부 확인 필요",IF($R89="","소재 입고일정 확인 필요","정상"))))))</f>
        <v/>
      </c>
      <c r="AE89" s="19">
        <f>IF($J89="","",IF(OR(LEFT($AD89,2)="작지",LEFT($AD89,4)="소재입고"),IF(LEFT($G89,1)="A","★ 납기위험(A코드)","◆ 지연주의"),IF($AD89="정상","✓ 정상","? 확인필요")))</f>
        <v/>
      </c>
      <c r="AF89" s="21" t="n"/>
      <c r="AG89" s="28" t="n"/>
    </row>
    <row r="90">
      <c r="A90" s="19" t="n">
        <v>86</v>
      </c>
      <c r="B90" s="20" t="inlineStr">
        <is>
          <t>박진아</t>
        </is>
      </c>
      <c r="C90" s="20" t="inlineStr">
        <is>
          <t>권혁일</t>
        </is>
      </c>
      <c r="D90" s="20" t="inlineStr">
        <is>
          <t>TVSXA27402</t>
        </is>
      </c>
      <c r="E90" s="20" t="inlineStr">
        <is>
          <t>여성 나일론 릴렉스핏 긴팔 셔츠</t>
        </is>
      </c>
      <c r="F90" s="20" t="inlineStr">
        <is>
          <t>CTP/DEB</t>
        </is>
      </c>
      <c r="G90" s="19">
        <f>IF($D90="","",IF(MID($D90,5,1)="A","A(가을)",IF(MID($D90,5,1)="W","W(겨울)",IF(MID($D90,5,1)="X","X(사계절)",MID($D90,5,1)))))</f>
        <v/>
      </c>
      <c r="H90" s="19" t="n"/>
      <c r="I90" s="21" t="n"/>
      <c r="J90" s="22">
        <f>IF($I90="","",IFERROR(DATE(기준정보!$C$7,VALUE(LEFT($I90,FIND("월",$I90)-1)),1+7*(VALUE(SUBSTITUTE(MID($I90,FIND("월",$I90)+1,5),"주",""))-1)),""))</f>
        <v/>
      </c>
      <c r="K90" s="22">
        <f>IF($J90="","",IF(AND(ISNUMBER(SEARCH("미얀마",$U90)),$J90-기준정보!$C$5&gt;=기준정보!$C$8,$J90-기준정보!$C$5&lt;=기준정보!$C$9),기준정보!$C$8-1,IF(AND(ISNUMBER(SEARCH("인도네시아",$U90)),$J90-기준정보!$C$5&gt;=기준정보!$C$10,$J90-기준정보!$C$5&lt;=기준정보!$C$11),기준정보!$C$10-1,$J90-기준정보!$C$5)))</f>
        <v/>
      </c>
      <c r="L90" s="23">
        <f>IF($K90="","",IF(ISNUMBER(SEARCH("미얀마",$U90)),MAX(0,MIN($K90,기준정보!$C$9)-MAX($K90-기준정보!$C$6,기준정보!$C$8)+1),IF(ISNUMBER(SEARCH("인도네시아",$U90)),MAX(0,MIN($K90,기준정보!$C$11)-MAX($K90-기준정보!$C$6,기준정보!$C$10)+1),0)))</f>
        <v/>
      </c>
      <c r="M90" s="22">
        <f>IF($K90="","",$K90-기준정보!$C$6-$L90)</f>
        <v/>
      </c>
      <c r="N90" s="24">
        <f>IF($M90="","",$M90-기준정보!$C$4)</f>
        <v/>
      </c>
      <c r="O90" s="21" t="n"/>
      <c r="P90" s="21" t="n"/>
      <c r="Q90" s="21" t="n"/>
      <c r="R90" s="25" t="n"/>
      <c r="S90" s="20">
        <f>IF($H90="","",IF($H90="C","본사(소재팀)",IF($H90="완","생산처","확인 필요")))</f>
        <v/>
      </c>
      <c r="T90" s="20" t="inlineStr">
        <is>
          <t>픽스쳐</t>
        </is>
      </c>
      <c r="U90" s="20" t="inlineStr">
        <is>
          <t>베트남</t>
        </is>
      </c>
      <c r="V90" s="20" t="n"/>
      <c r="W90" s="26" t="n"/>
      <c r="X90" s="26" t="n"/>
      <c r="Y90" s="22" t="n"/>
      <c r="Z90" s="27" t="n">
        <v>1500</v>
      </c>
      <c r="AA90" s="27" t="n">
        <v>47530500</v>
      </c>
      <c r="AB90" s="27" t="n">
        <v>252000000</v>
      </c>
      <c r="AC90" s="20" t="n"/>
      <c r="AD90" s="20">
        <f>IF($J90="","출고일 미정",IF($P90="X","작지 미발행",IF($P90="부분","작지 일부 미발행",IF(AND($R90&lt;&gt;"",$R90&gt;$M90),"소재입고 마감("&amp;TEXT($M90,"MM/DD")&amp;") 초과",IF($P90="","발행여부 확인 필요",IF($R90="","소재 입고일정 확인 필요","정상"))))))</f>
        <v/>
      </c>
      <c r="AE90" s="19">
        <f>IF($J90="","",IF(OR(LEFT($AD90,2)="작지",LEFT($AD90,4)="소재입고"),IF(LEFT($G90,1)="A","★ 납기위험(A코드)","◆ 지연주의"),IF($AD90="정상","✓ 정상","? 확인필요")))</f>
        <v/>
      </c>
      <c r="AF90" s="21" t="n"/>
      <c r="AG90" s="28" t="n"/>
    </row>
    <row r="91">
      <c r="A91" s="19" t="n">
        <v>87</v>
      </c>
      <c r="B91" s="20" t="inlineStr">
        <is>
          <t>박진아</t>
        </is>
      </c>
      <c r="C91" s="20" t="inlineStr">
        <is>
          <t>권혁일</t>
        </is>
      </c>
      <c r="D91" s="20" t="inlineStr">
        <is>
          <t>TVTBA27402</t>
        </is>
      </c>
      <c r="E91" s="20" t="inlineStr">
        <is>
          <t>여성 베이직 슬림핏 긴팔 쿼터집업 티셔츠</t>
        </is>
      </c>
      <c r="F91" s="20" t="inlineStr">
        <is>
          <t>ECR/ABU/DTL</t>
        </is>
      </c>
      <c r="G91" s="19">
        <f>IF($D91="","",IF(MID($D91,5,1)="A","A(가을)",IF(MID($D91,5,1)="W","W(겨울)",IF(MID($D91,5,1)="X","X(사계절)",MID($D91,5,1)))))</f>
        <v/>
      </c>
      <c r="H91" s="19" t="n"/>
      <c r="I91" s="21" t="n"/>
      <c r="J91" s="22">
        <f>IF($I91="","",IFERROR(DATE(기준정보!$C$7,VALUE(LEFT($I91,FIND("월",$I91)-1)),1+7*(VALUE(SUBSTITUTE(MID($I91,FIND("월",$I91)+1,5),"주",""))-1)),""))</f>
        <v/>
      </c>
      <c r="K91" s="22">
        <f>IF($J91="","",IF(AND(ISNUMBER(SEARCH("미얀마",$U91)),$J91-기준정보!$C$5&gt;=기준정보!$C$8,$J91-기준정보!$C$5&lt;=기준정보!$C$9),기준정보!$C$8-1,IF(AND(ISNUMBER(SEARCH("인도네시아",$U91)),$J91-기준정보!$C$5&gt;=기준정보!$C$10,$J91-기준정보!$C$5&lt;=기준정보!$C$11),기준정보!$C$10-1,$J91-기준정보!$C$5)))</f>
        <v/>
      </c>
      <c r="L91" s="23">
        <f>IF($K91="","",IF(ISNUMBER(SEARCH("미얀마",$U91)),MAX(0,MIN($K91,기준정보!$C$9)-MAX($K91-기준정보!$C$6,기준정보!$C$8)+1),IF(ISNUMBER(SEARCH("인도네시아",$U91)),MAX(0,MIN($K91,기준정보!$C$11)-MAX($K91-기준정보!$C$6,기준정보!$C$10)+1),0)))</f>
        <v/>
      </c>
      <c r="M91" s="22">
        <f>IF($K91="","",$K91-기준정보!$C$6-$L91)</f>
        <v/>
      </c>
      <c r="N91" s="24">
        <f>IF($M91="","",$M91-기준정보!$C$4)</f>
        <v/>
      </c>
      <c r="O91" s="21" t="n"/>
      <c r="P91" s="21" t="n"/>
      <c r="Q91" s="21" t="n"/>
      <c r="R91" s="25" t="n"/>
      <c r="S91" s="20">
        <f>IF($H91="","",IF($H91="C","본사(소재팀)",IF($H91="완","생산처","확인 필요")))</f>
        <v/>
      </c>
      <c r="T91" s="20" t="inlineStr">
        <is>
          <t>장안</t>
        </is>
      </c>
      <c r="U91" s="20" t="inlineStr">
        <is>
          <t>베트남</t>
        </is>
      </c>
      <c r="V91" s="20" t="n"/>
      <c r="W91" s="26" t="n"/>
      <c r="X91" s="26" t="n"/>
      <c r="Y91" s="22" t="n"/>
      <c r="Z91" s="27" t="n">
        <v>3000</v>
      </c>
      <c r="AA91" s="27" t="n">
        <v>56178000</v>
      </c>
      <c r="AB91" s="27" t="n">
        <v>384000000</v>
      </c>
      <c r="AC91" s="20" t="n"/>
      <c r="AD91" s="20">
        <f>IF($J91="","출고일 미정",IF($P91="X","작지 미발행",IF($P91="부분","작지 일부 미발행",IF(AND($R91&lt;&gt;"",$R91&gt;$M91),"소재입고 마감("&amp;TEXT($M91,"MM/DD")&amp;") 초과",IF($P91="","발행여부 확인 필요",IF($R91="","소재 입고일정 확인 필요","정상"))))))</f>
        <v/>
      </c>
      <c r="AE91" s="19">
        <f>IF($J91="","",IF(OR(LEFT($AD91,2)="작지",LEFT($AD91,4)="소재입고"),IF(LEFT($G91,1)="A","★ 납기위험(A코드)","◆ 지연주의"),IF($AD91="정상","✓ 정상","? 확인필요")))</f>
        <v/>
      </c>
      <c r="AF91" s="21" t="n"/>
      <c r="AG91" s="28" t="n"/>
    </row>
    <row r="92">
      <c r="A92" s="19" t="n">
        <v>88</v>
      </c>
      <c r="B92" s="20" t="inlineStr">
        <is>
          <t>박진아</t>
        </is>
      </c>
      <c r="C92" s="20" t="inlineStr">
        <is>
          <t>권혁일</t>
        </is>
      </c>
      <c r="D92" s="20" t="inlineStr">
        <is>
          <t>TVTBA27412</t>
        </is>
      </c>
      <c r="E92" s="20" t="inlineStr">
        <is>
          <t>여성 베이직 슬림핏 긴팔 라운드 티셔츠</t>
        </is>
      </c>
      <c r="F92" s="20" t="inlineStr">
        <is>
          <t>ABE/MID</t>
        </is>
      </c>
      <c r="G92" s="19">
        <f>IF($D92="","",IF(MID($D92,5,1)="A","A(가을)",IF(MID($D92,5,1)="W","W(겨울)",IF(MID($D92,5,1)="X","X(사계절)",MID($D92,5,1)))))</f>
        <v/>
      </c>
      <c r="H92" s="19" t="n"/>
      <c r="I92" s="21" t="n"/>
      <c r="J92" s="22">
        <f>IF($I92="","",IFERROR(DATE(기준정보!$C$7,VALUE(LEFT($I92,FIND("월",$I92)-1)),1+7*(VALUE(SUBSTITUTE(MID($I92,FIND("월",$I92)+1,5),"주",""))-1)),""))</f>
        <v/>
      </c>
      <c r="K92" s="22">
        <f>IF($J92="","",IF(AND(ISNUMBER(SEARCH("미얀마",$U92)),$J92-기준정보!$C$5&gt;=기준정보!$C$8,$J92-기준정보!$C$5&lt;=기준정보!$C$9),기준정보!$C$8-1,IF(AND(ISNUMBER(SEARCH("인도네시아",$U92)),$J92-기준정보!$C$5&gt;=기준정보!$C$10,$J92-기준정보!$C$5&lt;=기준정보!$C$11),기준정보!$C$10-1,$J92-기준정보!$C$5)))</f>
        <v/>
      </c>
      <c r="L92" s="23">
        <f>IF($K92="","",IF(ISNUMBER(SEARCH("미얀마",$U92)),MAX(0,MIN($K92,기준정보!$C$9)-MAX($K92-기준정보!$C$6,기준정보!$C$8)+1),IF(ISNUMBER(SEARCH("인도네시아",$U92)),MAX(0,MIN($K92,기준정보!$C$11)-MAX($K92-기준정보!$C$6,기준정보!$C$10)+1),0)))</f>
        <v/>
      </c>
      <c r="M92" s="22">
        <f>IF($K92="","",$K92-기준정보!$C$6-$L92)</f>
        <v/>
      </c>
      <c r="N92" s="24">
        <f>IF($M92="","",$M92-기준정보!$C$4)</f>
        <v/>
      </c>
      <c r="O92" s="21" t="n"/>
      <c r="P92" s="21" t="n"/>
      <c r="Q92" s="21" t="n"/>
      <c r="R92" s="25" t="n"/>
      <c r="S92" s="20">
        <f>IF($H92="","",IF($H92="C","본사(소재팀)",IF($H92="완","생산처","확인 필요")))</f>
        <v/>
      </c>
      <c r="T92" s="20" t="inlineStr">
        <is>
          <t>장안</t>
        </is>
      </c>
      <c r="U92" s="20" t="inlineStr">
        <is>
          <t>베트남</t>
        </is>
      </c>
      <c r="V92" s="20" t="n"/>
      <c r="W92" s="26" t="n"/>
      <c r="X92" s="26" t="n"/>
      <c r="Y92" s="22" t="n"/>
      <c r="Z92" s="27" t="n">
        <v>2500</v>
      </c>
      <c r="AA92" s="27" t="n">
        <v>35000000</v>
      </c>
      <c r="AB92" s="27" t="n">
        <v>295000000</v>
      </c>
      <c r="AC92" s="20" t="n"/>
      <c r="AD92" s="20">
        <f>IF($J92="","출고일 미정",IF($P92="X","작지 미발행",IF($P92="부분","작지 일부 미발행",IF(AND($R92&lt;&gt;"",$R92&gt;$M92),"소재입고 마감("&amp;TEXT($M92,"MM/DD")&amp;") 초과",IF($P92="","발행여부 확인 필요",IF($R92="","소재 입고일정 확인 필요","정상"))))))</f>
        <v/>
      </c>
      <c r="AE92" s="19">
        <f>IF($J92="","",IF(OR(LEFT($AD92,2)="작지",LEFT($AD92,4)="소재입고"),IF(LEFT($G92,1)="A","★ 납기위험(A코드)","◆ 지연주의"),IF($AD92="정상","✓ 정상","? 확인필요")))</f>
        <v/>
      </c>
      <c r="AF92" s="21" t="n"/>
      <c r="AG92" s="28" t="n"/>
    </row>
    <row r="93">
      <c r="A93" s="19" t="n">
        <v>89</v>
      </c>
      <c r="B93" s="20" t="inlineStr">
        <is>
          <t>박진아</t>
        </is>
      </c>
      <c r="C93" s="20" t="inlineStr">
        <is>
          <t>권혁일</t>
        </is>
      </c>
      <c r="D93" s="20" t="inlineStr">
        <is>
          <t>TVTBA27422</t>
        </is>
      </c>
      <c r="E93" s="20" t="inlineStr">
        <is>
          <t>여성 하이브리드 긴팔 아노락</t>
        </is>
      </c>
      <c r="F93" s="20" t="inlineStr">
        <is>
          <t>RBW/DEB</t>
        </is>
      </c>
      <c r="G93" s="19">
        <f>IF($D93="","",IF(MID($D93,5,1)="A","A(가을)",IF(MID($D93,5,1)="W","W(겨울)",IF(MID($D93,5,1)="X","X(사계절)",MID($D93,5,1)))))</f>
        <v/>
      </c>
      <c r="H93" s="19" t="n"/>
      <c r="I93" s="21" t="n"/>
      <c r="J93" s="22">
        <f>IF($I93="","",IFERROR(DATE(기준정보!$C$7,VALUE(LEFT($I93,FIND("월",$I93)-1)),1+7*(VALUE(SUBSTITUTE(MID($I93,FIND("월",$I93)+1,5),"주",""))-1)),""))</f>
        <v/>
      </c>
      <c r="K93" s="22">
        <f>IF($J93="","",IF(AND(ISNUMBER(SEARCH("미얀마",$U93)),$J93-기준정보!$C$5&gt;=기준정보!$C$8,$J93-기준정보!$C$5&lt;=기준정보!$C$9),기준정보!$C$8-1,IF(AND(ISNUMBER(SEARCH("인도네시아",$U93)),$J93-기준정보!$C$5&gt;=기준정보!$C$10,$J93-기준정보!$C$5&lt;=기준정보!$C$11),기준정보!$C$10-1,$J93-기준정보!$C$5)))</f>
        <v/>
      </c>
      <c r="L93" s="23">
        <f>IF($K93="","",IF(ISNUMBER(SEARCH("미얀마",$U93)),MAX(0,MIN($K93,기준정보!$C$9)-MAX($K93-기준정보!$C$6,기준정보!$C$8)+1),IF(ISNUMBER(SEARCH("인도네시아",$U93)),MAX(0,MIN($K93,기준정보!$C$11)-MAX($K93-기준정보!$C$6,기준정보!$C$10)+1),0)))</f>
        <v/>
      </c>
      <c r="M93" s="22">
        <f>IF($K93="","",$K93-기준정보!$C$6-$L93)</f>
        <v/>
      </c>
      <c r="N93" s="24">
        <f>IF($M93="","",$M93-기준정보!$C$4)</f>
        <v/>
      </c>
      <c r="O93" s="21" t="n"/>
      <c r="P93" s="21" t="n"/>
      <c r="Q93" s="21" t="n"/>
      <c r="R93" s="25" t="n"/>
      <c r="S93" s="20">
        <f>IF($H93="","",IF($H93="C","본사(소재팀)",IF($H93="완","생산처","확인 필요")))</f>
        <v/>
      </c>
      <c r="T93" s="20" t="inlineStr">
        <is>
          <t>태화</t>
        </is>
      </c>
      <c r="U93" s="20" t="inlineStr">
        <is>
          <t>베트남</t>
        </is>
      </c>
      <c r="V93" s="20" t="n"/>
      <c r="W93" s="26" t="n"/>
      <c r="X93" s="26" t="n"/>
      <c r="Y93" s="22" t="n"/>
      <c r="Z93" s="27" t="n">
        <v>4000</v>
      </c>
      <c r="AA93" s="27" t="n">
        <v>96688000</v>
      </c>
      <c r="AB93" s="27" t="n">
        <v>632000000</v>
      </c>
      <c r="AC93" s="20" t="n"/>
      <c r="AD93" s="20">
        <f>IF($J93="","출고일 미정",IF($P93="X","작지 미발행",IF($P93="부분","작지 일부 미발행",IF(AND($R93&lt;&gt;"",$R93&gt;$M93),"소재입고 마감("&amp;TEXT($M93,"MM/DD")&amp;") 초과",IF($P93="","발행여부 확인 필요",IF($R93="","소재 입고일정 확인 필요","정상"))))))</f>
        <v/>
      </c>
      <c r="AE93" s="19">
        <f>IF($J93="","",IF(OR(LEFT($AD93,2)="작지",LEFT($AD93,4)="소재입고"),IF(LEFT($G93,1)="A","★ 납기위험(A코드)","◆ 지연주의"),IF($AD93="정상","✓ 정상","? 확인필요")))</f>
        <v/>
      </c>
      <c r="AF93" s="21" t="n"/>
      <c r="AG93" s="28" t="n"/>
    </row>
    <row r="94">
      <c r="A94" s="19" t="n">
        <v>90</v>
      </c>
      <c r="B94" s="20" t="inlineStr">
        <is>
          <t>박진아</t>
        </is>
      </c>
      <c r="C94" s="20" t="inlineStr">
        <is>
          <t>권혁일</t>
        </is>
      </c>
      <c r="D94" s="20" t="inlineStr">
        <is>
          <t>TVTBA27424</t>
        </is>
      </c>
      <c r="E94" s="20" t="inlineStr">
        <is>
          <t>여성 울라이크 슬림핏 긴팔 후드 티셔츠</t>
        </is>
      </c>
      <c r="F94" s="20" t="inlineStr">
        <is>
          <t>HYL/MID</t>
        </is>
      </c>
      <c r="G94" s="19">
        <f>IF($D94="","",IF(MID($D94,5,1)="A","A(가을)",IF(MID($D94,5,1)="W","W(겨울)",IF(MID($D94,5,1)="X","X(사계절)",MID($D94,5,1)))))</f>
        <v/>
      </c>
      <c r="H94" s="19" t="n"/>
      <c r="I94" s="21" t="n"/>
      <c r="J94" s="22">
        <f>IF($I94="","",IFERROR(DATE(기준정보!$C$7,VALUE(LEFT($I94,FIND("월",$I94)-1)),1+7*(VALUE(SUBSTITUTE(MID($I94,FIND("월",$I94)+1,5),"주",""))-1)),""))</f>
        <v/>
      </c>
      <c r="K94" s="22">
        <f>IF($J94="","",IF(AND(ISNUMBER(SEARCH("미얀마",$U94)),$J94-기준정보!$C$5&gt;=기준정보!$C$8,$J94-기준정보!$C$5&lt;=기준정보!$C$9),기준정보!$C$8-1,IF(AND(ISNUMBER(SEARCH("인도네시아",$U94)),$J94-기준정보!$C$5&gt;=기준정보!$C$10,$J94-기준정보!$C$5&lt;=기준정보!$C$11),기준정보!$C$10-1,$J94-기준정보!$C$5)))</f>
        <v/>
      </c>
      <c r="L94" s="23">
        <f>IF($K94="","",IF(ISNUMBER(SEARCH("미얀마",$U94)),MAX(0,MIN($K94,기준정보!$C$9)-MAX($K94-기준정보!$C$6,기준정보!$C$8)+1),IF(ISNUMBER(SEARCH("인도네시아",$U94)),MAX(0,MIN($K94,기준정보!$C$11)-MAX($K94-기준정보!$C$6,기준정보!$C$10)+1),0)))</f>
        <v/>
      </c>
      <c r="M94" s="22">
        <f>IF($K94="","",$K94-기준정보!$C$6-$L94)</f>
        <v/>
      </c>
      <c r="N94" s="24">
        <f>IF($M94="","",$M94-기준정보!$C$4)</f>
        <v/>
      </c>
      <c r="O94" s="21" t="n"/>
      <c r="P94" s="21" t="n"/>
      <c r="Q94" s="21" t="n"/>
      <c r="R94" s="25" t="n"/>
      <c r="S94" s="20">
        <f>IF($H94="","",IF($H94="C","본사(소재팀)",IF($H94="완","생산처","확인 필요")))</f>
        <v/>
      </c>
      <c r="T94" s="20" t="inlineStr">
        <is>
          <t>장안</t>
        </is>
      </c>
      <c r="U94" s="20" t="inlineStr">
        <is>
          <t>베트남</t>
        </is>
      </c>
      <c r="V94" s="20" t="n"/>
      <c r="W94" s="26" t="n"/>
      <c r="X94" s="26" t="n"/>
      <c r="Y94" s="22" t="n"/>
      <c r="Z94" s="27" t="n">
        <v>1800</v>
      </c>
      <c r="AA94" s="27" t="n">
        <v>39542400</v>
      </c>
      <c r="AB94" s="27" t="n">
        <v>266400000</v>
      </c>
      <c r="AC94" s="20" t="n"/>
      <c r="AD94" s="20">
        <f>IF($J94="","출고일 미정",IF($P94="X","작지 미발행",IF($P94="부분","작지 일부 미발행",IF(AND($R94&lt;&gt;"",$R94&gt;$M94),"소재입고 마감("&amp;TEXT($M94,"MM/DD")&amp;") 초과",IF($P94="","발행여부 확인 필요",IF($R94="","소재 입고일정 확인 필요","정상"))))))</f>
        <v/>
      </c>
      <c r="AE94" s="19">
        <f>IF($J94="","",IF(OR(LEFT($AD94,2)="작지",LEFT($AD94,4)="소재입고"),IF(LEFT($G94,1)="A","★ 납기위험(A코드)","◆ 지연주의"),IF($AD94="정상","✓ 정상","? 확인필요")))</f>
        <v/>
      </c>
      <c r="AF94" s="21" t="n"/>
      <c r="AG94" s="28" t="n"/>
    </row>
    <row r="95">
      <c r="A95" s="19" t="n">
        <v>91</v>
      </c>
      <c r="B95" s="20" t="inlineStr">
        <is>
          <t>박술홍</t>
        </is>
      </c>
      <c r="C95" s="20" t="inlineStr">
        <is>
          <t>나영길</t>
        </is>
      </c>
      <c r="D95" s="20" t="inlineStr">
        <is>
          <t>JKJJW27752</t>
        </is>
      </c>
      <c r="E95" s="20" t="inlineStr">
        <is>
          <t>여성 트레일러닝 초경량 후드 슬림핏 방수 재킷</t>
        </is>
      </c>
      <c r="F95" s="20" t="inlineStr">
        <is>
          <t>PEG</t>
        </is>
      </c>
      <c r="G95" s="19">
        <f>IF($D95="","",IF(MID($D95,5,1)="A","A(가을)",IF(MID($D95,5,1)="W","W(겨울)",IF(MID($D95,5,1)="X","X(사계절)",MID($D95,5,1)))))</f>
        <v/>
      </c>
      <c r="H95" s="19" t="n"/>
      <c r="I95" s="21" t="inlineStr">
        <is>
          <t>8월1주</t>
        </is>
      </c>
      <c r="J95" s="22">
        <f>IF($I95="","",IFERROR(DATE(기준정보!$C$7,VALUE(LEFT($I95,FIND("월",$I95)-1)),1+7*(VALUE(SUBSTITUTE(MID($I95,FIND("월",$I95)+1,5),"주",""))-1)),""))</f>
        <v/>
      </c>
      <c r="K95" s="22">
        <f>IF($J95="","",IF(AND(ISNUMBER(SEARCH("미얀마",$U95)),$J95-기준정보!$C$5&gt;=기준정보!$C$8,$J95-기준정보!$C$5&lt;=기준정보!$C$9),기준정보!$C$8-1,IF(AND(ISNUMBER(SEARCH("인도네시아",$U95)),$J95-기준정보!$C$5&gt;=기준정보!$C$10,$J95-기준정보!$C$5&lt;=기준정보!$C$11),기준정보!$C$10-1,$J95-기준정보!$C$5)))</f>
        <v/>
      </c>
      <c r="L95" s="23">
        <f>IF($K95="","",IF(ISNUMBER(SEARCH("미얀마",$U95)),MAX(0,MIN($K95,기준정보!$C$9)-MAX($K95-기준정보!$C$6,기준정보!$C$8)+1),IF(ISNUMBER(SEARCH("인도네시아",$U95)),MAX(0,MIN($K95,기준정보!$C$11)-MAX($K95-기준정보!$C$6,기준정보!$C$10)+1),0)))</f>
        <v/>
      </c>
      <c r="M95" s="22">
        <f>IF($K95="","",$K95-기준정보!$C$6-$L95)</f>
        <v/>
      </c>
      <c r="N95" s="24">
        <f>IF($M95="","",$M95-기준정보!$C$4)</f>
        <v/>
      </c>
      <c r="O95" s="21" t="n"/>
      <c r="P95" s="21" t="n"/>
      <c r="Q95" s="21" t="n"/>
      <c r="R95" s="25" t="n"/>
      <c r="S95" s="20">
        <f>IF($H95="","",IF($H95="C","본사(소재팀)",IF($H95="완","생산처","확인 필요")))</f>
        <v/>
      </c>
      <c r="T95" s="20" t="inlineStr">
        <is>
          <t>포마트</t>
        </is>
      </c>
      <c r="U95" s="20" t="inlineStr">
        <is>
          <t>베트남</t>
        </is>
      </c>
      <c r="V95" s="20" t="n"/>
      <c r="W95" s="26" t="n"/>
      <c r="X95" s="26" t="n"/>
      <c r="Y95" s="22" t="n"/>
      <c r="Z95" s="27" t="n">
        <v>150</v>
      </c>
      <c r="AA95" s="27" t="n">
        <v>19564200</v>
      </c>
      <c r="AB95" s="27" t="n">
        <v>73500000</v>
      </c>
      <c r="AC95" s="20" t="n"/>
      <c r="AD95" s="20">
        <f>IF($J95="","출고일 미정",IF($P95="X","작지 미발행",IF($P95="부분","작지 일부 미발행",IF(AND($R95&lt;&gt;"",$R95&gt;$M95),"소재입고 마감("&amp;TEXT($M95,"MM/DD")&amp;") 초과",IF($P95="","발행여부 확인 필요",IF($R95="","소재 입고일정 확인 필요","정상"))))))</f>
        <v/>
      </c>
      <c r="AE95" s="19">
        <f>IF($J95="","",IF(OR(LEFT($AD95,2)="작지",LEFT($AD95,4)="소재입고"),IF(LEFT($G95,1)="A","★ 납기위험(A코드)","◆ 지연주의"),IF($AD95="정상","✓ 정상","? 확인필요")))</f>
        <v/>
      </c>
      <c r="AF95" s="21" t="n"/>
      <c r="AG95" s="28" t="n"/>
    </row>
    <row r="96">
      <c r="A96" s="19" t="n">
        <v>92</v>
      </c>
      <c r="B96" s="20" t="inlineStr">
        <is>
          <t>박술홍</t>
        </is>
      </c>
      <c r="C96" s="20" t="inlineStr">
        <is>
          <t>나영길</t>
        </is>
      </c>
      <c r="D96" s="20" t="inlineStr">
        <is>
          <t>JKJJW27754</t>
        </is>
      </c>
      <c r="E96" s="20" t="inlineStr">
        <is>
          <t>여성 트레일러닝 옥타 후드 슬림핏 재킷</t>
        </is>
      </c>
      <c r="F96" s="20" t="inlineStr">
        <is>
          <t>DEB/DPL</t>
        </is>
      </c>
      <c r="G96" s="19">
        <f>IF($D96="","",IF(MID($D96,5,1)="A","A(가을)",IF(MID($D96,5,1)="W","W(겨울)",IF(MID($D96,5,1)="X","X(사계절)",MID($D96,5,1)))))</f>
        <v/>
      </c>
      <c r="H96" s="19" t="n"/>
      <c r="I96" s="21" t="inlineStr">
        <is>
          <t>8월1주</t>
        </is>
      </c>
      <c r="J96" s="22">
        <f>IF($I96="","",IFERROR(DATE(기준정보!$C$7,VALUE(LEFT($I96,FIND("월",$I96)-1)),1+7*(VALUE(SUBSTITUTE(MID($I96,FIND("월",$I96)+1,5),"주",""))-1)),""))</f>
        <v/>
      </c>
      <c r="K96" s="22">
        <f>IF($J96="","",IF(AND(ISNUMBER(SEARCH("미얀마",$U96)),$J96-기준정보!$C$5&gt;=기준정보!$C$8,$J96-기준정보!$C$5&lt;=기준정보!$C$9),기준정보!$C$8-1,IF(AND(ISNUMBER(SEARCH("인도네시아",$U96)),$J96-기준정보!$C$5&gt;=기준정보!$C$10,$J96-기준정보!$C$5&lt;=기준정보!$C$11),기준정보!$C$10-1,$J96-기준정보!$C$5)))</f>
        <v/>
      </c>
      <c r="L96" s="23">
        <f>IF($K96="","",IF(ISNUMBER(SEARCH("미얀마",$U96)),MAX(0,MIN($K96,기준정보!$C$9)-MAX($K96-기준정보!$C$6,기준정보!$C$8)+1),IF(ISNUMBER(SEARCH("인도네시아",$U96)),MAX(0,MIN($K96,기준정보!$C$11)-MAX($K96-기준정보!$C$6,기준정보!$C$10)+1),0)))</f>
        <v/>
      </c>
      <c r="M96" s="22">
        <f>IF($K96="","",$K96-기준정보!$C$6-$L96)</f>
        <v/>
      </c>
      <c r="N96" s="24">
        <f>IF($M96="","",$M96-기준정보!$C$4)</f>
        <v/>
      </c>
      <c r="O96" s="21" t="n"/>
      <c r="P96" s="21" t="n"/>
      <c r="Q96" s="21" t="n"/>
      <c r="R96" s="25" t="n"/>
      <c r="S96" s="20">
        <f>IF($H96="","",IF($H96="C","본사(소재팀)",IF($H96="완","생산처","확인 필요")))</f>
        <v/>
      </c>
      <c r="T96" s="20" t="inlineStr">
        <is>
          <t>태화</t>
        </is>
      </c>
      <c r="U96" s="20" t="inlineStr">
        <is>
          <t>베트남</t>
        </is>
      </c>
      <c r="V96" s="20" t="n"/>
      <c r="W96" s="26" t="n"/>
      <c r="X96" s="26" t="n"/>
      <c r="Y96" s="22" t="n"/>
      <c r="Z96" s="27" t="n">
        <v>500</v>
      </c>
      <c r="AA96" s="27" t="n">
        <v>24268500</v>
      </c>
      <c r="AB96" s="27" t="n">
        <v>110000000</v>
      </c>
      <c r="AC96" s="20" t="n"/>
      <c r="AD96" s="20">
        <f>IF($J96="","출고일 미정",IF($P96="X","작지 미발행",IF($P96="부분","작지 일부 미발행",IF(AND($R96&lt;&gt;"",$R96&gt;$M96),"소재입고 마감("&amp;TEXT($M96,"MM/DD")&amp;") 초과",IF($P96="","발행여부 확인 필요",IF($R96="","소재 입고일정 확인 필요","정상"))))))</f>
        <v/>
      </c>
      <c r="AE96" s="19">
        <f>IF($J96="","",IF(OR(LEFT($AD96,2)="작지",LEFT($AD96,4)="소재입고"),IF(LEFT($G96,1)="A","★ 납기위험(A코드)","◆ 지연주의"),IF($AD96="정상","✓ 정상","? 확인필요")))</f>
        <v/>
      </c>
      <c r="AF96" s="21" t="n"/>
      <c r="AG96" s="28" t="n"/>
    </row>
    <row r="97">
      <c r="A97" s="19" t="n">
        <v>93</v>
      </c>
      <c r="B97" s="20" t="inlineStr">
        <is>
          <t>박술홍</t>
        </is>
      </c>
      <c r="C97" s="20" t="inlineStr">
        <is>
          <t>나영길</t>
        </is>
      </c>
      <c r="D97" s="20" t="inlineStr">
        <is>
          <t>JKPOW27772</t>
        </is>
      </c>
      <c r="E97" s="20" t="inlineStr">
        <is>
          <t>여성 트레일러닝 3인치 쇼츠</t>
        </is>
      </c>
      <c r="F97" s="20" t="inlineStr">
        <is>
          <t>RBW</t>
        </is>
      </c>
      <c r="G97" s="19">
        <f>IF($D97="","",IF(MID($D97,5,1)="A","A(가을)",IF(MID($D97,5,1)="W","W(겨울)",IF(MID($D97,5,1)="X","X(사계절)",MID($D97,5,1)))))</f>
        <v/>
      </c>
      <c r="H97" s="19" t="n"/>
      <c r="I97" s="21" t="inlineStr">
        <is>
          <t>8월1주</t>
        </is>
      </c>
      <c r="J97" s="22">
        <f>IF($I97="","",IFERROR(DATE(기준정보!$C$7,VALUE(LEFT($I97,FIND("월",$I97)-1)),1+7*(VALUE(SUBSTITUTE(MID($I97,FIND("월",$I97)+1,5),"주",""))-1)),""))</f>
        <v/>
      </c>
      <c r="K97" s="22">
        <f>IF($J97="","",IF(AND(ISNUMBER(SEARCH("미얀마",$U97)),$J97-기준정보!$C$5&gt;=기준정보!$C$8,$J97-기준정보!$C$5&lt;=기준정보!$C$9),기준정보!$C$8-1,IF(AND(ISNUMBER(SEARCH("인도네시아",$U97)),$J97-기준정보!$C$5&gt;=기준정보!$C$10,$J97-기준정보!$C$5&lt;=기준정보!$C$11),기준정보!$C$10-1,$J97-기준정보!$C$5)))</f>
        <v/>
      </c>
      <c r="L97" s="23">
        <f>IF($K97="","",IF(ISNUMBER(SEARCH("미얀마",$U97)),MAX(0,MIN($K97,기준정보!$C$9)-MAX($K97-기준정보!$C$6,기준정보!$C$8)+1),IF(ISNUMBER(SEARCH("인도네시아",$U97)),MAX(0,MIN($K97,기준정보!$C$11)-MAX($K97-기준정보!$C$6,기준정보!$C$10)+1),0)))</f>
        <v/>
      </c>
      <c r="M97" s="22">
        <f>IF($K97="","",$K97-기준정보!$C$6-$L97)</f>
        <v/>
      </c>
      <c r="N97" s="24">
        <f>IF($M97="","",$M97-기준정보!$C$4)</f>
        <v/>
      </c>
      <c r="O97" s="21" t="n"/>
      <c r="P97" s="21" t="n"/>
      <c r="Q97" s="21" t="n"/>
      <c r="R97" s="25" t="n"/>
      <c r="S97" s="20">
        <f>IF($H97="","",IF($H97="C","본사(소재팀)",IF($H97="완","생산처","확인 필요")))</f>
        <v/>
      </c>
      <c r="T97" s="20" t="inlineStr">
        <is>
          <t>YIC</t>
        </is>
      </c>
      <c r="U97" s="20" t="inlineStr">
        <is>
          <t>베트남</t>
        </is>
      </c>
      <c r="V97" s="20" t="n"/>
      <c r="W97" s="26" t="n"/>
      <c r="X97" s="26" t="n"/>
      <c r="Y97" s="22" t="n"/>
      <c r="Z97" s="27" t="n">
        <v>100</v>
      </c>
      <c r="AA97" s="27" t="n">
        <v>2776500</v>
      </c>
      <c r="AB97" s="27" t="n">
        <v>12800000</v>
      </c>
      <c r="AC97" s="20" t="n"/>
      <c r="AD97" s="20">
        <f>IF($J97="","출고일 미정",IF($P97="X","작지 미발행",IF($P97="부분","작지 일부 미발행",IF(AND($R97&lt;&gt;"",$R97&gt;$M97),"소재입고 마감("&amp;TEXT($M97,"MM/DD")&amp;") 초과",IF($P97="","발행여부 확인 필요",IF($R97="","소재 입고일정 확인 필요","정상"))))))</f>
        <v/>
      </c>
      <c r="AE97" s="19">
        <f>IF($J97="","",IF(OR(LEFT($AD97,2)="작지",LEFT($AD97,4)="소재입고"),IF(LEFT($G97,1)="A","★ 납기위험(A코드)","◆ 지연주의"),IF($AD97="정상","✓ 정상","? 확인필요")))</f>
        <v/>
      </c>
      <c r="AF97" s="21" t="n"/>
      <c r="AG97" s="28" t="n"/>
    </row>
    <row r="98">
      <c r="A98" s="19" t="n">
        <v>94</v>
      </c>
      <c r="B98" s="20" t="inlineStr">
        <is>
          <t>박술홍</t>
        </is>
      </c>
      <c r="C98" s="20" t="inlineStr">
        <is>
          <t>나영길</t>
        </is>
      </c>
      <c r="D98" s="20" t="inlineStr">
        <is>
          <t>JKPOW27774</t>
        </is>
      </c>
      <c r="E98" s="20" t="inlineStr">
        <is>
          <t>여성 트레일러닝 스토리지 4인치 하프 타이즈</t>
        </is>
      </c>
      <c r="F98" s="20" t="inlineStr">
        <is>
          <t>DPL</t>
        </is>
      </c>
      <c r="G98" s="19">
        <f>IF($D98="","",IF(MID($D98,5,1)="A","A(가을)",IF(MID($D98,5,1)="W","W(겨울)",IF(MID($D98,5,1)="X","X(사계절)",MID($D98,5,1)))))</f>
        <v/>
      </c>
      <c r="H98" s="19" t="n"/>
      <c r="I98" s="21" t="inlineStr">
        <is>
          <t>8월1주</t>
        </is>
      </c>
      <c r="J98" s="22">
        <f>IF($I98="","",IFERROR(DATE(기준정보!$C$7,VALUE(LEFT($I98,FIND("월",$I98)-1)),1+7*(VALUE(SUBSTITUTE(MID($I98,FIND("월",$I98)+1,5),"주",""))-1)),""))</f>
        <v/>
      </c>
      <c r="K98" s="22">
        <f>IF($J98="","",IF(AND(ISNUMBER(SEARCH("미얀마",$U98)),$J98-기준정보!$C$5&gt;=기준정보!$C$8,$J98-기준정보!$C$5&lt;=기준정보!$C$9),기준정보!$C$8-1,IF(AND(ISNUMBER(SEARCH("인도네시아",$U98)),$J98-기준정보!$C$5&gt;=기준정보!$C$10,$J98-기준정보!$C$5&lt;=기준정보!$C$11),기준정보!$C$10-1,$J98-기준정보!$C$5)))</f>
        <v/>
      </c>
      <c r="L98" s="23">
        <f>IF($K98="","",IF(ISNUMBER(SEARCH("미얀마",$U98)),MAX(0,MIN($K98,기준정보!$C$9)-MAX($K98-기준정보!$C$6,기준정보!$C$8)+1),IF(ISNUMBER(SEARCH("인도네시아",$U98)),MAX(0,MIN($K98,기준정보!$C$11)-MAX($K98-기준정보!$C$6,기준정보!$C$10)+1),0)))</f>
        <v/>
      </c>
      <c r="M98" s="22">
        <f>IF($K98="","",$K98-기준정보!$C$6-$L98)</f>
        <v/>
      </c>
      <c r="N98" s="24">
        <f>IF($M98="","",$M98-기준정보!$C$4)</f>
        <v/>
      </c>
      <c r="O98" s="21" t="n"/>
      <c r="P98" s="21" t="n"/>
      <c r="Q98" s="21" t="n"/>
      <c r="R98" s="25" t="n"/>
      <c r="S98" s="20">
        <f>IF($H98="","",IF($H98="C","본사(소재팀)",IF($H98="완","생산처","확인 필요")))</f>
        <v/>
      </c>
      <c r="T98" s="20" t="inlineStr">
        <is>
          <t>IKG</t>
        </is>
      </c>
      <c r="U98" s="20" t="inlineStr">
        <is>
          <t>인도네시아</t>
        </is>
      </c>
      <c r="V98" s="20" t="n"/>
      <c r="W98" s="26" t="n"/>
      <c r="X98" s="26" t="n"/>
      <c r="Y98" s="22" t="n"/>
      <c r="Z98" s="27" t="n">
        <v>120</v>
      </c>
      <c r="AA98" s="27" t="n">
        <v>4676160</v>
      </c>
      <c r="AB98" s="27" t="n">
        <v>15360000</v>
      </c>
      <c r="AC98" s="20" t="n"/>
      <c r="AD98" s="20">
        <f>IF($J98="","출고일 미정",IF($P98="X","작지 미발행",IF($P98="부분","작지 일부 미발행",IF(AND($R98&lt;&gt;"",$R98&gt;$M98),"소재입고 마감("&amp;TEXT($M98,"MM/DD")&amp;") 초과",IF($P98="","발행여부 확인 필요",IF($R98="","소재 입고일정 확인 필요","정상"))))))</f>
        <v/>
      </c>
      <c r="AE98" s="19">
        <f>IF($J98="","",IF(OR(LEFT($AD98,2)="작지",LEFT($AD98,4)="소재입고"),IF(LEFT($G98,1)="A","★ 납기위험(A코드)","◆ 지연주의"),IF($AD98="정상","✓ 정상","? 확인필요")))</f>
        <v/>
      </c>
      <c r="AF98" s="21" t="n"/>
      <c r="AG98" s="28" t="n"/>
    </row>
    <row r="99">
      <c r="A99" s="19" t="n">
        <v>95</v>
      </c>
      <c r="B99" s="20" t="inlineStr">
        <is>
          <t>박술홍</t>
        </is>
      </c>
      <c r="C99" s="20" t="inlineStr">
        <is>
          <t>나영길</t>
        </is>
      </c>
      <c r="D99" s="20" t="inlineStr">
        <is>
          <t>JKTBW27766</t>
        </is>
      </c>
      <c r="E99" s="20" t="inlineStr">
        <is>
          <t>여성 트레일러닝 슬림핏 라운드넥 긴팔 티셔츠</t>
        </is>
      </c>
      <c r="F99" s="20" t="inlineStr">
        <is>
          <t>ABE/DPL</t>
        </is>
      </c>
      <c r="G99" s="19">
        <f>IF($D99="","",IF(MID($D99,5,1)="A","A(가을)",IF(MID($D99,5,1)="W","W(겨울)",IF(MID($D99,5,1)="X","X(사계절)",MID($D99,5,1)))))</f>
        <v/>
      </c>
      <c r="H99" s="19" t="n"/>
      <c r="I99" s="21" t="inlineStr">
        <is>
          <t>8월1주</t>
        </is>
      </c>
      <c r="J99" s="22">
        <f>IF($I99="","",IFERROR(DATE(기준정보!$C$7,VALUE(LEFT($I99,FIND("월",$I99)-1)),1+7*(VALUE(SUBSTITUTE(MID($I99,FIND("월",$I99)+1,5),"주",""))-1)),""))</f>
        <v/>
      </c>
      <c r="K99" s="22">
        <f>IF($J99="","",IF(AND(ISNUMBER(SEARCH("미얀마",$U99)),$J99-기준정보!$C$5&gt;=기준정보!$C$8,$J99-기준정보!$C$5&lt;=기준정보!$C$9),기준정보!$C$8-1,IF(AND(ISNUMBER(SEARCH("인도네시아",$U99)),$J99-기준정보!$C$5&gt;=기준정보!$C$10,$J99-기준정보!$C$5&lt;=기준정보!$C$11),기준정보!$C$10-1,$J99-기준정보!$C$5)))</f>
        <v/>
      </c>
      <c r="L99" s="23">
        <f>IF($K99="","",IF(ISNUMBER(SEARCH("미얀마",$U99)),MAX(0,MIN($K99,기준정보!$C$9)-MAX($K99-기준정보!$C$6,기준정보!$C$8)+1),IF(ISNUMBER(SEARCH("인도네시아",$U99)),MAX(0,MIN($K99,기준정보!$C$11)-MAX($K99-기준정보!$C$6,기준정보!$C$10)+1),0)))</f>
        <v/>
      </c>
      <c r="M99" s="22">
        <f>IF($K99="","",$K99-기준정보!$C$6-$L99)</f>
        <v/>
      </c>
      <c r="N99" s="24">
        <f>IF($M99="","",$M99-기준정보!$C$4)</f>
        <v/>
      </c>
      <c r="O99" s="21" t="n"/>
      <c r="P99" s="21" t="n"/>
      <c r="Q99" s="21" t="n"/>
      <c r="R99" s="25" t="n"/>
      <c r="S99" s="20">
        <f>IF($H99="","",IF($H99="C","본사(소재팀)",IF($H99="완","생산처","확인 필요")))</f>
        <v/>
      </c>
      <c r="T99" s="20" t="inlineStr">
        <is>
          <t>장안</t>
        </is>
      </c>
      <c r="U99" s="20" t="inlineStr">
        <is>
          <t>베트남</t>
        </is>
      </c>
      <c r="V99" s="20" t="n"/>
      <c r="W99" s="26" t="n"/>
      <c r="X99" s="26" t="n"/>
      <c r="Y99" s="22" t="n"/>
      <c r="Z99" s="27" t="n">
        <v>300</v>
      </c>
      <c r="AA99" s="27" t="n">
        <v>12018900</v>
      </c>
      <c r="AB99" s="27" t="n">
        <v>44400000</v>
      </c>
      <c r="AC99" s="20" t="n"/>
      <c r="AD99" s="20">
        <f>IF($J99="","출고일 미정",IF($P99="X","작지 미발행",IF($P99="부분","작지 일부 미발행",IF(AND($R99&lt;&gt;"",$R99&gt;$M99),"소재입고 마감("&amp;TEXT($M99,"MM/DD")&amp;") 초과",IF($P99="","발행여부 확인 필요",IF($R99="","소재 입고일정 확인 필요","정상"))))))</f>
        <v/>
      </c>
      <c r="AE99" s="19">
        <f>IF($J99="","",IF(OR(LEFT($AD99,2)="작지",LEFT($AD99,4)="소재입고"),IF(LEFT($G99,1)="A","★ 납기위험(A코드)","◆ 지연주의"),IF($AD99="정상","✓ 정상","? 확인필요")))</f>
        <v/>
      </c>
      <c r="AF99" s="21" t="n"/>
      <c r="AG99" s="28" t="n"/>
    </row>
    <row r="100">
      <c r="A100" s="19" t="n">
        <v>96</v>
      </c>
      <c r="B100" s="20" t="inlineStr">
        <is>
          <t>박술홍</t>
        </is>
      </c>
      <c r="C100" s="20" t="inlineStr">
        <is>
          <t>나영길</t>
        </is>
      </c>
      <c r="D100" s="20" t="inlineStr">
        <is>
          <t>JKTCW27762</t>
        </is>
      </c>
      <c r="E100" s="20" t="inlineStr">
        <is>
          <t>여성 트레일러닝 자카드 슬림핏 라운드넥 슬리브리스</t>
        </is>
      </c>
      <c r="F100" s="20" t="inlineStr">
        <is>
          <t>CO1</t>
        </is>
      </c>
      <c r="G100" s="19">
        <f>IF($D100="","",IF(MID($D100,5,1)="A","A(가을)",IF(MID($D100,5,1)="W","W(겨울)",IF(MID($D100,5,1)="X","X(사계절)",MID($D100,5,1)))))</f>
        <v/>
      </c>
      <c r="H100" s="19" t="n"/>
      <c r="I100" s="21" t="inlineStr">
        <is>
          <t>8월1주</t>
        </is>
      </c>
      <c r="J100" s="22">
        <f>IF($I100="","",IFERROR(DATE(기준정보!$C$7,VALUE(LEFT($I100,FIND("월",$I100)-1)),1+7*(VALUE(SUBSTITUTE(MID($I100,FIND("월",$I100)+1,5),"주",""))-1)),""))</f>
        <v/>
      </c>
      <c r="K100" s="22">
        <f>IF($J100="","",IF(AND(ISNUMBER(SEARCH("미얀마",$U100)),$J100-기준정보!$C$5&gt;=기준정보!$C$8,$J100-기준정보!$C$5&lt;=기준정보!$C$9),기준정보!$C$8-1,IF(AND(ISNUMBER(SEARCH("인도네시아",$U100)),$J100-기준정보!$C$5&gt;=기준정보!$C$10,$J100-기준정보!$C$5&lt;=기준정보!$C$11),기준정보!$C$10-1,$J100-기준정보!$C$5)))</f>
        <v/>
      </c>
      <c r="L100" s="23">
        <f>IF($K100="","",IF(ISNUMBER(SEARCH("미얀마",$U100)),MAX(0,MIN($K100,기준정보!$C$9)-MAX($K100-기준정보!$C$6,기준정보!$C$8)+1),IF(ISNUMBER(SEARCH("인도네시아",$U100)),MAX(0,MIN($K100,기준정보!$C$11)-MAX($K100-기준정보!$C$6,기준정보!$C$10)+1),0)))</f>
        <v/>
      </c>
      <c r="M100" s="22">
        <f>IF($K100="","",$K100-기준정보!$C$6-$L100)</f>
        <v/>
      </c>
      <c r="N100" s="24">
        <f>IF($M100="","",$M100-기준정보!$C$4)</f>
        <v/>
      </c>
      <c r="O100" s="21" t="n"/>
      <c r="P100" s="21" t="n"/>
      <c r="Q100" s="21" t="n"/>
      <c r="R100" s="25" t="n"/>
      <c r="S100" s="20">
        <f>IF($H100="","",IF($H100="C","본사(소재팀)",IF($H100="완","생산처","확인 필요")))</f>
        <v/>
      </c>
      <c r="T100" s="20" t="inlineStr">
        <is>
          <t>장안</t>
        </is>
      </c>
      <c r="U100" s="20" t="inlineStr">
        <is>
          <t>베트남</t>
        </is>
      </c>
      <c r="V100" s="20" t="n"/>
      <c r="W100" s="26" t="n"/>
      <c r="X100" s="26" t="n"/>
      <c r="Y100" s="22" t="n"/>
      <c r="Z100" s="27" t="n">
        <v>150</v>
      </c>
      <c r="AA100" s="27" t="n">
        <v>5710350</v>
      </c>
      <c r="AB100" s="27" t="n">
        <v>19200000</v>
      </c>
      <c r="AC100" s="20" t="n"/>
      <c r="AD100" s="20">
        <f>IF($J100="","출고일 미정",IF($P100="X","작지 미발행",IF($P100="부분","작지 일부 미발행",IF(AND($R100&lt;&gt;"",$R100&gt;$M100),"소재입고 마감("&amp;TEXT($M100,"MM/DD")&amp;") 초과",IF($P100="","발행여부 확인 필요",IF($R100="","소재 입고일정 확인 필요","정상"))))))</f>
        <v/>
      </c>
      <c r="AE100" s="19">
        <f>IF($J100="","",IF(OR(LEFT($AD100,2)="작지",LEFT($AD100,4)="소재입고"),IF(LEFT($G100,1)="A","★ 납기위험(A코드)","◆ 지연주의"),IF($AD100="정상","✓ 정상","? 확인필요")))</f>
        <v/>
      </c>
      <c r="AF100" s="21" t="n"/>
      <c r="AG100" s="28" t="n"/>
    </row>
    <row r="101">
      <c r="A101" s="19" t="n">
        <v>97</v>
      </c>
      <c r="B101" s="20" t="inlineStr">
        <is>
          <t>박술홍</t>
        </is>
      </c>
      <c r="C101" s="20" t="inlineStr">
        <is>
          <t>나영길</t>
        </is>
      </c>
      <c r="D101" s="20" t="inlineStr">
        <is>
          <t>JKTCW27764</t>
        </is>
      </c>
      <c r="E101" s="20" t="inlineStr">
        <is>
          <t>여성 트레일러닝 슬림핏 라운드넥 반팔 티셔츠</t>
        </is>
      </c>
      <c r="F101" s="20" t="inlineStr">
        <is>
          <t>DEB/ABE</t>
        </is>
      </c>
      <c r="G101" s="19">
        <f>IF($D101="","",IF(MID($D101,5,1)="A","A(가을)",IF(MID($D101,5,1)="W","W(겨울)",IF(MID($D101,5,1)="X","X(사계절)",MID($D101,5,1)))))</f>
        <v/>
      </c>
      <c r="H101" s="19" t="n"/>
      <c r="I101" s="21" t="inlineStr">
        <is>
          <t>8월1주</t>
        </is>
      </c>
      <c r="J101" s="22">
        <f>IF($I101="","",IFERROR(DATE(기준정보!$C$7,VALUE(LEFT($I101,FIND("월",$I101)-1)),1+7*(VALUE(SUBSTITUTE(MID($I101,FIND("월",$I101)+1,5),"주",""))-1)),""))</f>
        <v/>
      </c>
      <c r="K101" s="22">
        <f>IF($J101="","",IF(AND(ISNUMBER(SEARCH("미얀마",$U101)),$J101-기준정보!$C$5&gt;=기준정보!$C$8,$J101-기준정보!$C$5&lt;=기준정보!$C$9),기준정보!$C$8-1,IF(AND(ISNUMBER(SEARCH("인도네시아",$U101)),$J101-기준정보!$C$5&gt;=기준정보!$C$10,$J101-기준정보!$C$5&lt;=기준정보!$C$11),기준정보!$C$10-1,$J101-기준정보!$C$5)))</f>
        <v/>
      </c>
      <c r="L101" s="23">
        <f>IF($K101="","",IF(ISNUMBER(SEARCH("미얀마",$U101)),MAX(0,MIN($K101,기준정보!$C$9)-MAX($K101-기준정보!$C$6,기준정보!$C$8)+1),IF(ISNUMBER(SEARCH("인도네시아",$U101)),MAX(0,MIN($K101,기준정보!$C$11)-MAX($K101-기준정보!$C$6,기준정보!$C$10)+1),0)))</f>
        <v/>
      </c>
      <c r="M101" s="22">
        <f>IF($K101="","",$K101-기준정보!$C$6-$L101)</f>
        <v/>
      </c>
      <c r="N101" s="24">
        <f>IF($M101="","",$M101-기준정보!$C$4)</f>
        <v/>
      </c>
      <c r="O101" s="21" t="n"/>
      <c r="P101" s="21" t="n"/>
      <c r="Q101" s="21" t="n"/>
      <c r="R101" s="25" t="n"/>
      <c r="S101" s="20">
        <f>IF($H101="","",IF($H101="C","본사(소재팀)",IF($H101="완","생산처","확인 필요")))</f>
        <v/>
      </c>
      <c r="T101" s="20" t="inlineStr">
        <is>
          <t>장안</t>
        </is>
      </c>
      <c r="U101" s="20" t="inlineStr">
        <is>
          <t>베트남</t>
        </is>
      </c>
      <c r="V101" s="20" t="n"/>
      <c r="W101" s="26" t="n"/>
      <c r="X101" s="26" t="n"/>
      <c r="Y101" s="22" t="n"/>
      <c r="Z101" s="27" t="n">
        <v>300</v>
      </c>
      <c r="AA101" s="27" t="n">
        <v>11420700</v>
      </c>
      <c r="AB101" s="27" t="n">
        <v>38400000</v>
      </c>
      <c r="AC101" s="20" t="n"/>
      <c r="AD101" s="20">
        <f>IF($J101="","출고일 미정",IF($P101="X","작지 미발행",IF($P101="부분","작지 일부 미발행",IF(AND($R101&lt;&gt;"",$R101&gt;$M101),"소재입고 마감("&amp;TEXT($M101,"MM/DD")&amp;") 초과",IF($P101="","발행여부 확인 필요",IF($R101="","소재 입고일정 확인 필요","정상"))))))</f>
        <v/>
      </c>
      <c r="AE101" s="19">
        <f>IF($J101="","",IF(OR(LEFT($AD101,2)="작지",LEFT($AD101,4)="소재입고"),IF(LEFT($G101,1)="A","★ 납기위험(A코드)","◆ 지연주의"),IF($AD101="정상","✓ 정상","? 확인필요")))</f>
        <v/>
      </c>
      <c r="AF101" s="21" t="n"/>
      <c r="AG101" s="28" t="n"/>
    </row>
    <row r="102">
      <c r="A102" s="19" t="n">
        <v>98</v>
      </c>
      <c r="B102" s="20" t="inlineStr">
        <is>
          <t>박술홍</t>
        </is>
      </c>
      <c r="C102" s="20" t="inlineStr">
        <is>
          <t>나영길</t>
        </is>
      </c>
      <c r="D102" s="20" t="inlineStr">
        <is>
          <t>JNJDW27753</t>
        </is>
      </c>
      <c r="E102" s="20" t="inlineStr">
        <is>
          <t>남녀공용 트레일러닝 경량 후드 구스다운 재킷</t>
        </is>
      </c>
      <c r="F102" s="20" t="inlineStr">
        <is>
          <t>ABE/RBW</t>
        </is>
      </c>
      <c r="G102" s="19">
        <f>IF($D102="","",IF(MID($D102,5,1)="A","A(가을)",IF(MID($D102,5,1)="W","W(겨울)",IF(MID($D102,5,1)="X","X(사계절)",MID($D102,5,1)))))</f>
        <v/>
      </c>
      <c r="H102" s="19" t="n"/>
      <c r="I102" s="21" t="inlineStr">
        <is>
          <t>8월1주</t>
        </is>
      </c>
      <c r="J102" s="22">
        <f>IF($I102="","",IFERROR(DATE(기준정보!$C$7,VALUE(LEFT($I102,FIND("월",$I102)-1)),1+7*(VALUE(SUBSTITUTE(MID($I102,FIND("월",$I102)+1,5),"주",""))-1)),""))</f>
        <v/>
      </c>
      <c r="K102" s="22">
        <f>IF($J102="","",IF(AND(ISNUMBER(SEARCH("미얀마",$U102)),$J102-기준정보!$C$5&gt;=기준정보!$C$8,$J102-기준정보!$C$5&lt;=기준정보!$C$9),기준정보!$C$8-1,IF(AND(ISNUMBER(SEARCH("인도네시아",$U102)),$J102-기준정보!$C$5&gt;=기준정보!$C$10,$J102-기준정보!$C$5&lt;=기준정보!$C$11),기준정보!$C$10-1,$J102-기준정보!$C$5)))</f>
        <v/>
      </c>
      <c r="L102" s="23">
        <f>IF($K102="","",IF(ISNUMBER(SEARCH("미얀마",$U102)),MAX(0,MIN($K102,기준정보!$C$9)-MAX($K102-기준정보!$C$6,기준정보!$C$8)+1),IF(ISNUMBER(SEARCH("인도네시아",$U102)),MAX(0,MIN($K102,기준정보!$C$11)-MAX($K102-기준정보!$C$6,기준정보!$C$10)+1),0)))</f>
        <v/>
      </c>
      <c r="M102" s="22">
        <f>IF($K102="","",$K102-기준정보!$C$6-$L102)</f>
        <v/>
      </c>
      <c r="N102" s="24">
        <f>IF($M102="","",$M102-기준정보!$C$4)</f>
        <v/>
      </c>
      <c r="O102" s="21" t="n"/>
      <c r="P102" s="21" t="n"/>
      <c r="Q102" s="21" t="n"/>
      <c r="R102" s="25" t="n"/>
      <c r="S102" s="20">
        <f>IF($H102="","",IF($H102="C","본사(소재팀)",IF($H102="완","생산처","확인 필요")))</f>
        <v/>
      </c>
      <c r="T102" s="20" t="inlineStr">
        <is>
          <t>아이블</t>
        </is>
      </c>
      <c r="U102" s="20" t="inlineStr">
        <is>
          <t>베트남</t>
        </is>
      </c>
      <c r="V102" s="20" t="n"/>
      <c r="W102" s="26" t="n"/>
      <c r="X102" s="26" t="n"/>
      <c r="Y102" s="22" t="n"/>
      <c r="Z102" s="27" t="n">
        <v>700</v>
      </c>
      <c r="AA102" s="27" t="n">
        <v>96861100</v>
      </c>
      <c r="AB102" s="27" t="n">
        <v>364000000</v>
      </c>
      <c r="AC102" s="20" t="n"/>
      <c r="AD102" s="20">
        <f>IF($J102="","출고일 미정",IF($P102="X","작지 미발행",IF($P102="부분","작지 일부 미발행",IF(AND($R102&lt;&gt;"",$R102&gt;$M102),"소재입고 마감("&amp;TEXT($M102,"MM/DD")&amp;") 초과",IF($P102="","발행여부 확인 필요",IF($R102="","소재 입고일정 확인 필요","정상"))))))</f>
        <v/>
      </c>
      <c r="AE102" s="19">
        <f>IF($J102="","",IF(OR(LEFT($AD102,2)="작지",LEFT($AD102,4)="소재입고"),IF(LEFT($G102,1)="A","★ 납기위험(A코드)","◆ 지연주의"),IF($AD102="정상","✓ 정상","? 확인필요")))</f>
        <v/>
      </c>
      <c r="AF102" s="21" t="n"/>
      <c r="AG102" s="28" t="n"/>
    </row>
    <row r="103">
      <c r="A103" s="19" t="n">
        <v>99</v>
      </c>
      <c r="B103" s="20" t="inlineStr">
        <is>
          <t>박술홍</t>
        </is>
      </c>
      <c r="C103" s="20" t="inlineStr">
        <is>
          <t>나영길</t>
        </is>
      </c>
      <c r="D103" s="20" t="inlineStr">
        <is>
          <t>JNPNW27775</t>
        </is>
      </c>
      <c r="E103" s="20" t="inlineStr">
        <is>
          <t>남녀공용 트레일러닝 스트레이트 팬츠</t>
        </is>
      </c>
      <c r="F103" s="20" t="inlineStr">
        <is>
          <t>DEB/SKA</t>
        </is>
      </c>
      <c r="G103" s="19">
        <f>IF($D103="","",IF(MID($D103,5,1)="A","A(가을)",IF(MID($D103,5,1)="W","W(겨울)",IF(MID($D103,5,1)="X","X(사계절)",MID($D103,5,1)))))</f>
        <v/>
      </c>
      <c r="H103" s="19" t="n"/>
      <c r="I103" s="21" t="inlineStr">
        <is>
          <t>8월1주</t>
        </is>
      </c>
      <c r="J103" s="22">
        <f>IF($I103="","",IFERROR(DATE(기준정보!$C$7,VALUE(LEFT($I103,FIND("월",$I103)-1)),1+7*(VALUE(SUBSTITUTE(MID($I103,FIND("월",$I103)+1,5),"주",""))-1)),""))</f>
        <v/>
      </c>
      <c r="K103" s="22">
        <f>IF($J103="","",IF(AND(ISNUMBER(SEARCH("미얀마",$U103)),$J103-기준정보!$C$5&gt;=기준정보!$C$8,$J103-기준정보!$C$5&lt;=기준정보!$C$9),기준정보!$C$8-1,IF(AND(ISNUMBER(SEARCH("인도네시아",$U103)),$J103-기준정보!$C$5&gt;=기준정보!$C$10,$J103-기준정보!$C$5&lt;=기준정보!$C$11),기준정보!$C$10-1,$J103-기준정보!$C$5)))</f>
        <v/>
      </c>
      <c r="L103" s="23">
        <f>IF($K103="","",IF(ISNUMBER(SEARCH("미얀마",$U103)),MAX(0,MIN($K103,기준정보!$C$9)-MAX($K103-기준정보!$C$6,기준정보!$C$8)+1),IF(ISNUMBER(SEARCH("인도네시아",$U103)),MAX(0,MIN($K103,기준정보!$C$11)-MAX($K103-기준정보!$C$6,기준정보!$C$10)+1),0)))</f>
        <v/>
      </c>
      <c r="M103" s="22">
        <f>IF($K103="","",$K103-기준정보!$C$6-$L103)</f>
        <v/>
      </c>
      <c r="N103" s="24">
        <f>IF($M103="","",$M103-기준정보!$C$4)</f>
        <v/>
      </c>
      <c r="O103" s="21" t="n"/>
      <c r="P103" s="21" t="n"/>
      <c r="Q103" s="21" t="n"/>
      <c r="R103" s="25" t="n"/>
      <c r="S103" s="20">
        <f>IF($H103="","",IF($H103="C","본사(소재팀)",IF($H103="완","생산처","확인 필요")))</f>
        <v/>
      </c>
      <c r="T103" s="20" t="inlineStr">
        <is>
          <t>YIC</t>
        </is>
      </c>
      <c r="U103" s="20" t="inlineStr">
        <is>
          <t>베트남</t>
        </is>
      </c>
      <c r="V103" s="20" t="n"/>
      <c r="W103" s="26" t="n"/>
      <c r="X103" s="26" t="n"/>
      <c r="Y103" s="22" t="n"/>
      <c r="Z103" s="27" t="n">
        <v>400</v>
      </c>
      <c r="AA103" s="27" t="n">
        <v>18798000</v>
      </c>
      <c r="AB103" s="27" t="n">
        <v>79200000</v>
      </c>
      <c r="AC103" s="20" t="n"/>
      <c r="AD103" s="20">
        <f>IF($J103="","출고일 미정",IF($P103="X","작지 미발행",IF($P103="부분","작지 일부 미발행",IF(AND($R103&lt;&gt;"",$R103&gt;$M103),"소재입고 마감("&amp;TEXT($M103,"MM/DD")&amp;") 초과",IF($P103="","발행여부 확인 필요",IF($R103="","소재 입고일정 확인 필요","정상"))))))</f>
        <v/>
      </c>
      <c r="AE103" s="19">
        <f>IF($J103="","",IF(OR(LEFT($AD103,2)="작지",LEFT($AD103,4)="소재입고"),IF(LEFT($G103,1)="A","★ 납기위험(A코드)","◆ 지연주의"),IF($AD103="정상","✓ 정상","? 확인필요")))</f>
        <v/>
      </c>
      <c r="AF103" s="21" t="n"/>
      <c r="AG103" s="28" t="n"/>
    </row>
    <row r="104">
      <c r="A104" s="19" t="n">
        <v>100</v>
      </c>
      <c r="B104" s="20" t="inlineStr">
        <is>
          <t>박술홍</t>
        </is>
      </c>
      <c r="C104" s="20" t="inlineStr">
        <is>
          <t>나영길</t>
        </is>
      </c>
      <c r="D104" s="20" t="inlineStr">
        <is>
          <t>JNPNW27777</t>
        </is>
      </c>
      <c r="E104" s="20" t="inlineStr">
        <is>
          <t>남녀공용 트레일러닝 초경량 방수 팬츠</t>
        </is>
      </c>
      <c r="F104" s="20" t="inlineStr">
        <is>
          <t>CHR</t>
        </is>
      </c>
      <c r="G104" s="19">
        <f>IF($D104="","",IF(MID($D104,5,1)="A","A(가을)",IF(MID($D104,5,1)="W","W(겨울)",IF(MID($D104,5,1)="X","X(사계절)",MID($D104,5,1)))))</f>
        <v/>
      </c>
      <c r="H104" s="19" t="n"/>
      <c r="I104" s="21" t="inlineStr">
        <is>
          <t>8월1주</t>
        </is>
      </c>
      <c r="J104" s="22">
        <f>IF($I104="","",IFERROR(DATE(기준정보!$C$7,VALUE(LEFT($I104,FIND("월",$I104)-1)),1+7*(VALUE(SUBSTITUTE(MID($I104,FIND("월",$I104)+1,5),"주",""))-1)),""))</f>
        <v/>
      </c>
      <c r="K104" s="22">
        <f>IF($J104="","",IF(AND(ISNUMBER(SEARCH("미얀마",$U104)),$J104-기준정보!$C$5&gt;=기준정보!$C$8,$J104-기준정보!$C$5&lt;=기준정보!$C$9),기준정보!$C$8-1,IF(AND(ISNUMBER(SEARCH("인도네시아",$U104)),$J104-기준정보!$C$5&gt;=기준정보!$C$10,$J104-기준정보!$C$5&lt;=기준정보!$C$11),기준정보!$C$10-1,$J104-기준정보!$C$5)))</f>
        <v/>
      </c>
      <c r="L104" s="23">
        <f>IF($K104="","",IF(ISNUMBER(SEARCH("미얀마",$U104)),MAX(0,MIN($K104,기준정보!$C$9)-MAX($K104-기준정보!$C$6,기준정보!$C$8)+1),IF(ISNUMBER(SEARCH("인도네시아",$U104)),MAX(0,MIN($K104,기준정보!$C$11)-MAX($K104-기준정보!$C$6,기준정보!$C$10)+1),0)))</f>
        <v/>
      </c>
      <c r="M104" s="22">
        <f>IF($K104="","",$K104-기준정보!$C$6-$L104)</f>
        <v/>
      </c>
      <c r="N104" s="24">
        <f>IF($M104="","",$M104-기준정보!$C$4)</f>
        <v/>
      </c>
      <c r="O104" s="21" t="n"/>
      <c r="P104" s="21" t="n"/>
      <c r="Q104" s="21" t="n"/>
      <c r="R104" s="25" t="n"/>
      <c r="S104" s="20">
        <f>IF($H104="","",IF($H104="C","본사(소재팀)",IF($H104="완","생산처","확인 필요")))</f>
        <v/>
      </c>
      <c r="T104" s="20" t="inlineStr">
        <is>
          <t>YIC</t>
        </is>
      </c>
      <c r="U104" s="20" t="inlineStr">
        <is>
          <t>베트남</t>
        </is>
      </c>
      <c r="V104" s="20" t="n"/>
      <c r="W104" s="26" t="n"/>
      <c r="X104" s="26" t="n"/>
      <c r="Y104" s="22" t="n"/>
      <c r="Z104" s="27" t="n">
        <v>200</v>
      </c>
      <c r="AA104" s="27" t="n">
        <v>17630200</v>
      </c>
      <c r="AB104" s="27" t="n">
        <v>44000000</v>
      </c>
      <c r="AC104" s="20" t="n"/>
      <c r="AD104" s="20">
        <f>IF($J104="","출고일 미정",IF($P104="X","작지 미발행",IF($P104="부분","작지 일부 미발행",IF(AND($R104&lt;&gt;"",$R104&gt;$M104),"소재입고 마감("&amp;TEXT($M104,"MM/DD")&amp;") 초과",IF($P104="","발행여부 확인 필요",IF($R104="","소재 입고일정 확인 필요","정상"))))))</f>
        <v/>
      </c>
      <c r="AE104" s="19">
        <f>IF($J104="","",IF(OR(LEFT($AD104,2)="작지",LEFT($AD104,4)="소재입고"),IF(LEFT($G104,1)="A","★ 납기위험(A코드)","◆ 지연주의"),IF($AD104="정상","✓ 정상","? 확인필요")))</f>
        <v/>
      </c>
      <c r="AF104" s="21" t="n"/>
      <c r="AG104" s="28" t="n"/>
    </row>
    <row r="105">
      <c r="A105" s="19" t="n">
        <v>101</v>
      </c>
      <c r="B105" s="20" t="inlineStr">
        <is>
          <t>박술홍</t>
        </is>
      </c>
      <c r="C105" s="20" t="inlineStr">
        <is>
          <t>나영길</t>
        </is>
      </c>
      <c r="D105" s="20" t="inlineStr">
        <is>
          <t>JNSXW27781</t>
        </is>
      </c>
      <c r="E105" s="20" t="inlineStr">
        <is>
          <t>남녀공용 트레일러닝 오픈칼라 긴팔 셔츠</t>
        </is>
      </c>
      <c r="F105" s="20" t="inlineStr">
        <is>
          <t>DEB/SKA</t>
        </is>
      </c>
      <c r="G105" s="19">
        <f>IF($D105="","",IF(MID($D105,5,1)="A","A(가을)",IF(MID($D105,5,1)="W","W(겨울)",IF(MID($D105,5,1)="X","X(사계절)",MID($D105,5,1)))))</f>
        <v/>
      </c>
      <c r="H105" s="19" t="n"/>
      <c r="I105" s="21" t="inlineStr">
        <is>
          <t>8월1주</t>
        </is>
      </c>
      <c r="J105" s="22">
        <f>IF($I105="","",IFERROR(DATE(기준정보!$C$7,VALUE(LEFT($I105,FIND("월",$I105)-1)),1+7*(VALUE(SUBSTITUTE(MID($I105,FIND("월",$I105)+1,5),"주",""))-1)),""))</f>
        <v/>
      </c>
      <c r="K105" s="22">
        <f>IF($J105="","",IF(AND(ISNUMBER(SEARCH("미얀마",$U105)),$J105-기준정보!$C$5&gt;=기준정보!$C$8,$J105-기준정보!$C$5&lt;=기준정보!$C$9),기준정보!$C$8-1,IF(AND(ISNUMBER(SEARCH("인도네시아",$U105)),$J105-기준정보!$C$5&gt;=기준정보!$C$10,$J105-기준정보!$C$5&lt;=기준정보!$C$11),기준정보!$C$10-1,$J105-기준정보!$C$5)))</f>
        <v/>
      </c>
      <c r="L105" s="23">
        <f>IF($K105="","",IF(ISNUMBER(SEARCH("미얀마",$U105)),MAX(0,MIN($K105,기준정보!$C$9)-MAX($K105-기준정보!$C$6,기준정보!$C$8)+1),IF(ISNUMBER(SEARCH("인도네시아",$U105)),MAX(0,MIN($K105,기준정보!$C$11)-MAX($K105-기준정보!$C$6,기준정보!$C$10)+1),0)))</f>
        <v/>
      </c>
      <c r="M105" s="22">
        <f>IF($K105="","",$K105-기준정보!$C$6-$L105)</f>
        <v/>
      </c>
      <c r="N105" s="24">
        <f>IF($M105="","",$M105-기준정보!$C$4)</f>
        <v/>
      </c>
      <c r="O105" s="21" t="n"/>
      <c r="P105" s="21" t="n"/>
      <c r="Q105" s="21" t="n"/>
      <c r="R105" s="25" t="n"/>
      <c r="S105" s="20">
        <f>IF($H105="","",IF($H105="C","본사(소재팀)",IF($H105="완","생산처","확인 필요")))</f>
        <v/>
      </c>
      <c r="T105" s="20" t="inlineStr">
        <is>
          <t>성원</t>
        </is>
      </c>
      <c r="U105" s="20" t="inlineStr">
        <is>
          <t>베트남</t>
        </is>
      </c>
      <c r="V105" s="20" t="n"/>
      <c r="W105" s="26" t="n"/>
      <c r="X105" s="26" t="n"/>
      <c r="Y105" s="22" t="n"/>
      <c r="Z105" s="27" t="n">
        <v>300</v>
      </c>
      <c r="AA105" s="27" t="n">
        <v>14700000</v>
      </c>
      <c r="AB105" s="27" t="n">
        <v>59400000</v>
      </c>
      <c r="AC105" s="20" t="n"/>
      <c r="AD105" s="20">
        <f>IF($J105="","출고일 미정",IF($P105="X","작지 미발행",IF($P105="부분","작지 일부 미발행",IF(AND($R105&lt;&gt;"",$R105&gt;$M105),"소재입고 마감("&amp;TEXT($M105,"MM/DD")&amp;") 초과",IF($P105="","발행여부 확인 필요",IF($R105="","소재 입고일정 확인 필요","정상"))))))</f>
        <v/>
      </c>
      <c r="AE105" s="19">
        <f>IF($J105="","",IF(OR(LEFT($AD105,2)="작지",LEFT($AD105,4)="소재입고"),IF(LEFT($G105,1)="A","★ 납기위험(A코드)","◆ 지연주의"),IF($AD105="정상","✓ 정상","? 확인필요")))</f>
        <v/>
      </c>
      <c r="AF105" s="21" t="n"/>
      <c r="AG105" s="28" t="n"/>
    </row>
    <row r="106">
      <c r="A106" s="19" t="n">
        <v>102</v>
      </c>
      <c r="B106" s="20" t="inlineStr">
        <is>
          <t>김준래</t>
        </is>
      </c>
      <c r="C106" s="20" t="inlineStr">
        <is>
          <t>엄창용</t>
        </is>
      </c>
      <c r="D106" s="20" t="inlineStr">
        <is>
          <t>JNTBW27623</t>
        </is>
      </c>
      <c r="E106" s="20" t="inlineStr">
        <is>
          <t>남녀공용 그리드 라운드넥 티셔츠</t>
        </is>
      </c>
      <c r="F106" s="20" t="inlineStr">
        <is>
          <t>CHR/PEG</t>
        </is>
      </c>
      <c r="G106" s="19">
        <f>IF($D106="","",IF(MID($D106,5,1)="A","A(가을)",IF(MID($D106,5,1)="W","W(겨울)",IF(MID($D106,5,1)="X","X(사계절)",MID($D106,5,1)))))</f>
        <v/>
      </c>
      <c r="H106" s="19" t="inlineStr">
        <is>
          <t>완</t>
        </is>
      </c>
      <c r="I106" s="21" t="inlineStr">
        <is>
          <t>8월1주</t>
        </is>
      </c>
      <c r="J106" s="22">
        <f>IF($I106="","",IFERROR(DATE(기준정보!$C$7,VALUE(LEFT($I106,FIND("월",$I106)-1)),1+7*(VALUE(SUBSTITUTE(MID($I106,FIND("월",$I106)+1,5),"주",""))-1)),""))</f>
        <v/>
      </c>
      <c r="K106" s="22">
        <f>IF($J106="","",IF(AND(ISNUMBER(SEARCH("미얀마",$U106)),$J106-기준정보!$C$5&gt;=기준정보!$C$8,$J106-기준정보!$C$5&lt;=기준정보!$C$9),기준정보!$C$8-1,IF(AND(ISNUMBER(SEARCH("인도네시아",$U106)),$J106-기준정보!$C$5&gt;=기준정보!$C$10,$J106-기준정보!$C$5&lt;=기준정보!$C$11),기준정보!$C$10-1,$J106-기준정보!$C$5)))</f>
        <v/>
      </c>
      <c r="L106" s="23">
        <f>IF($K106="","",IF(ISNUMBER(SEARCH("미얀마",$U106)),MAX(0,MIN($K106,기준정보!$C$9)-MAX($K106-기준정보!$C$6,기준정보!$C$8)+1),IF(ISNUMBER(SEARCH("인도네시아",$U106)),MAX(0,MIN($K106,기준정보!$C$11)-MAX($K106-기준정보!$C$6,기준정보!$C$10)+1),0)))</f>
        <v/>
      </c>
      <c r="M106" s="22">
        <f>IF($K106="","",$K106-기준정보!$C$6-$L106)</f>
        <v/>
      </c>
      <c r="N106" s="24">
        <f>IF($M106="","",$M106-기준정보!$C$4)</f>
        <v/>
      </c>
      <c r="O106" s="21" t="n"/>
      <c r="P106" s="21" t="n"/>
      <c r="Q106" s="21" t="n"/>
      <c r="R106" s="25" t="n"/>
      <c r="S106" s="20">
        <f>IF($H106="","",IF($H106="C","본사(소재팀)",IF($H106="완","생산처","확인 필요")))</f>
        <v/>
      </c>
      <c r="T106" s="20" t="inlineStr">
        <is>
          <t>IKG</t>
        </is>
      </c>
      <c r="U106" s="20" t="inlineStr">
        <is>
          <t>인도네시아</t>
        </is>
      </c>
      <c r="V106" s="20" t="n"/>
      <c r="W106" s="26" t="n"/>
      <c r="X106" s="26" t="n"/>
      <c r="Y106" s="22" t="n"/>
      <c r="Z106" s="27" t="n">
        <v>800</v>
      </c>
      <c r="AA106" s="27" t="n">
        <v>25921600</v>
      </c>
      <c r="AB106" s="27" t="n">
        <v>176000000</v>
      </c>
      <c r="AC106" s="20" t="n"/>
      <c r="AD106" s="20">
        <f>IF($J106="","출고일 미정",IF($P106="X","작지 미발행",IF($P106="부분","작지 일부 미발행",IF(AND($R106&lt;&gt;"",$R106&gt;$M106),"소재입고 마감("&amp;TEXT($M106,"MM/DD")&amp;") 초과",IF($P106="","발행여부 확인 필요",IF($R106="","소재 입고일정 확인 필요","정상"))))))</f>
        <v/>
      </c>
      <c r="AE106" s="19">
        <f>IF($J106="","",IF(OR(LEFT($AD106,2)="작지",LEFT($AD106,4)="소재입고"),IF(LEFT($G106,1)="A","★ 납기위험(A코드)","◆ 지연주의"),IF($AD106="정상","✓ 정상","? 확인필요")))</f>
        <v/>
      </c>
      <c r="AF106" s="21" t="n"/>
      <c r="AG106" s="28" t="n"/>
    </row>
    <row r="107">
      <c r="A107" s="19" t="n">
        <v>103</v>
      </c>
      <c r="B107" s="20" t="inlineStr">
        <is>
          <t>김준래</t>
        </is>
      </c>
      <c r="C107" s="20" t="inlineStr">
        <is>
          <t>엄창용</t>
        </is>
      </c>
      <c r="D107" s="20" t="inlineStr">
        <is>
          <t>JNTBW27633</t>
        </is>
      </c>
      <c r="E107" s="20" t="inlineStr">
        <is>
          <t>남녀공용 그리드 오버핏 긴팔 후드티</t>
        </is>
      </c>
      <c r="F107" s="20" t="inlineStr">
        <is>
          <t>PEG/RBW</t>
        </is>
      </c>
      <c r="G107" s="19">
        <f>IF($D107="","",IF(MID($D107,5,1)="A","A(가을)",IF(MID($D107,5,1)="W","W(겨울)",IF(MID($D107,5,1)="X","X(사계절)",MID($D107,5,1)))))</f>
        <v/>
      </c>
      <c r="H107" s="19" t="inlineStr">
        <is>
          <t>완</t>
        </is>
      </c>
      <c r="I107" s="21" t="inlineStr">
        <is>
          <t>8월1주</t>
        </is>
      </c>
      <c r="J107" s="22">
        <f>IF($I107="","",IFERROR(DATE(기준정보!$C$7,VALUE(LEFT($I107,FIND("월",$I107)-1)),1+7*(VALUE(SUBSTITUTE(MID($I107,FIND("월",$I107)+1,5),"주",""))-1)),""))</f>
        <v/>
      </c>
      <c r="K107" s="22">
        <f>IF($J107="","",IF(AND(ISNUMBER(SEARCH("미얀마",$U107)),$J107-기준정보!$C$5&gt;=기준정보!$C$8,$J107-기준정보!$C$5&lt;=기준정보!$C$9),기준정보!$C$8-1,IF(AND(ISNUMBER(SEARCH("인도네시아",$U107)),$J107-기준정보!$C$5&gt;=기준정보!$C$10,$J107-기준정보!$C$5&lt;=기준정보!$C$11),기준정보!$C$10-1,$J107-기준정보!$C$5)))</f>
        <v/>
      </c>
      <c r="L107" s="23">
        <f>IF($K107="","",IF(ISNUMBER(SEARCH("미얀마",$U107)),MAX(0,MIN($K107,기준정보!$C$9)-MAX($K107-기준정보!$C$6,기준정보!$C$8)+1),IF(ISNUMBER(SEARCH("인도네시아",$U107)),MAX(0,MIN($K107,기준정보!$C$11)-MAX($K107-기준정보!$C$6,기준정보!$C$10)+1),0)))</f>
        <v/>
      </c>
      <c r="M107" s="22">
        <f>IF($K107="","",$K107-기준정보!$C$6-$L107)</f>
        <v/>
      </c>
      <c r="N107" s="24">
        <f>IF($M107="","",$M107-기준정보!$C$4)</f>
        <v/>
      </c>
      <c r="O107" s="21" t="n"/>
      <c r="P107" s="21" t="n"/>
      <c r="Q107" s="21" t="n"/>
      <c r="R107" s="25" t="n"/>
      <c r="S107" s="20">
        <f>IF($H107="","",IF($H107="C","본사(소재팀)",IF($H107="완","생산처","확인 필요")))</f>
        <v/>
      </c>
      <c r="T107" s="20" t="inlineStr">
        <is>
          <t>IKG</t>
        </is>
      </c>
      <c r="U107" s="20" t="inlineStr">
        <is>
          <t>인도네시아</t>
        </is>
      </c>
      <c r="V107" s="20" t="n"/>
      <c r="W107" s="26" t="n"/>
      <c r="X107" s="26" t="n"/>
      <c r="Y107" s="22" t="n"/>
      <c r="Z107" s="27" t="n">
        <v>600</v>
      </c>
      <c r="AA107" s="27" t="n">
        <v>20221800</v>
      </c>
      <c r="AB107" s="27" t="n">
        <v>150000000</v>
      </c>
      <c r="AC107" s="20" t="n"/>
      <c r="AD107" s="20">
        <f>IF($J107="","출고일 미정",IF($P107="X","작지 미발행",IF($P107="부분","작지 일부 미발행",IF(AND($R107&lt;&gt;"",$R107&gt;$M107),"소재입고 마감("&amp;TEXT($M107,"MM/DD")&amp;") 초과",IF($P107="","발행여부 확인 필요",IF($R107="","소재 입고일정 확인 필요","정상"))))))</f>
        <v/>
      </c>
      <c r="AE107" s="19">
        <f>IF($J107="","",IF(OR(LEFT($AD107,2)="작지",LEFT($AD107,4)="소재입고"),IF(LEFT($G107,1)="A","★ 납기위험(A코드)","◆ 지연주의"),IF($AD107="정상","✓ 정상","? 확인필요")))</f>
        <v/>
      </c>
      <c r="AF107" s="21" t="n"/>
      <c r="AG107" s="28" t="n"/>
    </row>
    <row r="108">
      <c r="A108" s="19" t="n">
        <v>104</v>
      </c>
      <c r="B108" s="20" t="inlineStr">
        <is>
          <t>김준래</t>
        </is>
      </c>
      <c r="C108" s="20" t="inlineStr">
        <is>
          <t>엄창용</t>
        </is>
      </c>
      <c r="D108" s="20" t="inlineStr">
        <is>
          <t>JNVAW27611</t>
        </is>
      </c>
      <c r="E108" s="20" t="inlineStr">
        <is>
          <t>남녀공용 경량 스탠드넥 베스트</t>
        </is>
      </c>
      <c r="F108" s="20" t="inlineStr">
        <is>
          <t>DEB/ASB/CHR</t>
        </is>
      </c>
      <c r="G108" s="19">
        <f>IF($D108="","",IF(MID($D108,5,1)="A","A(가을)",IF(MID($D108,5,1)="W","W(겨울)",IF(MID($D108,5,1)="X","X(사계절)",MID($D108,5,1)))))</f>
        <v/>
      </c>
      <c r="H108" s="19" t="inlineStr">
        <is>
          <t>완</t>
        </is>
      </c>
      <c r="I108" s="21" t="inlineStr">
        <is>
          <t>8월1주</t>
        </is>
      </c>
      <c r="J108" s="22">
        <f>IF($I108="","",IFERROR(DATE(기준정보!$C$7,VALUE(LEFT($I108,FIND("월",$I108)-1)),1+7*(VALUE(SUBSTITUTE(MID($I108,FIND("월",$I108)+1,5),"주",""))-1)),""))</f>
        <v/>
      </c>
      <c r="K108" s="22">
        <f>IF($J108="","",IF(AND(ISNUMBER(SEARCH("미얀마",$U108)),$J108-기준정보!$C$5&gt;=기준정보!$C$8,$J108-기준정보!$C$5&lt;=기준정보!$C$9),기준정보!$C$8-1,IF(AND(ISNUMBER(SEARCH("인도네시아",$U108)),$J108-기준정보!$C$5&gt;=기준정보!$C$10,$J108-기준정보!$C$5&lt;=기준정보!$C$11),기준정보!$C$10-1,$J108-기준정보!$C$5)))</f>
        <v/>
      </c>
      <c r="L108" s="23">
        <f>IF($K108="","",IF(ISNUMBER(SEARCH("미얀마",$U108)),MAX(0,MIN($K108,기준정보!$C$9)-MAX($K108-기준정보!$C$6,기준정보!$C$8)+1),IF(ISNUMBER(SEARCH("인도네시아",$U108)),MAX(0,MIN($K108,기준정보!$C$11)-MAX($K108-기준정보!$C$6,기준정보!$C$10)+1),0)))</f>
        <v/>
      </c>
      <c r="M108" s="22">
        <f>IF($K108="","",$K108-기준정보!$C$6-$L108)</f>
        <v/>
      </c>
      <c r="N108" s="24">
        <f>IF($M108="","",$M108-기준정보!$C$4)</f>
        <v/>
      </c>
      <c r="O108" s="21" t="n"/>
      <c r="P108" s="21" t="n"/>
      <c r="Q108" s="21" t="n"/>
      <c r="R108" s="25" t="n"/>
      <c r="S108" s="20">
        <f>IF($H108="","",IF($H108="C","본사(소재팀)",IF($H108="완","생산처","확인 필요")))</f>
        <v/>
      </c>
      <c r="T108" s="20" t="inlineStr">
        <is>
          <t>아이블</t>
        </is>
      </c>
      <c r="U108" s="20" t="inlineStr">
        <is>
          <t>베트남</t>
        </is>
      </c>
      <c r="V108" s="20" t="n"/>
      <c r="W108" s="26" t="n"/>
      <c r="X108" s="26" t="n"/>
      <c r="Y108" s="22" t="n"/>
      <c r="Z108" s="27" t="n">
        <v>650</v>
      </c>
      <c r="AA108" s="27" t="n">
        <v>52458250</v>
      </c>
      <c r="AB108" s="27" t="n">
        <v>253500000</v>
      </c>
      <c r="AC108" s="20" t="n"/>
      <c r="AD108" s="20">
        <f>IF($J108="","출고일 미정",IF($P108="X","작지 미발행",IF($P108="부분","작지 일부 미발행",IF(AND($R108&lt;&gt;"",$R108&gt;$M108),"소재입고 마감("&amp;TEXT($M108,"MM/DD")&amp;") 초과",IF($P108="","발행여부 확인 필요",IF($R108="","소재 입고일정 확인 필요","정상"))))))</f>
        <v/>
      </c>
      <c r="AE108" s="19">
        <f>IF($J108="","",IF(OR(LEFT($AD108,2)="작지",LEFT($AD108,4)="소재입고"),IF(LEFT($G108,1)="A","★ 납기위험(A코드)","◆ 지연주의"),IF($AD108="정상","✓ 정상","? 확인필요")))</f>
        <v/>
      </c>
      <c r="AF108" s="21" t="n"/>
      <c r="AG108" s="28" t="n"/>
    </row>
    <row r="109">
      <c r="A109" s="19" t="n">
        <v>105</v>
      </c>
      <c r="B109" s="20" t="inlineStr">
        <is>
          <t>박술홍</t>
        </is>
      </c>
      <c r="C109" s="20" t="inlineStr">
        <is>
          <t>나영길</t>
        </is>
      </c>
      <c r="D109" s="20" t="inlineStr">
        <is>
          <t>JNVAW27755</t>
        </is>
      </c>
      <c r="E109" s="20" t="inlineStr">
        <is>
          <t>남녀공용 트레일러닝 프리마로프트 칼라리스 인슐레이션 베스트</t>
        </is>
      </c>
      <c r="F109" s="20" t="inlineStr">
        <is>
          <t>ABE/CTP</t>
        </is>
      </c>
      <c r="G109" s="19">
        <f>IF($D109="","",IF(MID($D109,5,1)="A","A(가을)",IF(MID($D109,5,1)="W","W(겨울)",IF(MID($D109,5,1)="X","X(사계절)",MID($D109,5,1)))))</f>
        <v/>
      </c>
      <c r="H109" s="19" t="n"/>
      <c r="I109" s="21" t="inlineStr">
        <is>
          <t>8월1주</t>
        </is>
      </c>
      <c r="J109" s="22">
        <f>IF($I109="","",IFERROR(DATE(기준정보!$C$7,VALUE(LEFT($I109,FIND("월",$I109)-1)),1+7*(VALUE(SUBSTITUTE(MID($I109,FIND("월",$I109)+1,5),"주",""))-1)),""))</f>
        <v/>
      </c>
      <c r="K109" s="22">
        <f>IF($J109="","",IF(AND(ISNUMBER(SEARCH("미얀마",$U109)),$J109-기준정보!$C$5&gt;=기준정보!$C$8,$J109-기준정보!$C$5&lt;=기준정보!$C$9),기준정보!$C$8-1,IF(AND(ISNUMBER(SEARCH("인도네시아",$U109)),$J109-기준정보!$C$5&gt;=기준정보!$C$10,$J109-기준정보!$C$5&lt;=기준정보!$C$11),기준정보!$C$10-1,$J109-기준정보!$C$5)))</f>
        <v/>
      </c>
      <c r="L109" s="23">
        <f>IF($K109="","",IF(ISNUMBER(SEARCH("미얀마",$U109)),MAX(0,MIN($K109,기준정보!$C$9)-MAX($K109-기준정보!$C$6,기준정보!$C$8)+1),IF(ISNUMBER(SEARCH("인도네시아",$U109)),MAX(0,MIN($K109,기준정보!$C$11)-MAX($K109-기준정보!$C$6,기준정보!$C$10)+1),0)))</f>
        <v/>
      </c>
      <c r="M109" s="22">
        <f>IF($K109="","",$K109-기준정보!$C$6-$L109)</f>
        <v/>
      </c>
      <c r="N109" s="24">
        <f>IF($M109="","",$M109-기준정보!$C$4)</f>
        <v/>
      </c>
      <c r="O109" s="21" t="n"/>
      <c r="P109" s="21" t="n"/>
      <c r="Q109" s="21" t="n"/>
      <c r="R109" s="25" t="n"/>
      <c r="S109" s="20">
        <f>IF($H109="","",IF($H109="C","본사(소재팀)",IF($H109="완","생산처","확인 필요")))</f>
        <v/>
      </c>
      <c r="T109" s="20" t="inlineStr">
        <is>
          <t>원전</t>
        </is>
      </c>
      <c r="U109" s="20" t="inlineStr">
        <is>
          <t>베트남</t>
        </is>
      </c>
      <c r="V109" s="20" t="n"/>
      <c r="W109" s="26" t="n"/>
      <c r="X109" s="26" t="n"/>
      <c r="Y109" s="22" t="n"/>
      <c r="Z109" s="27" t="n">
        <v>300</v>
      </c>
      <c r="AA109" s="27" t="n">
        <v>14843100</v>
      </c>
      <c r="AB109" s="27" t="n">
        <v>75000000</v>
      </c>
      <c r="AC109" s="20" t="n"/>
      <c r="AD109" s="20">
        <f>IF($J109="","출고일 미정",IF($P109="X","작지 미발행",IF($P109="부분","작지 일부 미발행",IF(AND($R109&lt;&gt;"",$R109&gt;$M109),"소재입고 마감("&amp;TEXT($M109,"MM/DD")&amp;") 초과",IF($P109="","발행여부 확인 필요",IF($R109="","소재 입고일정 확인 필요","정상"))))))</f>
        <v/>
      </c>
      <c r="AE109" s="19">
        <f>IF($J109="","",IF(OR(LEFT($AD109,2)="작지",LEFT($AD109,4)="소재입고"),IF(LEFT($G109,1)="A","★ 납기위험(A코드)","◆ 지연주의"),IF($AD109="정상","✓ 정상","? 확인필요")))</f>
        <v/>
      </c>
      <c r="AF109" s="21" t="n"/>
      <c r="AG109" s="28" t="n"/>
    </row>
    <row r="110">
      <c r="A110" s="19" t="n">
        <v>106</v>
      </c>
      <c r="B110" s="20" t="inlineStr">
        <is>
          <t>박술홍</t>
        </is>
      </c>
      <c r="C110" s="20" t="inlineStr">
        <is>
          <t>나영길</t>
        </is>
      </c>
      <c r="D110" s="20" t="inlineStr">
        <is>
          <t>JNVAW27757</t>
        </is>
      </c>
      <c r="E110" s="20" t="inlineStr">
        <is>
          <t>남녀공용 트레일러닝 프리마로프트 칼라리스 인슐레이션 베스트</t>
        </is>
      </c>
      <c r="F110" s="20" t="inlineStr">
        <is>
          <t>WGY</t>
        </is>
      </c>
      <c r="G110" s="19">
        <f>IF($D110="","",IF(MID($D110,5,1)="A","A(가을)",IF(MID($D110,5,1)="W","W(겨울)",IF(MID($D110,5,1)="X","X(사계절)",MID($D110,5,1)))))</f>
        <v/>
      </c>
      <c r="H110" s="19" t="n"/>
      <c r="I110" s="21" t="inlineStr">
        <is>
          <t>8월1주</t>
        </is>
      </c>
      <c r="J110" s="22">
        <f>IF($I110="","",IFERROR(DATE(기준정보!$C$7,VALUE(LEFT($I110,FIND("월",$I110)-1)),1+7*(VALUE(SUBSTITUTE(MID($I110,FIND("월",$I110)+1,5),"주",""))-1)),""))</f>
        <v/>
      </c>
      <c r="K110" s="22">
        <f>IF($J110="","",IF(AND(ISNUMBER(SEARCH("미얀마",$U110)),$J110-기준정보!$C$5&gt;=기준정보!$C$8,$J110-기준정보!$C$5&lt;=기준정보!$C$9),기준정보!$C$8-1,IF(AND(ISNUMBER(SEARCH("인도네시아",$U110)),$J110-기준정보!$C$5&gt;=기준정보!$C$10,$J110-기준정보!$C$5&lt;=기준정보!$C$11),기준정보!$C$10-1,$J110-기준정보!$C$5)))</f>
        <v/>
      </c>
      <c r="L110" s="23">
        <f>IF($K110="","",IF(ISNUMBER(SEARCH("미얀마",$U110)),MAX(0,MIN($K110,기준정보!$C$9)-MAX($K110-기준정보!$C$6,기준정보!$C$8)+1),IF(ISNUMBER(SEARCH("인도네시아",$U110)),MAX(0,MIN($K110,기준정보!$C$11)-MAX($K110-기준정보!$C$6,기준정보!$C$10)+1),0)))</f>
        <v/>
      </c>
      <c r="M110" s="22">
        <f>IF($K110="","",$K110-기준정보!$C$6-$L110)</f>
        <v/>
      </c>
      <c r="N110" s="24">
        <f>IF($M110="","",$M110-기준정보!$C$4)</f>
        <v/>
      </c>
      <c r="O110" s="21" t="n"/>
      <c r="P110" s="21" t="n"/>
      <c r="Q110" s="21" t="n"/>
      <c r="R110" s="25" t="n"/>
      <c r="S110" s="20">
        <f>IF($H110="","",IF($H110="C","본사(소재팀)",IF($H110="완","생산처","확인 필요")))</f>
        <v/>
      </c>
      <c r="T110" s="20" t="inlineStr">
        <is>
          <t>원전</t>
        </is>
      </c>
      <c r="U110" s="20" t="inlineStr">
        <is>
          <t>베트남</t>
        </is>
      </c>
      <c r="V110" s="20" t="n"/>
      <c r="W110" s="26" t="n"/>
      <c r="X110" s="26" t="n"/>
      <c r="Y110" s="22" t="n"/>
      <c r="Z110" s="27" t="n">
        <v>150</v>
      </c>
      <c r="AA110" s="27" t="n">
        <v>13566000</v>
      </c>
      <c r="AB110" s="27" t="n">
        <v>48000000</v>
      </c>
      <c r="AC110" s="20" t="n"/>
      <c r="AD110" s="20">
        <f>IF($J110="","출고일 미정",IF($P110="X","작지 미발행",IF($P110="부분","작지 일부 미발행",IF(AND($R110&lt;&gt;"",$R110&gt;$M110),"소재입고 마감("&amp;TEXT($M110,"MM/DD")&amp;") 초과",IF($P110="","발행여부 확인 필요",IF($R110="","소재 입고일정 확인 필요","정상"))))))</f>
        <v/>
      </c>
      <c r="AE110" s="19">
        <f>IF($J110="","",IF(OR(LEFT($AD110,2)="작지",LEFT($AD110,4)="소재입고"),IF(LEFT($G110,1)="A","★ 납기위험(A코드)","◆ 지연주의"),IF($AD110="정상","✓ 정상","? 확인필요")))</f>
        <v/>
      </c>
      <c r="AF110" s="21" t="n"/>
      <c r="AG110" s="28" t="n"/>
    </row>
    <row r="111">
      <c r="A111" s="19" t="n">
        <v>107</v>
      </c>
      <c r="B111" s="20" t="inlineStr">
        <is>
          <t>박술홍</t>
        </is>
      </c>
      <c r="C111" s="20" t="inlineStr">
        <is>
          <t>나영길</t>
        </is>
      </c>
      <c r="D111" s="20" t="inlineStr">
        <is>
          <t>JWJJW27751</t>
        </is>
      </c>
      <c r="E111" s="20" t="inlineStr">
        <is>
          <t>남성 트레일러닝 초경량 후드 슬림핏 방수 재킷</t>
        </is>
      </c>
      <c r="F111" s="20" t="inlineStr">
        <is>
          <t>PEG</t>
        </is>
      </c>
      <c r="G111" s="19">
        <f>IF($D111="","",IF(MID($D111,5,1)="A","A(가을)",IF(MID($D111,5,1)="W","W(겨울)",IF(MID($D111,5,1)="X","X(사계절)",MID($D111,5,1)))))</f>
        <v/>
      </c>
      <c r="H111" s="19" t="n"/>
      <c r="I111" s="21" t="inlineStr">
        <is>
          <t>8월1주</t>
        </is>
      </c>
      <c r="J111" s="22">
        <f>IF($I111="","",IFERROR(DATE(기준정보!$C$7,VALUE(LEFT($I111,FIND("월",$I111)-1)),1+7*(VALUE(SUBSTITUTE(MID($I111,FIND("월",$I111)+1,5),"주",""))-1)),""))</f>
        <v/>
      </c>
      <c r="K111" s="22">
        <f>IF($J111="","",IF(AND(ISNUMBER(SEARCH("미얀마",$U111)),$J111-기준정보!$C$5&gt;=기준정보!$C$8,$J111-기준정보!$C$5&lt;=기준정보!$C$9),기준정보!$C$8-1,IF(AND(ISNUMBER(SEARCH("인도네시아",$U111)),$J111-기준정보!$C$5&gt;=기준정보!$C$10,$J111-기준정보!$C$5&lt;=기준정보!$C$11),기준정보!$C$10-1,$J111-기준정보!$C$5)))</f>
        <v/>
      </c>
      <c r="L111" s="23">
        <f>IF($K111="","",IF(ISNUMBER(SEARCH("미얀마",$U111)),MAX(0,MIN($K111,기준정보!$C$9)-MAX($K111-기준정보!$C$6,기준정보!$C$8)+1),IF(ISNUMBER(SEARCH("인도네시아",$U111)),MAX(0,MIN($K111,기준정보!$C$11)-MAX($K111-기준정보!$C$6,기준정보!$C$10)+1),0)))</f>
        <v/>
      </c>
      <c r="M111" s="22">
        <f>IF($K111="","",$K111-기준정보!$C$6-$L111)</f>
        <v/>
      </c>
      <c r="N111" s="24">
        <f>IF($M111="","",$M111-기준정보!$C$4)</f>
        <v/>
      </c>
      <c r="O111" s="21" t="n"/>
      <c r="P111" s="21" t="n"/>
      <c r="Q111" s="21" t="n"/>
      <c r="R111" s="25" t="n"/>
      <c r="S111" s="20">
        <f>IF($H111="","",IF($H111="C","본사(소재팀)",IF($H111="완","생산처","확인 필요")))</f>
        <v/>
      </c>
      <c r="T111" s="20" t="inlineStr">
        <is>
          <t>포마트</t>
        </is>
      </c>
      <c r="U111" s="20" t="inlineStr">
        <is>
          <t>베트남</t>
        </is>
      </c>
      <c r="V111" s="20" t="n"/>
      <c r="W111" s="26" t="n"/>
      <c r="X111" s="26" t="n"/>
      <c r="Y111" s="22" t="n"/>
      <c r="Z111" s="27" t="n">
        <v>150</v>
      </c>
      <c r="AA111" s="27" t="n">
        <v>20319900</v>
      </c>
      <c r="AB111" s="27" t="n">
        <v>73500000</v>
      </c>
      <c r="AC111" s="20" t="n"/>
      <c r="AD111" s="20">
        <f>IF($J111="","출고일 미정",IF($P111="X","작지 미발행",IF($P111="부분","작지 일부 미발행",IF(AND($R111&lt;&gt;"",$R111&gt;$M111),"소재입고 마감("&amp;TEXT($M111,"MM/DD")&amp;") 초과",IF($P111="","발행여부 확인 필요",IF($R111="","소재 입고일정 확인 필요","정상"))))))</f>
        <v/>
      </c>
      <c r="AE111" s="19">
        <f>IF($J111="","",IF(OR(LEFT($AD111,2)="작지",LEFT($AD111,4)="소재입고"),IF(LEFT($G111,1)="A","★ 납기위험(A코드)","◆ 지연주의"),IF($AD111="정상","✓ 정상","? 확인필요")))</f>
        <v/>
      </c>
      <c r="AF111" s="21" t="n"/>
      <c r="AG111" s="28" t="n"/>
    </row>
    <row r="112">
      <c r="A112" s="19" t="n">
        <v>108</v>
      </c>
      <c r="B112" s="20" t="inlineStr">
        <is>
          <t>박술홍</t>
        </is>
      </c>
      <c r="C112" s="20" t="inlineStr">
        <is>
          <t>나영길</t>
        </is>
      </c>
      <c r="D112" s="20" t="inlineStr">
        <is>
          <t>JWJJW27753</t>
        </is>
      </c>
      <c r="E112" s="20" t="inlineStr">
        <is>
          <t>남성 트레일러닝 옥타 후드 슬림핏 재킷</t>
        </is>
      </c>
      <c r="F112" s="20" t="inlineStr">
        <is>
          <t>DEB/PEG</t>
        </is>
      </c>
      <c r="G112" s="19">
        <f>IF($D112="","",IF(MID($D112,5,1)="A","A(가을)",IF(MID($D112,5,1)="W","W(겨울)",IF(MID($D112,5,1)="X","X(사계절)",MID($D112,5,1)))))</f>
        <v/>
      </c>
      <c r="H112" s="19" t="n"/>
      <c r="I112" s="21" t="inlineStr">
        <is>
          <t>8월1주</t>
        </is>
      </c>
      <c r="J112" s="22">
        <f>IF($I112="","",IFERROR(DATE(기준정보!$C$7,VALUE(LEFT($I112,FIND("월",$I112)-1)),1+7*(VALUE(SUBSTITUTE(MID($I112,FIND("월",$I112)+1,5),"주",""))-1)),""))</f>
        <v/>
      </c>
      <c r="K112" s="22">
        <f>IF($J112="","",IF(AND(ISNUMBER(SEARCH("미얀마",$U112)),$J112-기준정보!$C$5&gt;=기준정보!$C$8,$J112-기준정보!$C$5&lt;=기준정보!$C$9),기준정보!$C$8-1,IF(AND(ISNUMBER(SEARCH("인도네시아",$U112)),$J112-기준정보!$C$5&gt;=기준정보!$C$10,$J112-기준정보!$C$5&lt;=기준정보!$C$11),기준정보!$C$10-1,$J112-기준정보!$C$5)))</f>
        <v/>
      </c>
      <c r="L112" s="23">
        <f>IF($K112="","",IF(ISNUMBER(SEARCH("미얀마",$U112)),MAX(0,MIN($K112,기준정보!$C$9)-MAX($K112-기준정보!$C$6,기준정보!$C$8)+1),IF(ISNUMBER(SEARCH("인도네시아",$U112)),MAX(0,MIN($K112,기준정보!$C$11)-MAX($K112-기준정보!$C$6,기준정보!$C$10)+1),0)))</f>
        <v/>
      </c>
      <c r="M112" s="22">
        <f>IF($K112="","",$K112-기준정보!$C$6-$L112)</f>
        <v/>
      </c>
      <c r="N112" s="24">
        <f>IF($M112="","",$M112-기준정보!$C$4)</f>
        <v/>
      </c>
      <c r="O112" s="21" t="n"/>
      <c r="P112" s="21" t="n"/>
      <c r="Q112" s="21" t="n"/>
      <c r="R112" s="25" t="n"/>
      <c r="S112" s="20">
        <f>IF($H112="","",IF($H112="C","본사(소재팀)",IF($H112="완","생산처","확인 필요")))</f>
        <v/>
      </c>
      <c r="T112" s="20" t="inlineStr">
        <is>
          <t>태화</t>
        </is>
      </c>
      <c r="U112" s="20" t="inlineStr">
        <is>
          <t>베트남</t>
        </is>
      </c>
      <c r="V112" s="20" t="n"/>
      <c r="W112" s="26" t="n"/>
      <c r="X112" s="26" t="n"/>
      <c r="Y112" s="22" t="n"/>
      <c r="Z112" s="27" t="n">
        <v>400</v>
      </c>
      <c r="AA112" s="27" t="n">
        <v>20721600</v>
      </c>
      <c r="AB112" s="27" t="n">
        <v>88000000</v>
      </c>
      <c r="AC112" s="20" t="n"/>
      <c r="AD112" s="20">
        <f>IF($J112="","출고일 미정",IF($P112="X","작지 미발행",IF($P112="부분","작지 일부 미발행",IF(AND($R112&lt;&gt;"",$R112&gt;$M112),"소재입고 마감("&amp;TEXT($M112,"MM/DD")&amp;") 초과",IF($P112="","발행여부 확인 필요",IF($R112="","소재 입고일정 확인 필요","정상"))))))</f>
        <v/>
      </c>
      <c r="AE112" s="19">
        <f>IF($J112="","",IF(OR(LEFT($AD112,2)="작지",LEFT($AD112,4)="소재입고"),IF(LEFT($G112,1)="A","★ 납기위험(A코드)","◆ 지연주의"),IF($AD112="정상","✓ 정상","? 확인필요")))</f>
        <v/>
      </c>
      <c r="AF112" s="21" t="n"/>
      <c r="AG112" s="28" t="n"/>
    </row>
    <row r="113">
      <c r="A113" s="19" t="n">
        <v>109</v>
      </c>
      <c r="B113" s="20" t="inlineStr">
        <is>
          <t>박술홍</t>
        </is>
      </c>
      <c r="C113" s="20" t="inlineStr">
        <is>
          <t>나영길</t>
        </is>
      </c>
      <c r="D113" s="20" t="inlineStr">
        <is>
          <t>JWPOW27771</t>
        </is>
      </c>
      <c r="E113" s="20" t="inlineStr">
        <is>
          <t>남성 트레일러닝 3인치 쇼츠</t>
        </is>
      </c>
      <c r="F113" s="20" t="inlineStr">
        <is>
          <t>DEB</t>
        </is>
      </c>
      <c r="G113" s="19">
        <f>IF($D113="","",IF(MID($D113,5,1)="A","A(가을)",IF(MID($D113,5,1)="W","W(겨울)",IF(MID($D113,5,1)="X","X(사계절)",MID($D113,5,1)))))</f>
        <v/>
      </c>
      <c r="H113" s="19" t="n"/>
      <c r="I113" s="21" t="inlineStr">
        <is>
          <t>8월1주</t>
        </is>
      </c>
      <c r="J113" s="22">
        <f>IF($I113="","",IFERROR(DATE(기준정보!$C$7,VALUE(LEFT($I113,FIND("월",$I113)-1)),1+7*(VALUE(SUBSTITUTE(MID($I113,FIND("월",$I113)+1,5),"주",""))-1)),""))</f>
        <v/>
      </c>
      <c r="K113" s="22">
        <f>IF($J113="","",IF(AND(ISNUMBER(SEARCH("미얀마",$U113)),$J113-기준정보!$C$5&gt;=기준정보!$C$8,$J113-기준정보!$C$5&lt;=기준정보!$C$9),기준정보!$C$8-1,IF(AND(ISNUMBER(SEARCH("인도네시아",$U113)),$J113-기준정보!$C$5&gt;=기준정보!$C$10,$J113-기준정보!$C$5&lt;=기준정보!$C$11),기준정보!$C$10-1,$J113-기준정보!$C$5)))</f>
        <v/>
      </c>
      <c r="L113" s="23">
        <f>IF($K113="","",IF(ISNUMBER(SEARCH("미얀마",$U113)),MAX(0,MIN($K113,기준정보!$C$9)-MAX($K113-기준정보!$C$6,기준정보!$C$8)+1),IF(ISNUMBER(SEARCH("인도네시아",$U113)),MAX(0,MIN($K113,기준정보!$C$11)-MAX($K113-기준정보!$C$6,기준정보!$C$10)+1),0)))</f>
        <v/>
      </c>
      <c r="M113" s="22">
        <f>IF($K113="","",$K113-기준정보!$C$6-$L113)</f>
        <v/>
      </c>
      <c r="N113" s="24">
        <f>IF($M113="","",$M113-기준정보!$C$4)</f>
        <v/>
      </c>
      <c r="O113" s="21" t="n"/>
      <c r="P113" s="21" t="n"/>
      <c r="Q113" s="21" t="n"/>
      <c r="R113" s="25" t="n"/>
      <c r="S113" s="20">
        <f>IF($H113="","",IF($H113="C","본사(소재팀)",IF($H113="완","생산처","확인 필요")))</f>
        <v/>
      </c>
      <c r="T113" s="20" t="inlineStr">
        <is>
          <t>YIC</t>
        </is>
      </c>
      <c r="U113" s="20" t="inlineStr">
        <is>
          <t>베트남</t>
        </is>
      </c>
      <c r="V113" s="20" t="n"/>
      <c r="W113" s="26" t="n"/>
      <c r="X113" s="26" t="n"/>
      <c r="Y113" s="22" t="n"/>
      <c r="Z113" s="27" t="n">
        <v>150</v>
      </c>
      <c r="AA113" s="27" t="n">
        <v>4299600</v>
      </c>
      <c r="AB113" s="27" t="n">
        <v>19200000</v>
      </c>
      <c r="AC113" s="20" t="n"/>
      <c r="AD113" s="20">
        <f>IF($J113="","출고일 미정",IF($P113="X","작지 미발행",IF($P113="부분","작지 일부 미발행",IF(AND($R113&lt;&gt;"",$R113&gt;$M113),"소재입고 마감("&amp;TEXT($M113,"MM/DD")&amp;") 초과",IF($P113="","발행여부 확인 필요",IF($R113="","소재 입고일정 확인 필요","정상"))))))</f>
        <v/>
      </c>
      <c r="AE113" s="19">
        <f>IF($J113="","",IF(OR(LEFT($AD113,2)="작지",LEFT($AD113,4)="소재입고"),IF(LEFT($G113,1)="A","★ 납기위험(A코드)","◆ 지연주의"),IF($AD113="정상","✓ 정상","? 확인필요")))</f>
        <v/>
      </c>
      <c r="AF113" s="21" t="n"/>
      <c r="AG113" s="28" t="n"/>
    </row>
    <row r="114">
      <c r="A114" s="19" t="n">
        <v>110</v>
      </c>
      <c r="B114" s="20" t="inlineStr">
        <is>
          <t>박술홍</t>
        </is>
      </c>
      <c r="C114" s="20" t="inlineStr">
        <is>
          <t>나영길</t>
        </is>
      </c>
      <c r="D114" s="20" t="inlineStr">
        <is>
          <t>JWPOW27773</t>
        </is>
      </c>
      <c r="E114" s="20" t="inlineStr">
        <is>
          <t>남성 트레일러닝 스토리지 4인치 하프 타이즈</t>
        </is>
      </c>
      <c r="F114" s="20" t="inlineStr">
        <is>
          <t>BLK</t>
        </is>
      </c>
      <c r="G114" s="19">
        <f>IF($D114="","",IF(MID($D114,5,1)="A","A(가을)",IF(MID($D114,5,1)="W","W(겨울)",IF(MID($D114,5,1)="X","X(사계절)",MID($D114,5,1)))))</f>
        <v/>
      </c>
      <c r="H114" s="19" t="n"/>
      <c r="I114" s="21" t="inlineStr">
        <is>
          <t>8월1주</t>
        </is>
      </c>
      <c r="J114" s="22">
        <f>IF($I114="","",IFERROR(DATE(기준정보!$C$7,VALUE(LEFT($I114,FIND("월",$I114)-1)),1+7*(VALUE(SUBSTITUTE(MID($I114,FIND("월",$I114)+1,5),"주",""))-1)),""))</f>
        <v/>
      </c>
      <c r="K114" s="22">
        <f>IF($J114="","",IF(AND(ISNUMBER(SEARCH("미얀마",$U114)),$J114-기준정보!$C$5&gt;=기준정보!$C$8,$J114-기준정보!$C$5&lt;=기준정보!$C$9),기준정보!$C$8-1,IF(AND(ISNUMBER(SEARCH("인도네시아",$U114)),$J114-기준정보!$C$5&gt;=기준정보!$C$10,$J114-기준정보!$C$5&lt;=기준정보!$C$11),기준정보!$C$10-1,$J114-기준정보!$C$5)))</f>
        <v/>
      </c>
      <c r="L114" s="23">
        <f>IF($K114="","",IF(ISNUMBER(SEARCH("미얀마",$U114)),MAX(0,MIN($K114,기준정보!$C$9)-MAX($K114-기준정보!$C$6,기준정보!$C$8)+1),IF(ISNUMBER(SEARCH("인도네시아",$U114)),MAX(0,MIN($K114,기준정보!$C$11)-MAX($K114-기준정보!$C$6,기준정보!$C$10)+1),0)))</f>
        <v/>
      </c>
      <c r="M114" s="22">
        <f>IF($K114="","",$K114-기준정보!$C$6-$L114)</f>
        <v/>
      </c>
      <c r="N114" s="24">
        <f>IF($M114="","",$M114-기준정보!$C$4)</f>
        <v/>
      </c>
      <c r="O114" s="21" t="n"/>
      <c r="P114" s="21" t="n"/>
      <c r="Q114" s="21" t="n"/>
      <c r="R114" s="25" t="n"/>
      <c r="S114" s="20">
        <f>IF($H114="","",IF($H114="C","본사(소재팀)",IF($H114="완","생산처","확인 필요")))</f>
        <v/>
      </c>
      <c r="T114" s="20" t="inlineStr">
        <is>
          <t>IKG</t>
        </is>
      </c>
      <c r="U114" s="20" t="inlineStr">
        <is>
          <t>인도네시아</t>
        </is>
      </c>
      <c r="V114" s="20" t="n"/>
      <c r="W114" s="26" t="n"/>
      <c r="X114" s="26" t="n"/>
      <c r="Y114" s="22" t="n"/>
      <c r="Z114" s="27" t="n">
        <v>150</v>
      </c>
      <c r="AA114" s="27" t="n">
        <v>5845200</v>
      </c>
      <c r="AB114" s="27" t="n">
        <v>19200000</v>
      </c>
      <c r="AC114" s="20" t="n"/>
      <c r="AD114" s="20">
        <f>IF($J114="","출고일 미정",IF($P114="X","작지 미발행",IF($P114="부분","작지 일부 미발행",IF(AND($R114&lt;&gt;"",$R114&gt;$M114),"소재입고 마감("&amp;TEXT($M114,"MM/DD")&amp;") 초과",IF($P114="","발행여부 확인 필요",IF($R114="","소재 입고일정 확인 필요","정상"))))))</f>
        <v/>
      </c>
      <c r="AE114" s="19">
        <f>IF($J114="","",IF(OR(LEFT($AD114,2)="작지",LEFT($AD114,4)="소재입고"),IF(LEFT($G114,1)="A","★ 납기위험(A코드)","◆ 지연주의"),IF($AD114="정상","✓ 정상","? 확인필요")))</f>
        <v/>
      </c>
      <c r="AF114" s="21" t="n"/>
      <c r="AG114" s="28" t="n"/>
    </row>
    <row r="115">
      <c r="A115" s="19" t="n">
        <v>111</v>
      </c>
      <c r="B115" s="20" t="inlineStr">
        <is>
          <t>박술홍</t>
        </is>
      </c>
      <c r="C115" s="20" t="inlineStr">
        <is>
          <t>나영길</t>
        </is>
      </c>
      <c r="D115" s="20" t="inlineStr">
        <is>
          <t>JWTBW27765</t>
        </is>
      </c>
      <c r="E115" s="20" t="inlineStr">
        <is>
          <t>남성 트레일러닝 슬림핏 라운드넥 긴팔 티셔츠</t>
        </is>
      </c>
      <c r="F115" s="20" t="inlineStr">
        <is>
          <t>RBW/DEB</t>
        </is>
      </c>
      <c r="G115" s="19">
        <f>IF($D115="","",IF(MID($D115,5,1)="A","A(가을)",IF(MID($D115,5,1)="W","W(겨울)",IF(MID($D115,5,1)="X","X(사계절)",MID($D115,5,1)))))</f>
        <v/>
      </c>
      <c r="H115" s="19" t="n"/>
      <c r="I115" s="21" t="inlineStr">
        <is>
          <t>8월1주</t>
        </is>
      </c>
      <c r="J115" s="22">
        <f>IF($I115="","",IFERROR(DATE(기준정보!$C$7,VALUE(LEFT($I115,FIND("월",$I115)-1)),1+7*(VALUE(SUBSTITUTE(MID($I115,FIND("월",$I115)+1,5),"주",""))-1)),""))</f>
        <v/>
      </c>
      <c r="K115" s="22">
        <f>IF($J115="","",IF(AND(ISNUMBER(SEARCH("미얀마",$U115)),$J115-기준정보!$C$5&gt;=기준정보!$C$8,$J115-기준정보!$C$5&lt;=기준정보!$C$9),기준정보!$C$8-1,IF(AND(ISNUMBER(SEARCH("인도네시아",$U115)),$J115-기준정보!$C$5&gt;=기준정보!$C$10,$J115-기준정보!$C$5&lt;=기준정보!$C$11),기준정보!$C$10-1,$J115-기준정보!$C$5)))</f>
        <v/>
      </c>
      <c r="L115" s="23">
        <f>IF($K115="","",IF(ISNUMBER(SEARCH("미얀마",$U115)),MAX(0,MIN($K115,기준정보!$C$9)-MAX($K115-기준정보!$C$6,기준정보!$C$8)+1),IF(ISNUMBER(SEARCH("인도네시아",$U115)),MAX(0,MIN($K115,기준정보!$C$11)-MAX($K115-기준정보!$C$6,기준정보!$C$10)+1),0)))</f>
        <v/>
      </c>
      <c r="M115" s="22">
        <f>IF($K115="","",$K115-기준정보!$C$6-$L115)</f>
        <v/>
      </c>
      <c r="N115" s="24">
        <f>IF($M115="","",$M115-기준정보!$C$4)</f>
        <v/>
      </c>
      <c r="O115" s="21" t="n"/>
      <c r="P115" s="21" t="n"/>
      <c r="Q115" s="21" t="n"/>
      <c r="R115" s="25" t="n"/>
      <c r="S115" s="20">
        <f>IF($H115="","",IF($H115="C","본사(소재팀)",IF($H115="완","생산처","확인 필요")))</f>
        <v/>
      </c>
      <c r="T115" s="20" t="inlineStr">
        <is>
          <t>장안</t>
        </is>
      </c>
      <c r="U115" s="20" t="inlineStr">
        <is>
          <t>베트남</t>
        </is>
      </c>
      <c r="V115" s="20" t="n"/>
      <c r="W115" s="26" t="n"/>
      <c r="X115" s="26" t="n"/>
      <c r="Y115" s="22" t="n"/>
      <c r="Z115" s="27" t="n">
        <v>300</v>
      </c>
      <c r="AA115" s="27" t="n">
        <v>12541200</v>
      </c>
      <c r="AB115" s="27" t="n">
        <v>44400000</v>
      </c>
      <c r="AC115" s="20" t="n"/>
      <c r="AD115" s="20">
        <f>IF($J115="","출고일 미정",IF($P115="X","작지 미발행",IF($P115="부분","작지 일부 미발행",IF(AND($R115&lt;&gt;"",$R115&gt;$M115),"소재입고 마감("&amp;TEXT($M115,"MM/DD")&amp;") 초과",IF($P115="","발행여부 확인 필요",IF($R115="","소재 입고일정 확인 필요","정상"))))))</f>
        <v/>
      </c>
      <c r="AE115" s="19">
        <f>IF($J115="","",IF(OR(LEFT($AD115,2)="작지",LEFT($AD115,4)="소재입고"),IF(LEFT($G115,1)="A","★ 납기위험(A코드)","◆ 지연주의"),IF($AD115="정상","✓ 정상","? 확인필요")))</f>
        <v/>
      </c>
      <c r="AF115" s="21" t="n"/>
      <c r="AG115" s="28" t="n"/>
    </row>
    <row r="116">
      <c r="A116" s="19" t="n">
        <v>112</v>
      </c>
      <c r="B116" s="20" t="inlineStr">
        <is>
          <t>박술홍</t>
        </is>
      </c>
      <c r="C116" s="20" t="inlineStr">
        <is>
          <t>나영길</t>
        </is>
      </c>
      <c r="D116" s="20" t="inlineStr">
        <is>
          <t>JWTCW27761</t>
        </is>
      </c>
      <c r="E116" s="20" t="inlineStr">
        <is>
          <t>남성 트레일러닝 자카드 슬림핏 라운드넥 슬리브리스</t>
        </is>
      </c>
      <c r="F116" s="20" t="inlineStr">
        <is>
          <t>CO1</t>
        </is>
      </c>
      <c r="G116" s="19">
        <f>IF($D116="","",IF(MID($D116,5,1)="A","A(가을)",IF(MID($D116,5,1)="W","W(겨울)",IF(MID($D116,5,1)="X","X(사계절)",MID($D116,5,1)))))</f>
        <v/>
      </c>
      <c r="H116" s="19" t="n"/>
      <c r="I116" s="21" t="inlineStr">
        <is>
          <t>8월1주</t>
        </is>
      </c>
      <c r="J116" s="22">
        <f>IF($I116="","",IFERROR(DATE(기준정보!$C$7,VALUE(LEFT($I116,FIND("월",$I116)-1)),1+7*(VALUE(SUBSTITUTE(MID($I116,FIND("월",$I116)+1,5),"주",""))-1)),""))</f>
        <v/>
      </c>
      <c r="K116" s="22">
        <f>IF($J116="","",IF(AND(ISNUMBER(SEARCH("미얀마",$U116)),$J116-기준정보!$C$5&gt;=기준정보!$C$8,$J116-기준정보!$C$5&lt;=기준정보!$C$9),기준정보!$C$8-1,IF(AND(ISNUMBER(SEARCH("인도네시아",$U116)),$J116-기준정보!$C$5&gt;=기준정보!$C$10,$J116-기준정보!$C$5&lt;=기준정보!$C$11),기준정보!$C$10-1,$J116-기준정보!$C$5)))</f>
        <v/>
      </c>
      <c r="L116" s="23">
        <f>IF($K116="","",IF(ISNUMBER(SEARCH("미얀마",$U116)),MAX(0,MIN($K116,기준정보!$C$9)-MAX($K116-기준정보!$C$6,기준정보!$C$8)+1),IF(ISNUMBER(SEARCH("인도네시아",$U116)),MAX(0,MIN($K116,기준정보!$C$11)-MAX($K116-기준정보!$C$6,기준정보!$C$10)+1),0)))</f>
        <v/>
      </c>
      <c r="M116" s="22">
        <f>IF($K116="","",$K116-기준정보!$C$6-$L116)</f>
        <v/>
      </c>
      <c r="N116" s="24">
        <f>IF($M116="","",$M116-기준정보!$C$4)</f>
        <v/>
      </c>
      <c r="O116" s="21" t="n"/>
      <c r="P116" s="21" t="n"/>
      <c r="Q116" s="21" t="n"/>
      <c r="R116" s="25" t="n"/>
      <c r="S116" s="20">
        <f>IF($H116="","",IF($H116="C","본사(소재팀)",IF($H116="완","생산처","확인 필요")))</f>
        <v/>
      </c>
      <c r="T116" s="20" t="inlineStr">
        <is>
          <t>장안</t>
        </is>
      </c>
      <c r="U116" s="20" t="inlineStr">
        <is>
          <t>베트남</t>
        </is>
      </c>
      <c r="V116" s="20" t="n"/>
      <c r="W116" s="26" t="n"/>
      <c r="X116" s="26" t="n"/>
      <c r="Y116" s="22" t="n"/>
      <c r="Z116" s="27" t="n">
        <v>300</v>
      </c>
      <c r="AA116" s="27" t="n">
        <v>11533800</v>
      </c>
      <c r="AB116" s="27" t="n">
        <v>38400000</v>
      </c>
      <c r="AC116" s="20" t="n"/>
      <c r="AD116" s="20">
        <f>IF($J116="","출고일 미정",IF($P116="X","작지 미발행",IF($P116="부분","작지 일부 미발행",IF(AND($R116&lt;&gt;"",$R116&gt;$M116),"소재입고 마감("&amp;TEXT($M116,"MM/DD")&amp;") 초과",IF($P116="","발행여부 확인 필요",IF($R116="","소재 입고일정 확인 필요","정상"))))))</f>
        <v/>
      </c>
      <c r="AE116" s="19">
        <f>IF($J116="","",IF(OR(LEFT($AD116,2)="작지",LEFT($AD116,4)="소재입고"),IF(LEFT($G116,1)="A","★ 납기위험(A코드)","◆ 지연주의"),IF($AD116="정상","✓ 정상","? 확인필요")))</f>
        <v/>
      </c>
      <c r="AF116" s="21" t="n"/>
      <c r="AG116" s="28" t="n"/>
    </row>
    <row r="117">
      <c r="A117" s="19" t="n">
        <v>113</v>
      </c>
      <c r="B117" s="20" t="inlineStr">
        <is>
          <t>박술홍</t>
        </is>
      </c>
      <c r="C117" s="20" t="inlineStr">
        <is>
          <t>나영길</t>
        </is>
      </c>
      <c r="D117" s="20" t="inlineStr">
        <is>
          <t>JWTCW27763</t>
        </is>
      </c>
      <c r="E117" s="20" t="inlineStr">
        <is>
          <t>남성 트레일러닝 슬림핏 라운드넥 반팔 티셔츠</t>
        </is>
      </c>
      <c r="F117" s="20" t="inlineStr">
        <is>
          <t>SKA/ABE</t>
        </is>
      </c>
      <c r="G117" s="19">
        <f>IF($D117="","",IF(MID($D117,5,1)="A","A(가을)",IF(MID($D117,5,1)="W","W(겨울)",IF(MID($D117,5,1)="X","X(사계절)",MID($D117,5,1)))))</f>
        <v/>
      </c>
      <c r="H117" s="19" t="n"/>
      <c r="I117" s="21" t="inlineStr">
        <is>
          <t>8월1주</t>
        </is>
      </c>
      <c r="J117" s="22">
        <f>IF($I117="","",IFERROR(DATE(기준정보!$C$7,VALUE(LEFT($I117,FIND("월",$I117)-1)),1+7*(VALUE(SUBSTITUTE(MID($I117,FIND("월",$I117)+1,5),"주",""))-1)),""))</f>
        <v/>
      </c>
      <c r="K117" s="22">
        <f>IF($J117="","",IF(AND(ISNUMBER(SEARCH("미얀마",$U117)),$J117-기준정보!$C$5&gt;=기준정보!$C$8,$J117-기준정보!$C$5&lt;=기준정보!$C$9),기준정보!$C$8-1,IF(AND(ISNUMBER(SEARCH("인도네시아",$U117)),$J117-기준정보!$C$5&gt;=기준정보!$C$10,$J117-기준정보!$C$5&lt;=기준정보!$C$11),기준정보!$C$10-1,$J117-기준정보!$C$5)))</f>
        <v/>
      </c>
      <c r="L117" s="23">
        <f>IF($K117="","",IF(ISNUMBER(SEARCH("미얀마",$U117)),MAX(0,MIN($K117,기준정보!$C$9)-MAX($K117-기준정보!$C$6,기준정보!$C$8)+1),IF(ISNUMBER(SEARCH("인도네시아",$U117)),MAX(0,MIN($K117,기준정보!$C$11)-MAX($K117-기준정보!$C$6,기준정보!$C$10)+1),0)))</f>
        <v/>
      </c>
      <c r="M117" s="22">
        <f>IF($K117="","",$K117-기준정보!$C$6-$L117)</f>
        <v/>
      </c>
      <c r="N117" s="24">
        <f>IF($M117="","",$M117-기준정보!$C$4)</f>
        <v/>
      </c>
      <c r="O117" s="21" t="n"/>
      <c r="P117" s="21" t="n"/>
      <c r="Q117" s="21" t="n"/>
      <c r="R117" s="25" t="n"/>
      <c r="S117" s="20">
        <f>IF($H117="","",IF($H117="C","본사(소재팀)",IF($H117="완","생산처","확인 필요")))</f>
        <v/>
      </c>
      <c r="T117" s="20" t="inlineStr">
        <is>
          <t>장안</t>
        </is>
      </c>
      <c r="U117" s="20" t="inlineStr">
        <is>
          <t>베트남</t>
        </is>
      </c>
      <c r="V117" s="20" t="n"/>
      <c r="W117" s="26" t="n"/>
      <c r="X117" s="26" t="n"/>
      <c r="Y117" s="22" t="n"/>
      <c r="Z117" s="27" t="n">
        <v>300</v>
      </c>
      <c r="AA117" s="27" t="n">
        <v>11683800</v>
      </c>
      <c r="AB117" s="27" t="n">
        <v>38400000</v>
      </c>
      <c r="AC117" s="20" t="n"/>
      <c r="AD117" s="20">
        <f>IF($J117="","출고일 미정",IF($P117="X","작지 미발행",IF($P117="부분","작지 일부 미발행",IF(AND($R117&lt;&gt;"",$R117&gt;$M117),"소재입고 마감("&amp;TEXT($M117,"MM/DD")&amp;") 초과",IF($P117="","발행여부 확인 필요",IF($R117="","소재 입고일정 확인 필요","정상"))))))</f>
        <v/>
      </c>
      <c r="AE117" s="19">
        <f>IF($J117="","",IF(OR(LEFT($AD117,2)="작지",LEFT($AD117,4)="소재입고"),IF(LEFT($G117,1)="A","★ 납기위험(A코드)","◆ 지연주의"),IF($AD117="정상","✓ 정상","? 확인필요")))</f>
        <v/>
      </c>
      <c r="AF117" s="21" t="n"/>
      <c r="AG117" s="28" t="n"/>
    </row>
    <row r="118">
      <c r="A118" s="19" t="n">
        <v>114</v>
      </c>
      <c r="B118" s="20" t="inlineStr">
        <is>
          <t>박술홍</t>
        </is>
      </c>
      <c r="C118" s="20" t="inlineStr">
        <is>
          <t>나영길</t>
        </is>
      </c>
      <c r="D118" s="20" t="inlineStr">
        <is>
          <t>QEHFW27761</t>
        </is>
      </c>
      <c r="E118" s="20" t="inlineStr">
        <is>
          <t>남녀공용 트레일러닝 컨버터블 미튼</t>
        </is>
      </c>
      <c r="F118" s="20" t="inlineStr">
        <is>
          <t>PEG</t>
        </is>
      </c>
      <c r="G118" s="19">
        <f>IF($D118="","",IF(MID($D118,5,1)="A","A(가을)",IF(MID($D118,5,1)="W","W(겨울)",IF(MID($D118,5,1)="X","X(사계절)",MID($D118,5,1)))))</f>
        <v/>
      </c>
      <c r="H118" s="19" t="n"/>
      <c r="I118" s="21" t="inlineStr">
        <is>
          <t>8월1주</t>
        </is>
      </c>
      <c r="J118" s="22">
        <f>IF($I118="","",IFERROR(DATE(기준정보!$C$7,VALUE(LEFT($I118,FIND("월",$I118)-1)),1+7*(VALUE(SUBSTITUTE(MID($I118,FIND("월",$I118)+1,5),"주",""))-1)),""))</f>
        <v/>
      </c>
      <c r="K118" s="22">
        <f>IF($J118="","",IF(AND(ISNUMBER(SEARCH("미얀마",$U118)),$J118-기준정보!$C$5&gt;=기준정보!$C$8,$J118-기준정보!$C$5&lt;=기준정보!$C$9),기준정보!$C$8-1,IF(AND(ISNUMBER(SEARCH("인도네시아",$U118)),$J118-기준정보!$C$5&gt;=기준정보!$C$10,$J118-기준정보!$C$5&lt;=기준정보!$C$11),기준정보!$C$10-1,$J118-기준정보!$C$5)))</f>
        <v/>
      </c>
      <c r="L118" s="23">
        <f>IF($K118="","",IF(ISNUMBER(SEARCH("미얀마",$U118)),MAX(0,MIN($K118,기준정보!$C$9)-MAX($K118-기준정보!$C$6,기준정보!$C$8)+1),IF(ISNUMBER(SEARCH("인도네시아",$U118)),MAX(0,MIN($K118,기준정보!$C$11)-MAX($K118-기준정보!$C$6,기준정보!$C$10)+1),0)))</f>
        <v/>
      </c>
      <c r="M118" s="22">
        <f>IF($K118="","",$K118-기준정보!$C$6-$L118)</f>
        <v/>
      </c>
      <c r="N118" s="24">
        <f>IF($M118="","",$M118-기준정보!$C$4)</f>
        <v/>
      </c>
      <c r="O118" s="21" t="n"/>
      <c r="P118" s="21" t="n"/>
      <c r="Q118" s="21" t="n"/>
      <c r="R118" s="25" t="n"/>
      <c r="S118" s="20">
        <f>IF($H118="","",IF($H118="C","본사(소재팀)",IF($H118="완","생산처","확인 필요")))</f>
        <v/>
      </c>
      <c r="T118" s="20" t="inlineStr">
        <is>
          <t>시즈글로벌</t>
        </is>
      </c>
      <c r="U118" s="20" t="inlineStr">
        <is>
          <t>베트남</t>
        </is>
      </c>
      <c r="V118" s="20" t="n"/>
      <c r="W118" s="26" t="n"/>
      <c r="X118" s="26" t="n"/>
      <c r="Y118" s="22" t="n"/>
      <c r="Z118" s="27" t="n">
        <v>700</v>
      </c>
      <c r="AA118" s="27" t="n">
        <v>12107200</v>
      </c>
      <c r="AB118" s="27" t="n">
        <v>61600000</v>
      </c>
      <c r="AC118" s="20" t="n"/>
      <c r="AD118" s="20">
        <f>IF($J118="","출고일 미정",IF($P118="X","작지 미발행",IF($P118="부분","작지 일부 미발행",IF(AND($R118&lt;&gt;"",$R118&gt;$M118),"소재입고 마감("&amp;TEXT($M118,"MM/DD")&amp;") 초과",IF($P118="","발행여부 확인 필요",IF($R118="","소재 입고일정 확인 필요","정상"))))))</f>
        <v/>
      </c>
      <c r="AE118" s="19">
        <f>IF($J118="","",IF(OR(LEFT($AD118,2)="작지",LEFT($AD118,4)="소재입고"),IF(LEFT($G118,1)="A","★ 납기위험(A코드)","◆ 지연주의"),IF($AD118="정상","✓ 정상","? 확인필요")))</f>
        <v/>
      </c>
      <c r="AF118" s="21" t="n"/>
      <c r="AG118" s="28" t="n"/>
    </row>
    <row r="119">
      <c r="A119" s="19" t="n">
        <v>115</v>
      </c>
      <c r="B119" s="20" t="inlineStr">
        <is>
          <t>박술홍</t>
        </is>
      </c>
      <c r="C119" s="20" t="inlineStr">
        <is>
          <t>나영길</t>
        </is>
      </c>
      <c r="D119" s="20" t="inlineStr">
        <is>
          <t>QERGW27771</t>
        </is>
      </c>
      <c r="E119" s="20" t="inlineStr">
        <is>
          <t>남녀공용 트레일러닝 비니</t>
        </is>
      </c>
      <c r="F119" s="20" t="inlineStr">
        <is>
          <t>CHR/SKA</t>
        </is>
      </c>
      <c r="G119" s="19">
        <f>IF($D119="","",IF(MID($D119,5,1)="A","A(가을)",IF(MID($D119,5,1)="W","W(겨울)",IF(MID($D119,5,1)="X","X(사계절)",MID($D119,5,1)))))</f>
        <v/>
      </c>
      <c r="H119" s="19" t="n"/>
      <c r="I119" s="21" t="inlineStr">
        <is>
          <t>8월1주</t>
        </is>
      </c>
      <c r="J119" s="22">
        <f>IF($I119="","",IFERROR(DATE(기준정보!$C$7,VALUE(LEFT($I119,FIND("월",$I119)-1)),1+7*(VALUE(SUBSTITUTE(MID($I119,FIND("월",$I119)+1,5),"주",""))-1)),""))</f>
        <v/>
      </c>
      <c r="K119" s="22">
        <f>IF($J119="","",IF(AND(ISNUMBER(SEARCH("미얀마",$U119)),$J119-기준정보!$C$5&gt;=기준정보!$C$8,$J119-기준정보!$C$5&lt;=기준정보!$C$9),기준정보!$C$8-1,IF(AND(ISNUMBER(SEARCH("인도네시아",$U119)),$J119-기준정보!$C$5&gt;=기준정보!$C$10,$J119-기준정보!$C$5&lt;=기준정보!$C$11),기준정보!$C$10-1,$J119-기준정보!$C$5)))</f>
        <v/>
      </c>
      <c r="L119" s="23">
        <f>IF($K119="","",IF(ISNUMBER(SEARCH("미얀마",$U119)),MAX(0,MIN($K119,기준정보!$C$9)-MAX($K119-기준정보!$C$6,기준정보!$C$8)+1),IF(ISNUMBER(SEARCH("인도네시아",$U119)),MAX(0,MIN($K119,기준정보!$C$11)-MAX($K119-기준정보!$C$6,기준정보!$C$10)+1),0)))</f>
        <v/>
      </c>
      <c r="M119" s="22">
        <f>IF($K119="","",$K119-기준정보!$C$6-$L119)</f>
        <v/>
      </c>
      <c r="N119" s="24">
        <f>IF($M119="","",$M119-기준정보!$C$4)</f>
        <v/>
      </c>
      <c r="O119" s="21" t="n"/>
      <c r="P119" s="21" t="n"/>
      <c r="Q119" s="21" t="n"/>
      <c r="R119" s="25" t="n"/>
      <c r="S119" s="20">
        <f>IF($H119="","",IF($H119="C","본사(소재팀)",IF($H119="완","생산처","확인 필요")))</f>
        <v/>
      </c>
      <c r="T119" s="20" t="inlineStr">
        <is>
          <t>짠</t>
        </is>
      </c>
      <c r="U119" s="20" t="inlineStr">
        <is>
          <t>국내</t>
        </is>
      </c>
      <c r="V119" s="20" t="n"/>
      <c r="W119" s="26" t="n"/>
      <c r="X119" s="26" t="n"/>
      <c r="Y119" s="22" t="n"/>
      <c r="Z119" s="27" t="n">
        <v>500</v>
      </c>
      <c r="AA119" s="27" t="n">
        <v>6605000</v>
      </c>
      <c r="AB119" s="27" t="n">
        <v>35000000</v>
      </c>
      <c r="AC119" s="20" t="n"/>
      <c r="AD119" s="20">
        <f>IF($J119="","출고일 미정",IF($P119="X","작지 미발행",IF($P119="부분","작지 일부 미발행",IF(AND($R119&lt;&gt;"",$R119&gt;$M119),"소재입고 마감("&amp;TEXT($M119,"MM/DD")&amp;") 초과",IF($P119="","발행여부 확인 필요",IF($R119="","소재 입고일정 확인 필요","정상"))))))</f>
        <v/>
      </c>
      <c r="AE119" s="19">
        <f>IF($J119="","",IF(OR(LEFT($AD119,2)="작지",LEFT($AD119,4)="소재입고"),IF(LEFT($G119,1)="A","★ 납기위험(A코드)","◆ 지연주의"),IF($AD119="정상","✓ 정상","? 확인필요")))</f>
        <v/>
      </c>
      <c r="AF119" s="21" t="n"/>
      <c r="AG119" s="28" t="n"/>
    </row>
    <row r="120">
      <c r="A120" s="19" t="n">
        <v>116</v>
      </c>
      <c r="B120" s="20" t="inlineStr">
        <is>
          <t>최진민</t>
        </is>
      </c>
      <c r="C120" s="20" t="inlineStr">
        <is>
          <t>조이슬</t>
        </is>
      </c>
      <c r="D120" s="20" t="inlineStr">
        <is>
          <t>TLIBW27401</t>
        </is>
      </c>
      <c r="E120" s="20" t="inlineStr">
        <is>
          <t>남성 트라이자 슬림핏 반팔 베이스레이어 하의</t>
        </is>
      </c>
      <c r="F120" s="20" t="inlineStr">
        <is>
          <t>CO1/CO2</t>
        </is>
      </c>
      <c r="G120" s="19">
        <f>IF($D120="","",IF(MID($D120,5,1)="A","A(가을)",IF(MID($D120,5,1)="W","W(겨울)",IF(MID($D120,5,1)="X","X(사계절)",MID($D120,5,1)))))</f>
        <v/>
      </c>
      <c r="H120" s="19" t="n"/>
      <c r="I120" s="21" t="inlineStr">
        <is>
          <t>8월1주</t>
        </is>
      </c>
      <c r="J120" s="22">
        <f>IF($I120="","",IFERROR(DATE(기준정보!$C$7,VALUE(LEFT($I120,FIND("월",$I120)-1)),1+7*(VALUE(SUBSTITUTE(MID($I120,FIND("월",$I120)+1,5),"주",""))-1)),""))</f>
        <v/>
      </c>
      <c r="K120" s="22">
        <f>IF($J120="","",IF(AND(ISNUMBER(SEARCH("미얀마",$U120)),$J120-기준정보!$C$5&gt;=기준정보!$C$8,$J120-기준정보!$C$5&lt;=기준정보!$C$9),기준정보!$C$8-1,IF(AND(ISNUMBER(SEARCH("인도네시아",$U120)),$J120-기준정보!$C$5&gt;=기준정보!$C$10,$J120-기준정보!$C$5&lt;=기준정보!$C$11),기준정보!$C$10-1,$J120-기준정보!$C$5)))</f>
        <v/>
      </c>
      <c r="L120" s="23">
        <f>IF($K120="","",IF(ISNUMBER(SEARCH("미얀마",$U120)),MAX(0,MIN($K120,기준정보!$C$9)-MAX($K120-기준정보!$C$6,기준정보!$C$8)+1),IF(ISNUMBER(SEARCH("인도네시아",$U120)),MAX(0,MIN($K120,기준정보!$C$11)-MAX($K120-기준정보!$C$6,기준정보!$C$10)+1),0)))</f>
        <v/>
      </c>
      <c r="M120" s="22">
        <f>IF($K120="","",$K120-기준정보!$C$6-$L120)</f>
        <v/>
      </c>
      <c r="N120" s="24">
        <f>IF($M120="","",$M120-기준정보!$C$4)</f>
        <v/>
      </c>
      <c r="O120" s="21" t="n"/>
      <c r="P120" s="21" t="n"/>
      <c r="Q120" s="21" t="n"/>
      <c r="R120" s="25" t="n"/>
      <c r="S120" s="20">
        <f>IF($H120="","",IF($H120="C","본사(소재팀)",IF($H120="완","생산처","확인 필요")))</f>
        <v/>
      </c>
      <c r="T120" s="20" t="inlineStr">
        <is>
          <t>IKG</t>
        </is>
      </c>
      <c r="U120" s="20" t="inlineStr">
        <is>
          <t>인도네시아</t>
        </is>
      </c>
      <c r="V120" s="20" t="n"/>
      <c r="W120" s="26" t="n"/>
      <c r="X120" s="26" t="n"/>
      <c r="Y120" s="22" t="n"/>
      <c r="Z120" s="27" t="n">
        <v>1600</v>
      </c>
      <c r="AA120" s="27" t="n">
        <v>27411200</v>
      </c>
      <c r="AB120" s="27" t="n">
        <v>124800000</v>
      </c>
      <c r="AC120" s="20" t="n"/>
      <c r="AD120" s="20">
        <f>IF($J120="","출고일 미정",IF($P120="X","작지 미발행",IF($P120="부분","작지 일부 미발행",IF(AND($R120&lt;&gt;"",$R120&gt;$M120),"소재입고 마감("&amp;TEXT($M120,"MM/DD")&amp;") 초과",IF($P120="","발행여부 확인 필요",IF($R120="","소재 입고일정 확인 필요","정상"))))))</f>
        <v/>
      </c>
      <c r="AE120" s="19">
        <f>IF($J120="","",IF(OR(LEFT($AD120,2)="작지",LEFT($AD120,4)="소재입고"),IF(LEFT($G120,1)="A","★ 납기위험(A코드)","◆ 지연주의"),IF($AD120="정상","✓ 정상","? 확인필요")))</f>
        <v/>
      </c>
      <c r="AF120" s="21" t="n"/>
      <c r="AG120" s="28" t="n"/>
    </row>
    <row r="121">
      <c r="A121" s="19" t="n">
        <v>117</v>
      </c>
      <c r="B121" s="20" t="inlineStr">
        <is>
          <t>최진민</t>
        </is>
      </c>
      <c r="C121" s="20" t="inlineStr">
        <is>
          <t>조이슬</t>
        </is>
      </c>
      <c r="D121" s="20" t="inlineStr">
        <is>
          <t>TLICW27401</t>
        </is>
      </c>
      <c r="E121" s="20" t="inlineStr">
        <is>
          <t>남성 트라이자 슬림핏 반팔 베이스레이어 상의</t>
        </is>
      </c>
      <c r="F121" s="20" t="inlineStr">
        <is>
          <t>CO1/CO2</t>
        </is>
      </c>
      <c r="G121" s="19">
        <f>IF($D121="","",IF(MID($D121,5,1)="A","A(가을)",IF(MID($D121,5,1)="W","W(겨울)",IF(MID($D121,5,1)="X","X(사계절)",MID($D121,5,1)))))</f>
        <v/>
      </c>
      <c r="H121" s="19" t="n"/>
      <c r="I121" s="21" t="inlineStr">
        <is>
          <t>8월1주</t>
        </is>
      </c>
      <c r="J121" s="22">
        <f>IF($I121="","",IFERROR(DATE(기준정보!$C$7,VALUE(LEFT($I121,FIND("월",$I121)-1)),1+7*(VALUE(SUBSTITUTE(MID($I121,FIND("월",$I121)+1,5),"주",""))-1)),""))</f>
        <v/>
      </c>
      <c r="K121" s="22">
        <f>IF($J121="","",IF(AND(ISNUMBER(SEARCH("미얀마",$U121)),$J121-기준정보!$C$5&gt;=기준정보!$C$8,$J121-기준정보!$C$5&lt;=기준정보!$C$9),기준정보!$C$8-1,IF(AND(ISNUMBER(SEARCH("인도네시아",$U121)),$J121-기준정보!$C$5&gt;=기준정보!$C$10,$J121-기준정보!$C$5&lt;=기준정보!$C$11),기준정보!$C$10-1,$J121-기준정보!$C$5)))</f>
        <v/>
      </c>
      <c r="L121" s="23">
        <f>IF($K121="","",IF(ISNUMBER(SEARCH("미얀마",$U121)),MAX(0,MIN($K121,기준정보!$C$9)-MAX($K121-기준정보!$C$6,기준정보!$C$8)+1),IF(ISNUMBER(SEARCH("인도네시아",$U121)),MAX(0,MIN($K121,기준정보!$C$11)-MAX($K121-기준정보!$C$6,기준정보!$C$10)+1),0)))</f>
        <v/>
      </c>
      <c r="M121" s="22">
        <f>IF($K121="","",$K121-기준정보!$C$6-$L121)</f>
        <v/>
      </c>
      <c r="N121" s="24">
        <f>IF($M121="","",$M121-기준정보!$C$4)</f>
        <v/>
      </c>
      <c r="O121" s="21" t="n"/>
      <c r="P121" s="21" t="n"/>
      <c r="Q121" s="21" t="n"/>
      <c r="R121" s="25" t="n"/>
      <c r="S121" s="20">
        <f>IF($H121="","",IF($H121="C","본사(소재팀)",IF($H121="완","생산처","확인 필요")))</f>
        <v/>
      </c>
      <c r="T121" s="20" t="inlineStr">
        <is>
          <t>IKG</t>
        </is>
      </c>
      <c r="U121" s="20" t="inlineStr">
        <is>
          <t>인도네시아</t>
        </is>
      </c>
      <c r="V121" s="20" t="n"/>
      <c r="W121" s="26" t="n"/>
      <c r="X121" s="26" t="n"/>
      <c r="Y121" s="22" t="n"/>
      <c r="Z121" s="27" t="n">
        <v>1500</v>
      </c>
      <c r="AA121" s="27" t="n">
        <v>24363000</v>
      </c>
      <c r="AB121" s="27" t="n">
        <v>132000000</v>
      </c>
      <c r="AC121" s="20" t="n"/>
      <c r="AD121" s="20">
        <f>IF($J121="","출고일 미정",IF($P121="X","작지 미발행",IF($P121="부분","작지 일부 미발행",IF(AND($R121&lt;&gt;"",$R121&gt;$M121),"소재입고 마감("&amp;TEXT($M121,"MM/DD")&amp;") 초과",IF($P121="","발행여부 확인 필요",IF($R121="","소재 입고일정 확인 필요","정상"))))))</f>
        <v/>
      </c>
      <c r="AE121" s="19">
        <f>IF($J121="","",IF(OR(LEFT($AD121,2)="작지",LEFT($AD121,4)="소재입고"),IF(LEFT($G121,1)="A","★ 납기위험(A코드)","◆ 지연주의"),IF($AD121="정상","✓ 정상","? 확인필요")))</f>
        <v/>
      </c>
      <c r="AF121" s="21" t="n"/>
      <c r="AG121" s="28" t="n"/>
    </row>
    <row r="122">
      <c r="A122" s="19" t="n">
        <v>118</v>
      </c>
      <c r="B122" s="20" t="inlineStr">
        <is>
          <t>김준래</t>
        </is>
      </c>
      <c r="C122" s="20" t="inlineStr">
        <is>
          <t>정희영</t>
        </is>
      </c>
      <c r="D122" s="20" t="inlineStr">
        <is>
          <t>TLTBW27609</t>
        </is>
      </c>
      <c r="E122" s="20" t="inlineStr">
        <is>
          <t>소로나 라운드넥 긴팔 티셔츠</t>
        </is>
      </c>
      <c r="F122" s="20" t="inlineStr">
        <is>
          <t>ECR/RBW/CHR</t>
        </is>
      </c>
      <c r="G122" s="19">
        <f>IF($D122="","",IF(MID($D122,5,1)="A","A(가을)",IF(MID($D122,5,1)="W","W(겨울)",IF(MID($D122,5,1)="X","X(사계절)",MID($D122,5,1)))))</f>
        <v/>
      </c>
      <c r="H122" s="19" t="inlineStr">
        <is>
          <t>완</t>
        </is>
      </c>
      <c r="I122" s="21" t="inlineStr">
        <is>
          <t>8월1주</t>
        </is>
      </c>
      <c r="J122" s="22">
        <f>IF($I122="","",IFERROR(DATE(기준정보!$C$7,VALUE(LEFT($I122,FIND("월",$I122)-1)),1+7*(VALUE(SUBSTITUTE(MID($I122,FIND("월",$I122)+1,5),"주",""))-1)),""))</f>
        <v/>
      </c>
      <c r="K122" s="22">
        <f>IF($J122="","",IF(AND(ISNUMBER(SEARCH("미얀마",$U122)),$J122-기준정보!$C$5&gt;=기준정보!$C$8,$J122-기준정보!$C$5&lt;=기준정보!$C$9),기준정보!$C$8-1,IF(AND(ISNUMBER(SEARCH("인도네시아",$U122)),$J122-기준정보!$C$5&gt;=기준정보!$C$10,$J122-기준정보!$C$5&lt;=기준정보!$C$11),기준정보!$C$10-1,$J122-기준정보!$C$5)))</f>
        <v/>
      </c>
      <c r="L122" s="23">
        <f>IF($K122="","",IF(ISNUMBER(SEARCH("미얀마",$U122)),MAX(0,MIN($K122,기준정보!$C$9)-MAX($K122-기준정보!$C$6,기준정보!$C$8)+1),IF(ISNUMBER(SEARCH("인도네시아",$U122)),MAX(0,MIN($K122,기준정보!$C$11)-MAX($K122-기준정보!$C$6,기준정보!$C$10)+1),0)))</f>
        <v/>
      </c>
      <c r="M122" s="22">
        <f>IF($K122="","",$K122-기준정보!$C$6-$L122)</f>
        <v/>
      </c>
      <c r="N122" s="24">
        <f>IF($M122="","",$M122-기준정보!$C$4)</f>
        <v/>
      </c>
      <c r="O122" s="21" t="n"/>
      <c r="P122" s="21" t="n"/>
      <c r="Q122" s="21" t="n"/>
      <c r="R122" s="25" t="n"/>
      <c r="S122" s="20">
        <f>IF($H122="","",IF($H122="C","본사(소재팀)",IF($H122="완","생산처","확인 필요")))</f>
        <v/>
      </c>
      <c r="T122" s="20" t="inlineStr">
        <is>
          <t>IKG</t>
        </is>
      </c>
      <c r="U122" s="20" t="inlineStr">
        <is>
          <t>인도네시아</t>
        </is>
      </c>
      <c r="V122" s="20" t="n"/>
      <c r="W122" s="26" t="n"/>
      <c r="X122" s="26" t="n"/>
      <c r="Y122" s="22" t="n"/>
      <c r="Z122" s="27" t="n">
        <v>6000</v>
      </c>
      <c r="AA122" s="27" t="n">
        <v>76506000</v>
      </c>
      <c r="AB122" s="27" t="n">
        <v>528000000</v>
      </c>
      <c r="AC122" s="20" t="n"/>
      <c r="AD122" s="20">
        <f>IF($J122="","출고일 미정",IF($P122="X","작지 미발행",IF($P122="부분","작지 일부 미발행",IF(AND($R122&lt;&gt;"",$R122&gt;$M122),"소재입고 마감("&amp;TEXT($M122,"MM/DD")&amp;") 초과",IF($P122="","발행여부 확인 필요",IF($R122="","소재 입고일정 확인 필요","정상"))))))</f>
        <v/>
      </c>
      <c r="AE122" s="19">
        <f>IF($J122="","",IF(OR(LEFT($AD122,2)="작지",LEFT($AD122,4)="소재입고"),IF(LEFT($G122,1)="A","★ 납기위험(A코드)","◆ 지연주의"),IF($AD122="정상","✓ 정상","? 확인필요")))</f>
        <v/>
      </c>
      <c r="AF122" s="21" t="n"/>
      <c r="AG122" s="28" t="n"/>
    </row>
    <row r="123">
      <c r="A123" s="19" t="n">
        <v>119</v>
      </c>
      <c r="B123" s="20" t="inlineStr">
        <is>
          <t>김준래</t>
        </is>
      </c>
      <c r="C123" s="20" t="inlineStr">
        <is>
          <t>정희영</t>
        </is>
      </c>
      <c r="D123" s="20" t="inlineStr">
        <is>
          <t>TNTBW27611</t>
        </is>
      </c>
      <c r="E123" s="20" t="inlineStr">
        <is>
          <t>남녀공용 상록수 그래픽 라운드넥 긴팔 티셔츠</t>
        </is>
      </c>
      <c r="F123" s="20" t="inlineStr">
        <is>
          <t>LML/DEB</t>
        </is>
      </c>
      <c r="G123" s="19">
        <f>IF($D123="","",IF(MID($D123,5,1)="A","A(가을)",IF(MID($D123,5,1)="W","W(겨울)",IF(MID($D123,5,1)="X","X(사계절)",MID($D123,5,1)))))</f>
        <v/>
      </c>
      <c r="H123" s="19" t="inlineStr">
        <is>
          <t>완</t>
        </is>
      </c>
      <c r="I123" s="21" t="inlineStr">
        <is>
          <t>8월1주</t>
        </is>
      </c>
      <c r="J123" s="22">
        <f>IF($I123="","",IFERROR(DATE(기준정보!$C$7,VALUE(LEFT($I123,FIND("월",$I123)-1)),1+7*(VALUE(SUBSTITUTE(MID($I123,FIND("월",$I123)+1,5),"주",""))-1)),""))</f>
        <v/>
      </c>
      <c r="K123" s="22">
        <f>IF($J123="","",IF(AND(ISNUMBER(SEARCH("미얀마",$U123)),$J123-기준정보!$C$5&gt;=기준정보!$C$8,$J123-기준정보!$C$5&lt;=기준정보!$C$9),기준정보!$C$8-1,IF(AND(ISNUMBER(SEARCH("인도네시아",$U123)),$J123-기준정보!$C$5&gt;=기준정보!$C$10,$J123-기준정보!$C$5&lt;=기준정보!$C$11),기준정보!$C$10-1,$J123-기준정보!$C$5)))</f>
        <v/>
      </c>
      <c r="L123" s="23">
        <f>IF($K123="","",IF(ISNUMBER(SEARCH("미얀마",$U123)),MAX(0,MIN($K123,기준정보!$C$9)-MAX($K123-기준정보!$C$6,기준정보!$C$8)+1),IF(ISNUMBER(SEARCH("인도네시아",$U123)),MAX(0,MIN($K123,기준정보!$C$11)-MAX($K123-기준정보!$C$6,기준정보!$C$10)+1),0)))</f>
        <v/>
      </c>
      <c r="M123" s="22">
        <f>IF($K123="","",$K123-기준정보!$C$6-$L123)</f>
        <v/>
      </c>
      <c r="N123" s="24">
        <f>IF($M123="","",$M123-기준정보!$C$4)</f>
        <v/>
      </c>
      <c r="O123" s="21" t="n"/>
      <c r="P123" s="21" t="n"/>
      <c r="Q123" s="21" t="n"/>
      <c r="R123" s="25" t="n"/>
      <c r="S123" s="20">
        <f>IF($H123="","",IF($H123="C","본사(소재팀)",IF($H123="완","생산처","확인 필요")))</f>
        <v/>
      </c>
      <c r="T123" s="20" t="inlineStr">
        <is>
          <t>IKG</t>
        </is>
      </c>
      <c r="U123" s="20" t="inlineStr">
        <is>
          <t>인도네시아</t>
        </is>
      </c>
      <c r="V123" s="20" t="n"/>
      <c r="W123" s="26" t="n"/>
      <c r="X123" s="26" t="n"/>
      <c r="Y123" s="22" t="n"/>
      <c r="Z123" s="27" t="n">
        <v>2000</v>
      </c>
      <c r="AA123" s="27" t="n">
        <v>27686000</v>
      </c>
      <c r="AB123" s="27" t="n">
        <v>196000000</v>
      </c>
      <c r="AC123" s="20" t="n"/>
      <c r="AD123" s="20">
        <f>IF($J123="","출고일 미정",IF($P123="X","작지 미발행",IF($P123="부분","작지 일부 미발행",IF(AND($R123&lt;&gt;"",$R123&gt;$M123),"소재입고 마감("&amp;TEXT($M123,"MM/DD")&amp;") 초과",IF($P123="","발행여부 확인 필요",IF($R123="","소재 입고일정 확인 필요","정상"))))))</f>
        <v/>
      </c>
      <c r="AE123" s="19">
        <f>IF($J123="","",IF(OR(LEFT($AD123,2)="작지",LEFT($AD123,4)="소재입고"),IF(LEFT($G123,1)="A","★ 납기위험(A코드)","◆ 지연주의"),IF($AD123="정상","✓ 정상","? 확인필요")))</f>
        <v/>
      </c>
      <c r="AF123" s="21" t="n"/>
      <c r="AG123" s="28" t="n"/>
    </row>
    <row r="124">
      <c r="A124" s="19" t="n">
        <v>120</v>
      </c>
      <c r="B124" s="20" t="inlineStr">
        <is>
          <t>김준래</t>
        </is>
      </c>
      <c r="C124" s="20" t="inlineStr">
        <is>
          <t>정희영</t>
        </is>
      </c>
      <c r="D124" s="20" t="inlineStr">
        <is>
          <t>TNTBW27617</t>
        </is>
      </c>
      <c r="E124" s="20" t="inlineStr">
        <is>
          <t>남녀공용 상록수 그래픽 라운드넥 긴팔 티셔츠</t>
        </is>
      </c>
      <c r="F124" s="20" t="inlineStr">
        <is>
          <t>LML/DEB</t>
        </is>
      </c>
      <c r="G124" s="19">
        <f>IF($D124="","",IF(MID($D124,5,1)="A","A(가을)",IF(MID($D124,5,1)="W","W(겨울)",IF(MID($D124,5,1)="X","X(사계절)",MID($D124,5,1)))))</f>
        <v/>
      </c>
      <c r="H124" s="19" t="inlineStr">
        <is>
          <t>완</t>
        </is>
      </c>
      <c r="I124" s="21" t="inlineStr">
        <is>
          <t>8월1주</t>
        </is>
      </c>
      <c r="J124" s="22">
        <f>IF($I124="","",IFERROR(DATE(기준정보!$C$7,VALUE(LEFT($I124,FIND("월",$I124)-1)),1+7*(VALUE(SUBSTITUTE(MID($I124,FIND("월",$I124)+1,5),"주",""))-1)),""))</f>
        <v/>
      </c>
      <c r="K124" s="22">
        <f>IF($J124="","",IF(AND(ISNUMBER(SEARCH("미얀마",$U124)),$J124-기준정보!$C$5&gt;=기준정보!$C$8,$J124-기준정보!$C$5&lt;=기준정보!$C$9),기준정보!$C$8-1,IF(AND(ISNUMBER(SEARCH("인도네시아",$U124)),$J124-기준정보!$C$5&gt;=기준정보!$C$10,$J124-기준정보!$C$5&lt;=기준정보!$C$11),기준정보!$C$10-1,$J124-기준정보!$C$5)))</f>
        <v/>
      </c>
      <c r="L124" s="23">
        <f>IF($K124="","",IF(ISNUMBER(SEARCH("미얀마",$U124)),MAX(0,MIN($K124,기준정보!$C$9)-MAX($K124-기준정보!$C$6,기준정보!$C$8)+1),IF(ISNUMBER(SEARCH("인도네시아",$U124)),MAX(0,MIN($K124,기준정보!$C$11)-MAX($K124-기준정보!$C$6,기준정보!$C$10)+1),0)))</f>
        <v/>
      </c>
      <c r="M124" s="22">
        <f>IF($K124="","",$K124-기준정보!$C$6-$L124)</f>
        <v/>
      </c>
      <c r="N124" s="24">
        <f>IF($M124="","",$M124-기준정보!$C$4)</f>
        <v/>
      </c>
      <c r="O124" s="21" t="n"/>
      <c r="P124" s="21" t="n"/>
      <c r="Q124" s="21" t="n"/>
      <c r="R124" s="25" t="n"/>
      <c r="S124" s="20">
        <f>IF($H124="","",IF($H124="C","본사(소재팀)",IF($H124="완","생산처","확인 필요")))</f>
        <v/>
      </c>
      <c r="T124" s="20" t="inlineStr">
        <is>
          <t>IKG</t>
        </is>
      </c>
      <c r="U124" s="20" t="inlineStr">
        <is>
          <t>인도네시아</t>
        </is>
      </c>
      <c r="V124" s="20" t="n"/>
      <c r="W124" s="26" t="n"/>
      <c r="X124" s="26" t="n"/>
      <c r="Y124" s="22" t="n"/>
      <c r="Z124" s="27" t="n">
        <v>2000</v>
      </c>
      <c r="AA124" s="27" t="n">
        <v>27686000</v>
      </c>
      <c r="AB124" s="27" t="n">
        <v>196000000</v>
      </c>
      <c r="AC124" s="20" t="n"/>
      <c r="AD124" s="20">
        <f>IF($J124="","출고일 미정",IF($P124="X","작지 미발행",IF($P124="부분","작지 일부 미발행",IF(AND($R124&lt;&gt;"",$R124&gt;$M124),"소재입고 마감("&amp;TEXT($M124,"MM/DD")&amp;") 초과",IF($P124="","발행여부 확인 필요",IF($R124="","소재 입고일정 확인 필요","정상"))))))</f>
        <v/>
      </c>
      <c r="AE124" s="19">
        <f>IF($J124="","",IF(OR(LEFT($AD124,2)="작지",LEFT($AD124,4)="소재입고"),IF(LEFT($G124,1)="A","★ 납기위험(A코드)","◆ 지연주의"),IF($AD124="정상","✓ 정상","? 확인필요")))</f>
        <v/>
      </c>
      <c r="AF124" s="21" t="n"/>
      <c r="AG124" s="28" t="n"/>
    </row>
    <row r="125">
      <c r="A125" s="19" t="n">
        <v>121</v>
      </c>
      <c r="B125" s="20" t="inlineStr">
        <is>
          <t>정영준</t>
        </is>
      </c>
      <c r="C125" s="20" t="inlineStr">
        <is>
          <t>서은미</t>
        </is>
      </c>
      <c r="D125" s="20" t="inlineStr">
        <is>
          <t>TVTBW27612</t>
        </is>
      </c>
      <c r="E125" s="20" t="inlineStr">
        <is>
          <t>여성 베이직 소로나 긴팔 라운드 티셔츠</t>
        </is>
      </c>
      <c r="F125" s="20" t="inlineStr">
        <is>
          <t>CO1/CO2</t>
        </is>
      </c>
      <c r="G125" s="19">
        <f>IF($D125="","",IF(MID($D125,5,1)="A","A(가을)",IF(MID($D125,5,1)="W","W(겨울)",IF(MID($D125,5,1)="X","X(사계절)",MID($D125,5,1)))))</f>
        <v/>
      </c>
      <c r="H125" s="19" t="inlineStr">
        <is>
          <t>레귤러</t>
        </is>
      </c>
      <c r="I125" s="21" t="inlineStr">
        <is>
          <t>8월1주</t>
        </is>
      </c>
      <c r="J125" s="22">
        <f>IF($I125="","",IFERROR(DATE(기준정보!$C$7,VALUE(LEFT($I125,FIND("월",$I125)-1)),1+7*(VALUE(SUBSTITUTE(MID($I125,FIND("월",$I125)+1,5),"주",""))-1)),""))</f>
        <v/>
      </c>
      <c r="K125" s="22">
        <f>IF($J125="","",IF(AND(ISNUMBER(SEARCH("미얀마",$U125)),$J125-기준정보!$C$5&gt;=기준정보!$C$8,$J125-기준정보!$C$5&lt;=기준정보!$C$9),기준정보!$C$8-1,IF(AND(ISNUMBER(SEARCH("인도네시아",$U125)),$J125-기준정보!$C$5&gt;=기준정보!$C$10,$J125-기준정보!$C$5&lt;=기준정보!$C$11),기준정보!$C$10-1,$J125-기준정보!$C$5)))</f>
        <v/>
      </c>
      <c r="L125" s="23">
        <f>IF($K125="","",IF(ISNUMBER(SEARCH("미얀마",$U125)),MAX(0,MIN($K125,기준정보!$C$9)-MAX($K125-기준정보!$C$6,기준정보!$C$8)+1),IF(ISNUMBER(SEARCH("인도네시아",$U125)),MAX(0,MIN($K125,기준정보!$C$11)-MAX($K125-기준정보!$C$6,기준정보!$C$10)+1),0)))</f>
        <v/>
      </c>
      <c r="M125" s="22">
        <f>IF($K125="","",$K125-기준정보!$C$6-$L125)</f>
        <v/>
      </c>
      <c r="N125" s="24">
        <f>IF($M125="","",$M125-기준정보!$C$4)</f>
        <v/>
      </c>
      <c r="O125" s="21" t="n"/>
      <c r="P125" s="21" t="n"/>
      <c r="Q125" s="21" t="n"/>
      <c r="R125" s="25" t="n"/>
      <c r="S125" s="20">
        <f>IF($H125="","",IF($H125="C","본사(소재팀)",IF($H125="완","생산처","확인 필요")))</f>
        <v/>
      </c>
      <c r="T125" s="20" t="inlineStr">
        <is>
          <t>IKG</t>
        </is>
      </c>
      <c r="U125" s="20" t="inlineStr">
        <is>
          <t>인도네시아</t>
        </is>
      </c>
      <c r="V125" s="20" t="n"/>
      <c r="W125" s="26" t="n"/>
      <c r="X125" s="26" t="n"/>
      <c r="Y125" s="22" t="n"/>
      <c r="Z125" s="27" t="n">
        <v>2000</v>
      </c>
      <c r="AA125" s="27" t="n">
        <v>22000000</v>
      </c>
      <c r="AB125" s="27" t="n">
        <v>156000000</v>
      </c>
      <c r="AC125" s="20" t="n"/>
      <c r="AD125" s="20">
        <f>IF($J125="","출고일 미정",IF($P125="X","작지 미발행",IF($P125="부분","작지 일부 미발행",IF(AND($R125&lt;&gt;"",$R125&gt;$M125),"소재입고 마감("&amp;TEXT($M125,"MM/DD")&amp;") 초과",IF($P125="","발행여부 확인 필요",IF($R125="","소재 입고일정 확인 필요","정상"))))))</f>
        <v/>
      </c>
      <c r="AE125" s="19">
        <f>IF($J125="","",IF(OR(LEFT($AD125,2)="작지",LEFT($AD125,4)="소재입고"),IF(LEFT($G125,1)="A","★ 납기위험(A코드)","◆ 지연주의"),IF($AD125="정상","✓ 정상","? 확인필요")))</f>
        <v/>
      </c>
      <c r="AF125" s="21" t="n"/>
      <c r="AG125" s="28" t="n"/>
    </row>
    <row r="126">
      <c r="A126" s="19" t="n">
        <v>122</v>
      </c>
      <c r="B126" s="20" t="inlineStr">
        <is>
          <t>이재헌</t>
        </is>
      </c>
      <c r="C126" s="20" t="inlineStr">
        <is>
          <t>조이슬</t>
        </is>
      </c>
      <c r="D126" s="20" t="inlineStr">
        <is>
          <t>TLJJW27441</t>
        </is>
      </c>
      <c r="E126" s="20" t="inlineStr">
        <is>
          <t>남성 OCTA 안감 스탠드넥 인슐레이션 재킷</t>
        </is>
      </c>
      <c r="F126" s="20" t="inlineStr">
        <is>
          <t>DEB/DMS</t>
        </is>
      </c>
      <c r="G126" s="19">
        <f>IF($D126="","",IF(MID($D126,5,1)="A","A(가을)",IF(MID($D126,5,1)="W","W(겨울)",IF(MID($D126,5,1)="X","X(사계절)",MID($D126,5,1)))))</f>
        <v/>
      </c>
      <c r="H126" s="19" t="n"/>
      <c r="I126" s="21" t="inlineStr">
        <is>
          <t>8월2주</t>
        </is>
      </c>
      <c r="J126" s="22">
        <f>IF($I126="","",IFERROR(DATE(기준정보!$C$7,VALUE(LEFT($I126,FIND("월",$I126)-1)),1+7*(VALUE(SUBSTITUTE(MID($I126,FIND("월",$I126)+1,5),"주",""))-1)),""))</f>
        <v/>
      </c>
      <c r="K126" s="22">
        <f>IF($J126="","",IF(AND(ISNUMBER(SEARCH("미얀마",$U126)),$J126-기준정보!$C$5&gt;=기준정보!$C$8,$J126-기준정보!$C$5&lt;=기준정보!$C$9),기준정보!$C$8-1,IF(AND(ISNUMBER(SEARCH("인도네시아",$U126)),$J126-기준정보!$C$5&gt;=기준정보!$C$10,$J126-기준정보!$C$5&lt;=기준정보!$C$11),기준정보!$C$10-1,$J126-기준정보!$C$5)))</f>
        <v/>
      </c>
      <c r="L126" s="23">
        <f>IF($K126="","",IF(ISNUMBER(SEARCH("미얀마",$U126)),MAX(0,MIN($K126,기준정보!$C$9)-MAX($K126-기준정보!$C$6,기준정보!$C$8)+1),IF(ISNUMBER(SEARCH("인도네시아",$U126)),MAX(0,MIN($K126,기준정보!$C$11)-MAX($K126-기준정보!$C$6,기준정보!$C$10)+1),0)))</f>
        <v/>
      </c>
      <c r="M126" s="22">
        <f>IF($K126="","",$K126-기준정보!$C$6-$L126)</f>
        <v/>
      </c>
      <c r="N126" s="24">
        <f>IF($M126="","",$M126-기준정보!$C$4)</f>
        <v/>
      </c>
      <c r="O126" s="21" t="n"/>
      <c r="P126" s="21" t="n"/>
      <c r="Q126" s="21" t="n"/>
      <c r="R126" s="25" t="n"/>
      <c r="S126" s="20">
        <f>IF($H126="","",IF($H126="C","본사(소재팀)",IF($H126="완","생산처","확인 필요")))</f>
        <v/>
      </c>
      <c r="T126" s="20" t="inlineStr">
        <is>
          <t>원전</t>
        </is>
      </c>
      <c r="U126" s="20" t="inlineStr">
        <is>
          <t>미얀마</t>
        </is>
      </c>
      <c r="V126" s="20" t="n"/>
      <c r="W126" s="26" t="n"/>
      <c r="X126" s="26" t="n"/>
      <c r="Y126" s="22" t="n"/>
      <c r="Z126" s="27" t="n">
        <v>2500</v>
      </c>
      <c r="AA126" s="27" t="n">
        <v>132500000</v>
      </c>
      <c r="AB126" s="27" t="n">
        <v>675000000</v>
      </c>
      <c r="AC126" s="20" t="n"/>
      <c r="AD126" s="20">
        <f>IF($J126="","출고일 미정",IF($P126="X","작지 미발행",IF($P126="부분","작지 일부 미발행",IF(AND($R126&lt;&gt;"",$R126&gt;$M126),"소재입고 마감("&amp;TEXT($M126,"MM/DD")&amp;") 초과",IF($P126="","발행여부 확인 필요",IF($R126="","소재 입고일정 확인 필요","정상"))))))</f>
        <v/>
      </c>
      <c r="AE126" s="19">
        <f>IF($J126="","",IF(OR(LEFT($AD126,2)="작지",LEFT($AD126,4)="소재입고"),IF(LEFT($G126,1)="A","★ 납기위험(A코드)","◆ 지연주의"),IF($AD126="정상","✓ 정상","? 확인필요")))</f>
        <v/>
      </c>
      <c r="AF126" s="21" t="n"/>
      <c r="AG126" s="28" t="n"/>
    </row>
    <row r="127">
      <c r="A127" s="19" t="n">
        <v>123</v>
      </c>
      <c r="B127" s="20" t="inlineStr">
        <is>
          <t>박지인</t>
        </is>
      </c>
      <c r="C127" s="20" t="inlineStr">
        <is>
          <t>권혁일</t>
        </is>
      </c>
      <c r="D127" s="20" t="inlineStr">
        <is>
          <t>TVJJW27442</t>
        </is>
      </c>
      <c r="E127" s="20" t="inlineStr">
        <is>
          <t>여성 옥타 후드형 인슐레이션 재킷</t>
        </is>
      </c>
      <c r="F127" s="20" t="inlineStr">
        <is>
          <t>CTP/DNV</t>
        </is>
      </c>
      <c r="G127" s="19">
        <f>IF($D127="","",IF(MID($D127,5,1)="A","A(가을)",IF(MID($D127,5,1)="W","W(겨울)",IF(MID($D127,5,1)="X","X(사계절)",MID($D127,5,1)))))</f>
        <v/>
      </c>
      <c r="H127" s="19" t="n"/>
      <c r="I127" s="21" t="inlineStr">
        <is>
          <t>8월2주</t>
        </is>
      </c>
      <c r="J127" s="22">
        <f>IF($I127="","",IFERROR(DATE(기준정보!$C$7,VALUE(LEFT($I127,FIND("월",$I127)-1)),1+7*(VALUE(SUBSTITUTE(MID($I127,FIND("월",$I127)+1,5),"주",""))-1)),""))</f>
        <v/>
      </c>
      <c r="K127" s="22">
        <f>IF($J127="","",IF(AND(ISNUMBER(SEARCH("미얀마",$U127)),$J127-기준정보!$C$5&gt;=기준정보!$C$8,$J127-기준정보!$C$5&lt;=기준정보!$C$9),기준정보!$C$8-1,IF(AND(ISNUMBER(SEARCH("인도네시아",$U127)),$J127-기준정보!$C$5&gt;=기준정보!$C$10,$J127-기준정보!$C$5&lt;=기준정보!$C$11),기준정보!$C$10-1,$J127-기준정보!$C$5)))</f>
        <v/>
      </c>
      <c r="L127" s="23">
        <f>IF($K127="","",IF(ISNUMBER(SEARCH("미얀마",$U127)),MAX(0,MIN($K127,기준정보!$C$9)-MAX($K127-기준정보!$C$6,기준정보!$C$8)+1),IF(ISNUMBER(SEARCH("인도네시아",$U127)),MAX(0,MIN($K127,기준정보!$C$11)-MAX($K127-기준정보!$C$6,기준정보!$C$10)+1),0)))</f>
        <v/>
      </c>
      <c r="M127" s="22">
        <f>IF($K127="","",$K127-기준정보!$C$6-$L127)</f>
        <v/>
      </c>
      <c r="N127" s="24">
        <f>IF($M127="","",$M127-기준정보!$C$4)</f>
        <v/>
      </c>
      <c r="O127" s="21" t="n"/>
      <c r="P127" s="21" t="n"/>
      <c r="Q127" s="21" t="n"/>
      <c r="R127" s="25" t="n"/>
      <c r="S127" s="20">
        <f>IF($H127="","",IF($H127="C","본사(소재팀)",IF($H127="완","생산처","확인 필요")))</f>
        <v/>
      </c>
      <c r="T127" s="20" t="inlineStr">
        <is>
          <t>원전</t>
        </is>
      </c>
      <c r="U127" s="20" t="inlineStr">
        <is>
          <t>인도네시아</t>
        </is>
      </c>
      <c r="V127" s="20" t="n"/>
      <c r="W127" s="26" t="n"/>
      <c r="X127" s="26" t="n"/>
      <c r="Y127" s="22" t="n"/>
      <c r="Z127" s="27" t="n">
        <v>2000</v>
      </c>
      <c r="AA127" s="27" t="n">
        <v>104598000</v>
      </c>
      <c r="AB127" s="27" t="n">
        <v>540000000</v>
      </c>
      <c r="AC127" s="20" t="n"/>
      <c r="AD127" s="20">
        <f>IF($J127="","출고일 미정",IF($P127="X","작지 미발행",IF($P127="부분","작지 일부 미발행",IF(AND($R127&lt;&gt;"",$R127&gt;$M127),"소재입고 마감("&amp;TEXT($M127,"MM/DD")&amp;") 초과",IF($P127="","발행여부 확인 필요",IF($R127="","소재 입고일정 확인 필요","정상"))))))</f>
        <v/>
      </c>
      <c r="AE127" s="19">
        <f>IF($J127="","",IF(OR(LEFT($AD127,2)="작지",LEFT($AD127,4)="소재입고"),IF(LEFT($G127,1)="A","★ 납기위험(A코드)","◆ 지연주의"),IF($AD127="정상","✓ 정상","? 확인필요")))</f>
        <v/>
      </c>
      <c r="AF127" s="21" t="n"/>
      <c r="AG127" s="28" t="n"/>
    </row>
    <row r="128">
      <c r="A128" s="19" t="n">
        <v>124</v>
      </c>
      <c r="B128" s="20" t="inlineStr">
        <is>
          <t>최진민</t>
        </is>
      </c>
      <c r="C128" s="20" t="inlineStr">
        <is>
          <t>김지원</t>
        </is>
      </c>
      <c r="D128" s="20" t="inlineStr">
        <is>
          <t>JKIBW27042</t>
        </is>
      </c>
      <c r="E128" s="20" t="inlineStr">
        <is>
          <t>여성 메리노울 슬림핏 베이스레이어 하의</t>
        </is>
      </c>
      <c r="F128" s="20" t="inlineStr">
        <is>
          <t>DEB</t>
        </is>
      </c>
      <c r="G128" s="19">
        <f>IF($D128="","",IF(MID($D128,5,1)="A","A(가을)",IF(MID($D128,5,1)="W","W(겨울)",IF(MID($D128,5,1)="X","X(사계절)",MID($D128,5,1)))))</f>
        <v/>
      </c>
      <c r="H128" s="19" t="inlineStr">
        <is>
          <t>완</t>
        </is>
      </c>
      <c r="I128" s="21" t="inlineStr">
        <is>
          <t>8월3주</t>
        </is>
      </c>
      <c r="J128" s="22">
        <f>IF($I128="","",IFERROR(DATE(기준정보!$C$7,VALUE(LEFT($I128,FIND("월",$I128)-1)),1+7*(VALUE(SUBSTITUTE(MID($I128,FIND("월",$I128)+1,5),"주",""))-1)),""))</f>
        <v/>
      </c>
      <c r="K128" s="22">
        <f>IF($J128="","",IF(AND(ISNUMBER(SEARCH("미얀마",$U128)),$J128-기준정보!$C$5&gt;=기준정보!$C$8,$J128-기준정보!$C$5&lt;=기준정보!$C$9),기준정보!$C$8-1,IF(AND(ISNUMBER(SEARCH("인도네시아",$U128)),$J128-기준정보!$C$5&gt;=기준정보!$C$10,$J128-기준정보!$C$5&lt;=기준정보!$C$11),기준정보!$C$10-1,$J128-기준정보!$C$5)))</f>
        <v/>
      </c>
      <c r="L128" s="23">
        <f>IF($K128="","",IF(ISNUMBER(SEARCH("미얀마",$U128)),MAX(0,MIN($K128,기준정보!$C$9)-MAX($K128-기준정보!$C$6,기준정보!$C$8)+1),IF(ISNUMBER(SEARCH("인도네시아",$U128)),MAX(0,MIN($K128,기준정보!$C$11)-MAX($K128-기준정보!$C$6,기준정보!$C$10)+1),0)))</f>
        <v/>
      </c>
      <c r="M128" s="22">
        <f>IF($K128="","",$K128-기준정보!$C$6-$L128)</f>
        <v/>
      </c>
      <c r="N128" s="24">
        <f>IF($M128="","",$M128-기준정보!$C$4)</f>
        <v/>
      </c>
      <c r="O128" s="21" t="n"/>
      <c r="P128" s="21" t="n"/>
      <c r="Q128" s="21" t="n"/>
      <c r="R128" s="25" t="n"/>
      <c r="S128" s="20">
        <f>IF($H128="","",IF($H128="C","본사(소재팀)",IF($H128="완","생산처","확인 필요")))</f>
        <v/>
      </c>
      <c r="T128" s="20" t="inlineStr">
        <is>
          <t>Filati</t>
        </is>
      </c>
      <c r="U128" s="20" t="inlineStr">
        <is>
          <t>폴란드</t>
        </is>
      </c>
      <c r="V128" s="20" t="n"/>
      <c r="W128" s="26" t="n"/>
      <c r="X128" s="26" t="n"/>
      <c r="Y128" s="22" t="n"/>
      <c r="Z128" s="27" t="n">
        <v>300</v>
      </c>
      <c r="AA128" s="27" t="n">
        <v>9040800</v>
      </c>
      <c r="AB128" s="27" t="n">
        <v>38400000</v>
      </c>
      <c r="AC128" s="20" t="n"/>
      <c r="AD128" s="20">
        <f>IF($J128="","출고일 미정",IF($P128="X","작지 미발행",IF($P128="부분","작지 일부 미발행",IF(AND($R128&lt;&gt;"",$R128&gt;$M128),"소재입고 마감("&amp;TEXT($M128,"MM/DD")&amp;") 초과",IF($P128="","발행여부 확인 필요",IF($R128="","소재 입고일정 확인 필요","정상"))))))</f>
        <v/>
      </c>
      <c r="AE128" s="19">
        <f>IF($J128="","",IF(OR(LEFT($AD128,2)="작지",LEFT($AD128,4)="소재입고"),IF(LEFT($G128,1)="A","★ 납기위험(A코드)","◆ 지연주의"),IF($AD128="정상","✓ 정상","? 확인필요")))</f>
        <v/>
      </c>
      <c r="AF128" s="21" t="n"/>
      <c r="AG128" s="28" t="n"/>
    </row>
    <row r="129">
      <c r="A129" s="19" t="n">
        <v>125</v>
      </c>
      <c r="B129" s="20" t="inlineStr">
        <is>
          <t>최진민</t>
        </is>
      </c>
      <c r="C129" s="20" t="inlineStr">
        <is>
          <t>김지원</t>
        </is>
      </c>
      <c r="D129" s="20" t="inlineStr">
        <is>
          <t>JKICW27042</t>
        </is>
      </c>
      <c r="E129" s="20" t="inlineStr">
        <is>
          <t>여성 메리노울 슬림핏 바라클라바 베이스레이어 상의</t>
        </is>
      </c>
      <c r="F129" s="20" t="inlineStr">
        <is>
          <t>DEB/PEG</t>
        </is>
      </c>
      <c r="G129" s="19">
        <f>IF($D129="","",IF(MID($D129,5,1)="A","A(가을)",IF(MID($D129,5,1)="W","W(겨울)",IF(MID($D129,5,1)="X","X(사계절)",MID($D129,5,1)))))</f>
        <v/>
      </c>
      <c r="H129" s="19" t="inlineStr">
        <is>
          <t>완</t>
        </is>
      </c>
      <c r="I129" s="21" t="inlineStr">
        <is>
          <t>8월3주</t>
        </is>
      </c>
      <c r="J129" s="22">
        <f>IF($I129="","",IFERROR(DATE(기준정보!$C$7,VALUE(LEFT($I129,FIND("월",$I129)-1)),1+7*(VALUE(SUBSTITUTE(MID($I129,FIND("월",$I129)+1,5),"주",""))-1)),""))</f>
        <v/>
      </c>
      <c r="K129" s="22">
        <f>IF($J129="","",IF(AND(ISNUMBER(SEARCH("미얀마",$U129)),$J129-기준정보!$C$5&gt;=기준정보!$C$8,$J129-기준정보!$C$5&lt;=기준정보!$C$9),기준정보!$C$8-1,IF(AND(ISNUMBER(SEARCH("인도네시아",$U129)),$J129-기준정보!$C$5&gt;=기준정보!$C$10,$J129-기준정보!$C$5&lt;=기준정보!$C$11),기준정보!$C$10-1,$J129-기준정보!$C$5)))</f>
        <v/>
      </c>
      <c r="L129" s="23">
        <f>IF($K129="","",IF(ISNUMBER(SEARCH("미얀마",$U129)),MAX(0,MIN($K129,기준정보!$C$9)-MAX($K129-기준정보!$C$6,기준정보!$C$8)+1),IF(ISNUMBER(SEARCH("인도네시아",$U129)),MAX(0,MIN($K129,기준정보!$C$11)-MAX($K129-기준정보!$C$6,기준정보!$C$10)+1),0)))</f>
        <v/>
      </c>
      <c r="M129" s="22">
        <f>IF($K129="","",$K129-기준정보!$C$6-$L129)</f>
        <v/>
      </c>
      <c r="N129" s="24">
        <f>IF($M129="","",$M129-기준정보!$C$4)</f>
        <v/>
      </c>
      <c r="O129" s="21" t="n"/>
      <c r="P129" s="21" t="n"/>
      <c r="Q129" s="21" t="n"/>
      <c r="R129" s="25" t="n"/>
      <c r="S129" s="20">
        <f>IF($H129="","",IF($H129="C","본사(소재팀)",IF($H129="완","생산처","확인 필요")))</f>
        <v/>
      </c>
      <c r="T129" s="20" t="inlineStr">
        <is>
          <t>Filati</t>
        </is>
      </c>
      <c r="U129" s="20" t="inlineStr">
        <is>
          <t>폴란드</t>
        </is>
      </c>
      <c r="V129" s="20" t="n"/>
      <c r="W129" s="26" t="n"/>
      <c r="X129" s="26" t="n"/>
      <c r="Y129" s="22" t="n"/>
      <c r="Z129" s="27" t="n">
        <v>400</v>
      </c>
      <c r="AA129" s="27" t="n">
        <v>15200000</v>
      </c>
      <c r="AB129" s="27" t="n">
        <v>100000000</v>
      </c>
      <c r="AC129" s="20" t="n"/>
      <c r="AD129" s="20">
        <f>IF($J129="","출고일 미정",IF($P129="X","작지 미발행",IF($P129="부분","작지 일부 미발행",IF(AND($R129&lt;&gt;"",$R129&gt;$M129),"소재입고 마감("&amp;TEXT($M129,"MM/DD")&amp;") 초과",IF($P129="","발행여부 확인 필요",IF($R129="","소재 입고일정 확인 필요","정상"))))))</f>
        <v/>
      </c>
      <c r="AE129" s="19">
        <f>IF($J129="","",IF(OR(LEFT($AD129,2)="작지",LEFT($AD129,4)="소재입고"),IF(LEFT($G129,1)="A","★ 납기위험(A코드)","◆ 지연주의"),IF($AD129="정상","✓ 정상","? 확인필요")))</f>
        <v/>
      </c>
      <c r="AF129" s="21" t="n"/>
      <c r="AG129" s="28" t="n"/>
    </row>
    <row r="130">
      <c r="A130" s="19" t="n">
        <v>126</v>
      </c>
      <c r="B130" s="20" t="inlineStr">
        <is>
          <t>최진민</t>
        </is>
      </c>
      <c r="C130" s="20" t="inlineStr">
        <is>
          <t>김지원</t>
        </is>
      </c>
      <c r="D130" s="20" t="inlineStr">
        <is>
          <t>JKICW27054</t>
        </is>
      </c>
      <c r="E130" s="20" t="inlineStr">
        <is>
          <t>여성 메리노울 슬림핏 긴팔 베이스레이어 상의</t>
        </is>
      </c>
      <c r="F130" s="20" t="inlineStr">
        <is>
          <t>DEB/PEG</t>
        </is>
      </c>
      <c r="G130" s="19">
        <f>IF($D130="","",IF(MID($D130,5,1)="A","A(가을)",IF(MID($D130,5,1)="W","W(겨울)",IF(MID($D130,5,1)="X","X(사계절)",MID($D130,5,1)))))</f>
        <v/>
      </c>
      <c r="H130" s="19" t="inlineStr">
        <is>
          <t>완</t>
        </is>
      </c>
      <c r="I130" s="21" t="inlineStr">
        <is>
          <t>8월3주</t>
        </is>
      </c>
      <c r="J130" s="22">
        <f>IF($I130="","",IFERROR(DATE(기준정보!$C$7,VALUE(LEFT($I130,FIND("월",$I130)-1)),1+7*(VALUE(SUBSTITUTE(MID($I130,FIND("월",$I130)+1,5),"주",""))-1)),""))</f>
        <v/>
      </c>
      <c r="K130" s="22">
        <f>IF($J130="","",IF(AND(ISNUMBER(SEARCH("미얀마",$U130)),$J130-기준정보!$C$5&gt;=기준정보!$C$8,$J130-기준정보!$C$5&lt;=기준정보!$C$9),기준정보!$C$8-1,IF(AND(ISNUMBER(SEARCH("인도네시아",$U130)),$J130-기준정보!$C$5&gt;=기준정보!$C$10,$J130-기준정보!$C$5&lt;=기준정보!$C$11),기준정보!$C$10-1,$J130-기준정보!$C$5)))</f>
        <v/>
      </c>
      <c r="L130" s="23">
        <f>IF($K130="","",IF(ISNUMBER(SEARCH("미얀마",$U130)),MAX(0,MIN($K130,기준정보!$C$9)-MAX($K130-기준정보!$C$6,기준정보!$C$8)+1),IF(ISNUMBER(SEARCH("인도네시아",$U130)),MAX(0,MIN($K130,기준정보!$C$11)-MAX($K130-기준정보!$C$6,기준정보!$C$10)+1),0)))</f>
        <v/>
      </c>
      <c r="M130" s="22">
        <f>IF($K130="","",$K130-기준정보!$C$6-$L130)</f>
        <v/>
      </c>
      <c r="N130" s="24">
        <f>IF($M130="","",$M130-기준정보!$C$4)</f>
        <v/>
      </c>
      <c r="O130" s="21" t="n"/>
      <c r="P130" s="21" t="n"/>
      <c r="Q130" s="21" t="n"/>
      <c r="R130" s="25" t="n"/>
      <c r="S130" s="20">
        <f>IF($H130="","",IF($H130="C","본사(소재팀)",IF($H130="완","생산처","확인 필요")))</f>
        <v/>
      </c>
      <c r="T130" s="20" t="inlineStr">
        <is>
          <t>Filati</t>
        </is>
      </c>
      <c r="U130" s="20" t="inlineStr">
        <is>
          <t>폴란드</t>
        </is>
      </c>
      <c r="V130" s="20" t="n"/>
      <c r="W130" s="26" t="n"/>
      <c r="X130" s="26" t="n"/>
      <c r="Y130" s="22" t="n"/>
      <c r="Z130" s="27" t="n">
        <v>800</v>
      </c>
      <c r="AA130" s="27" t="n">
        <v>29896000</v>
      </c>
      <c r="AB130" s="27" t="n">
        <v>142400000</v>
      </c>
      <c r="AC130" s="20" t="n"/>
      <c r="AD130" s="20">
        <f>IF($J130="","출고일 미정",IF($P130="X","작지 미발행",IF($P130="부분","작지 일부 미발행",IF(AND($R130&lt;&gt;"",$R130&gt;$M130),"소재입고 마감("&amp;TEXT($M130,"MM/DD")&amp;") 초과",IF($P130="","발행여부 확인 필요",IF($R130="","소재 입고일정 확인 필요","정상"))))))</f>
        <v/>
      </c>
      <c r="AE130" s="19">
        <f>IF($J130="","",IF(OR(LEFT($AD130,2)="작지",LEFT($AD130,4)="소재입고"),IF(LEFT($G130,1)="A","★ 납기위험(A코드)","◆ 지연주의"),IF($AD130="정상","✓ 정상","? 확인필요")))</f>
        <v/>
      </c>
      <c r="AF130" s="21" t="n"/>
      <c r="AG130" s="28" t="n"/>
    </row>
    <row r="131">
      <c r="A131" s="19" t="n">
        <v>127</v>
      </c>
      <c r="B131" s="20" t="inlineStr">
        <is>
          <t>최진민</t>
        </is>
      </c>
      <c r="C131" s="20" t="inlineStr">
        <is>
          <t>김지원</t>
        </is>
      </c>
      <c r="D131" s="20" t="inlineStr">
        <is>
          <t>JKJGW27002</t>
        </is>
      </c>
      <c r="E131" s="20" t="inlineStr">
        <is>
          <t>여성 고어텍스 3L PRO 오버핏 방수 재킷</t>
        </is>
      </c>
      <c r="F131" s="20" t="inlineStr">
        <is>
          <t>EFL/PEG</t>
        </is>
      </c>
      <c r="G131" s="19">
        <f>IF($D131="","",IF(MID($D131,5,1)="A","A(가을)",IF(MID($D131,5,1)="W","W(겨울)",IF(MID($D131,5,1)="X","X(사계절)",MID($D131,5,1)))))</f>
        <v/>
      </c>
      <c r="H131" s="19" t="inlineStr">
        <is>
          <t>C</t>
        </is>
      </c>
      <c r="I131" s="21" t="inlineStr">
        <is>
          <t>8월3주</t>
        </is>
      </c>
      <c r="J131" s="22">
        <f>IF($I131="","",IFERROR(DATE(기준정보!$C$7,VALUE(LEFT($I131,FIND("월",$I131)-1)),1+7*(VALUE(SUBSTITUTE(MID($I131,FIND("월",$I131)+1,5),"주",""))-1)),""))</f>
        <v/>
      </c>
      <c r="K131" s="22">
        <f>IF($J131="","",IF(AND(ISNUMBER(SEARCH("미얀마",$U131)),$J131-기준정보!$C$5&gt;=기준정보!$C$8,$J131-기준정보!$C$5&lt;=기준정보!$C$9),기준정보!$C$8-1,IF(AND(ISNUMBER(SEARCH("인도네시아",$U131)),$J131-기준정보!$C$5&gt;=기준정보!$C$10,$J131-기준정보!$C$5&lt;=기준정보!$C$11),기준정보!$C$10-1,$J131-기준정보!$C$5)))</f>
        <v/>
      </c>
      <c r="L131" s="23">
        <f>IF($K131="","",IF(ISNUMBER(SEARCH("미얀마",$U131)),MAX(0,MIN($K131,기준정보!$C$9)-MAX($K131-기준정보!$C$6,기준정보!$C$8)+1),IF(ISNUMBER(SEARCH("인도네시아",$U131)),MAX(0,MIN($K131,기준정보!$C$11)-MAX($K131-기준정보!$C$6,기준정보!$C$10)+1),0)))</f>
        <v/>
      </c>
      <c r="M131" s="22">
        <f>IF($K131="","",$K131-기준정보!$C$6-$L131)</f>
        <v/>
      </c>
      <c r="N131" s="24">
        <f>IF($M131="","",$M131-기준정보!$C$4)</f>
        <v/>
      </c>
      <c r="O131" s="21" t="n"/>
      <c r="P131" s="21" t="n"/>
      <c r="Q131" s="21" t="n"/>
      <c r="R131" s="25" t="n"/>
      <c r="S131" s="20">
        <f>IF($H131="","",IF($H131="C","본사(소재팀)",IF($H131="완","생산처","확인 필요")))</f>
        <v/>
      </c>
      <c r="T131" s="20" t="inlineStr">
        <is>
          <t>포마트</t>
        </is>
      </c>
      <c r="U131" s="20" t="inlineStr">
        <is>
          <t>베트남</t>
        </is>
      </c>
      <c r="V131" s="20" t="n"/>
      <c r="W131" s="26" t="n"/>
      <c r="X131" s="26" t="n"/>
      <c r="Y131" s="22" t="n"/>
      <c r="Z131" s="27" t="n">
        <v>180</v>
      </c>
      <c r="AA131" s="27" t="n">
        <v>53591580</v>
      </c>
      <c r="AB131" s="27" t="n">
        <v>198000000</v>
      </c>
      <c r="AC131" s="20" t="n"/>
      <c r="AD131" s="20">
        <f>IF($J131="","출고일 미정",IF($P131="X","작지 미발행",IF($P131="부분","작지 일부 미발행",IF(AND($R131&lt;&gt;"",$R131&gt;$M131),"소재입고 마감("&amp;TEXT($M131,"MM/DD")&amp;") 초과",IF($P131="","발행여부 확인 필요",IF($R131="","소재 입고일정 확인 필요","정상"))))))</f>
        <v/>
      </c>
      <c r="AE131" s="19">
        <f>IF($J131="","",IF(OR(LEFT($AD131,2)="작지",LEFT($AD131,4)="소재입고"),IF(LEFT($G131,1)="A","★ 납기위험(A코드)","◆ 지연주의"),IF($AD131="정상","✓ 정상","? 확인필요")))</f>
        <v/>
      </c>
      <c r="AF131" s="21" t="n"/>
      <c r="AG131" s="28" t="n"/>
    </row>
    <row r="132">
      <c r="A132" s="19" t="n">
        <v>128</v>
      </c>
      <c r="B132" s="20" t="inlineStr">
        <is>
          <t>최진민</t>
        </is>
      </c>
      <c r="C132" s="20" t="inlineStr">
        <is>
          <t>김지원</t>
        </is>
      </c>
      <c r="D132" s="20" t="inlineStr">
        <is>
          <t>JKJJW27016</t>
        </is>
      </c>
      <c r="E132" s="20" t="inlineStr">
        <is>
          <t>여성 프리마로프트 경량 재킷</t>
        </is>
      </c>
      <c r="F132" s="20" t="inlineStr">
        <is>
          <t>DEB/PEG</t>
        </is>
      </c>
      <c r="G132" s="19">
        <f>IF($D132="","",IF(MID($D132,5,1)="A","A(가을)",IF(MID($D132,5,1)="W","W(겨울)",IF(MID($D132,5,1)="X","X(사계절)",MID($D132,5,1)))))</f>
        <v/>
      </c>
      <c r="H132" s="19" t="inlineStr">
        <is>
          <t>완</t>
        </is>
      </c>
      <c r="I132" s="21" t="inlineStr">
        <is>
          <t>8월3주</t>
        </is>
      </c>
      <c r="J132" s="22">
        <f>IF($I132="","",IFERROR(DATE(기준정보!$C$7,VALUE(LEFT($I132,FIND("월",$I132)-1)),1+7*(VALUE(SUBSTITUTE(MID($I132,FIND("월",$I132)+1,5),"주",""))-1)),""))</f>
        <v/>
      </c>
      <c r="K132" s="22">
        <f>IF($J132="","",IF(AND(ISNUMBER(SEARCH("미얀마",$U132)),$J132-기준정보!$C$5&gt;=기준정보!$C$8,$J132-기준정보!$C$5&lt;=기준정보!$C$9),기준정보!$C$8-1,IF(AND(ISNUMBER(SEARCH("인도네시아",$U132)),$J132-기준정보!$C$5&gt;=기준정보!$C$10,$J132-기준정보!$C$5&lt;=기준정보!$C$11),기준정보!$C$10-1,$J132-기준정보!$C$5)))</f>
        <v/>
      </c>
      <c r="L132" s="23">
        <f>IF($K132="","",IF(ISNUMBER(SEARCH("미얀마",$U132)),MAX(0,MIN($K132,기준정보!$C$9)-MAX($K132-기준정보!$C$6,기준정보!$C$8)+1),IF(ISNUMBER(SEARCH("인도네시아",$U132)),MAX(0,MIN($K132,기준정보!$C$11)-MAX($K132-기준정보!$C$6,기준정보!$C$10)+1),0)))</f>
        <v/>
      </c>
      <c r="M132" s="22">
        <f>IF($K132="","",$K132-기준정보!$C$6-$L132)</f>
        <v/>
      </c>
      <c r="N132" s="24">
        <f>IF($M132="","",$M132-기준정보!$C$4)</f>
        <v/>
      </c>
      <c r="O132" s="21" t="n"/>
      <c r="P132" s="21" t="n"/>
      <c r="Q132" s="21" t="n"/>
      <c r="R132" s="25" t="n"/>
      <c r="S132" s="20">
        <f>IF($H132="","",IF($H132="C","본사(소재팀)",IF($H132="완","생산처","확인 필요")))</f>
        <v/>
      </c>
      <c r="T132" s="20" t="inlineStr">
        <is>
          <t>원전</t>
        </is>
      </c>
      <c r="U132" s="20" t="inlineStr">
        <is>
          <t>인도네시아</t>
        </is>
      </c>
      <c r="V132" s="20" t="n"/>
      <c r="W132" s="26" t="n"/>
      <c r="X132" s="26" t="n"/>
      <c r="Y132" s="22" t="n"/>
      <c r="Z132" s="27" t="n">
        <v>1200</v>
      </c>
      <c r="AA132" s="27" t="n">
        <v>97833600</v>
      </c>
      <c r="AB132" s="27" t="n">
        <v>444000000</v>
      </c>
      <c r="AC132" s="20" t="n"/>
      <c r="AD132" s="20">
        <f>IF($J132="","출고일 미정",IF($P132="X","작지 미발행",IF($P132="부분","작지 일부 미발행",IF(AND($R132&lt;&gt;"",$R132&gt;$M132),"소재입고 마감("&amp;TEXT($M132,"MM/DD")&amp;") 초과",IF($P132="","발행여부 확인 필요",IF($R132="","소재 입고일정 확인 필요","정상"))))))</f>
        <v/>
      </c>
      <c r="AE132" s="19">
        <f>IF($J132="","",IF(OR(LEFT($AD132,2)="작지",LEFT($AD132,4)="소재입고"),IF(LEFT($G132,1)="A","★ 납기위험(A코드)","◆ 지연주의"),IF($AD132="정상","✓ 정상","? 확인필요")))</f>
        <v/>
      </c>
      <c r="AF132" s="21" t="n"/>
      <c r="AG132" s="28" t="n"/>
    </row>
    <row r="133">
      <c r="A133" s="19" t="n">
        <v>129</v>
      </c>
      <c r="B133" s="20" t="inlineStr">
        <is>
          <t>최진민</t>
        </is>
      </c>
      <c r="C133" s="20" t="inlineStr">
        <is>
          <t>나영길</t>
        </is>
      </c>
      <c r="D133" s="20" t="inlineStr">
        <is>
          <t>JKJJW27404</t>
        </is>
      </c>
      <c r="E133" s="20" t="inlineStr">
        <is>
          <t>여성 스톰플리스 프로 스탠드넥 재킷</t>
        </is>
      </c>
      <c r="F133" s="20" t="inlineStr">
        <is>
          <t>DEB/CHR/ABE</t>
        </is>
      </c>
      <c r="G133" s="19">
        <f>IF($D133="","",IF(MID($D133,5,1)="A","A(가을)",IF(MID($D133,5,1)="W","W(겨울)",IF(MID($D133,5,1)="X","X(사계절)",MID($D133,5,1)))))</f>
        <v/>
      </c>
      <c r="H133" s="19" t="inlineStr">
        <is>
          <t>완</t>
        </is>
      </c>
      <c r="I133" s="21" t="inlineStr">
        <is>
          <t>8월3주</t>
        </is>
      </c>
      <c r="J133" s="22">
        <f>IF($I133="","",IFERROR(DATE(기준정보!$C$7,VALUE(LEFT($I133,FIND("월",$I133)-1)),1+7*(VALUE(SUBSTITUTE(MID($I133,FIND("월",$I133)+1,5),"주",""))-1)),""))</f>
        <v/>
      </c>
      <c r="K133" s="22">
        <f>IF($J133="","",IF(AND(ISNUMBER(SEARCH("미얀마",$U133)),$J133-기준정보!$C$5&gt;=기준정보!$C$8,$J133-기준정보!$C$5&lt;=기준정보!$C$9),기준정보!$C$8-1,IF(AND(ISNUMBER(SEARCH("인도네시아",$U133)),$J133-기준정보!$C$5&gt;=기준정보!$C$10,$J133-기준정보!$C$5&lt;=기준정보!$C$11),기준정보!$C$10-1,$J133-기준정보!$C$5)))</f>
        <v/>
      </c>
      <c r="L133" s="23">
        <f>IF($K133="","",IF(ISNUMBER(SEARCH("미얀마",$U133)),MAX(0,MIN($K133,기준정보!$C$9)-MAX($K133-기준정보!$C$6,기준정보!$C$8)+1),IF(ISNUMBER(SEARCH("인도네시아",$U133)),MAX(0,MIN($K133,기준정보!$C$11)-MAX($K133-기준정보!$C$6,기준정보!$C$10)+1),0)))</f>
        <v/>
      </c>
      <c r="M133" s="22">
        <f>IF($K133="","",$K133-기준정보!$C$6-$L133)</f>
        <v/>
      </c>
      <c r="N133" s="24">
        <f>IF($M133="","",$M133-기준정보!$C$4)</f>
        <v/>
      </c>
      <c r="O133" s="21" t="n"/>
      <c r="P133" s="21" t="n"/>
      <c r="Q133" s="21" t="n"/>
      <c r="R133" s="25" t="n"/>
      <c r="S133" s="20">
        <f>IF($H133="","",IF($H133="C","본사(소재팀)",IF($H133="완","생산처","확인 필요")))</f>
        <v/>
      </c>
      <c r="T133" s="20" t="inlineStr">
        <is>
          <t>기도</t>
        </is>
      </c>
      <c r="U133" s="20" t="inlineStr">
        <is>
          <t>베트남</t>
        </is>
      </c>
      <c r="V133" s="20" t="n"/>
      <c r="W133" s="26" t="n"/>
      <c r="X133" s="26" t="n"/>
      <c r="Y133" s="22" t="n"/>
      <c r="Z133" s="27" t="n">
        <v>500</v>
      </c>
      <c r="AA133" s="27" t="n">
        <v>40243500</v>
      </c>
      <c r="AB133" s="27" t="n">
        <v>175000000</v>
      </c>
      <c r="AC133" s="20" t="n"/>
      <c r="AD133" s="20">
        <f>IF($J133="","출고일 미정",IF($P133="X","작지 미발행",IF($P133="부분","작지 일부 미발행",IF(AND($R133&lt;&gt;"",$R133&gt;$M133),"소재입고 마감("&amp;TEXT($M133,"MM/DD")&amp;") 초과",IF($P133="","발행여부 확인 필요",IF($R133="","소재 입고일정 확인 필요","정상"))))))</f>
        <v/>
      </c>
      <c r="AE133" s="19">
        <f>IF($J133="","",IF(OR(LEFT($AD133,2)="작지",LEFT($AD133,4)="소재입고"),IF(LEFT($G133,1)="A","★ 납기위험(A코드)","◆ 지연주의"),IF($AD133="정상","✓ 정상","? 확인필요")))</f>
        <v/>
      </c>
      <c r="AF133" s="21" t="n"/>
      <c r="AG133" s="28" t="n"/>
    </row>
    <row r="134">
      <c r="A134" s="19" t="n">
        <v>130</v>
      </c>
      <c r="B134" s="20" t="inlineStr">
        <is>
          <t>최진민</t>
        </is>
      </c>
      <c r="C134" s="20" t="inlineStr">
        <is>
          <t>나영길</t>
        </is>
      </c>
      <c r="D134" s="20" t="inlineStr">
        <is>
          <t>JKJJW27406</t>
        </is>
      </c>
      <c r="E134" s="20" t="inlineStr">
        <is>
          <t>여성 옥타 후디드 재킷</t>
        </is>
      </c>
      <c r="F134" s="20" t="inlineStr">
        <is>
          <t>DEB/ABE</t>
        </is>
      </c>
      <c r="G134" s="19">
        <f>IF($D134="","",IF(MID($D134,5,1)="A","A(가을)",IF(MID($D134,5,1)="W","W(겨울)",IF(MID($D134,5,1)="X","X(사계절)",MID($D134,5,1)))))</f>
        <v/>
      </c>
      <c r="H134" s="19" t="inlineStr">
        <is>
          <t>완</t>
        </is>
      </c>
      <c r="I134" s="21" t="inlineStr">
        <is>
          <t>8월3주</t>
        </is>
      </c>
      <c r="J134" s="22">
        <f>IF($I134="","",IFERROR(DATE(기준정보!$C$7,VALUE(LEFT($I134,FIND("월",$I134)-1)),1+7*(VALUE(SUBSTITUTE(MID($I134,FIND("월",$I134)+1,5),"주",""))-1)),""))</f>
        <v/>
      </c>
      <c r="K134" s="22">
        <f>IF($J134="","",IF(AND(ISNUMBER(SEARCH("미얀마",$U134)),$J134-기준정보!$C$5&gt;=기준정보!$C$8,$J134-기준정보!$C$5&lt;=기준정보!$C$9),기준정보!$C$8-1,IF(AND(ISNUMBER(SEARCH("인도네시아",$U134)),$J134-기준정보!$C$5&gt;=기준정보!$C$10,$J134-기준정보!$C$5&lt;=기준정보!$C$11),기준정보!$C$10-1,$J134-기준정보!$C$5)))</f>
        <v/>
      </c>
      <c r="L134" s="23">
        <f>IF($K134="","",IF(ISNUMBER(SEARCH("미얀마",$U134)),MAX(0,MIN($K134,기준정보!$C$9)-MAX($K134-기준정보!$C$6,기준정보!$C$8)+1),IF(ISNUMBER(SEARCH("인도네시아",$U134)),MAX(0,MIN($K134,기준정보!$C$11)-MAX($K134-기준정보!$C$6,기준정보!$C$10)+1),0)))</f>
        <v/>
      </c>
      <c r="M134" s="22">
        <f>IF($K134="","",$K134-기준정보!$C$6-$L134)</f>
        <v/>
      </c>
      <c r="N134" s="24">
        <f>IF($M134="","",$M134-기준정보!$C$4)</f>
        <v/>
      </c>
      <c r="O134" s="21" t="n"/>
      <c r="P134" s="21" t="n"/>
      <c r="Q134" s="21" t="n"/>
      <c r="R134" s="25" t="n"/>
      <c r="S134" s="20">
        <f>IF($H134="","",IF($H134="C","본사(소재팀)",IF($H134="완","생산처","확인 필요")))</f>
        <v/>
      </c>
      <c r="T134" s="20" t="inlineStr">
        <is>
          <t>원전</t>
        </is>
      </c>
      <c r="U134" s="20" t="inlineStr">
        <is>
          <t>인도네시아</t>
        </is>
      </c>
      <c r="V134" s="20" t="n"/>
      <c r="W134" s="26" t="n"/>
      <c r="X134" s="26" t="n"/>
      <c r="Y134" s="22" t="n"/>
      <c r="Z134" s="27" t="n">
        <v>350</v>
      </c>
      <c r="AA134" s="27" t="n">
        <v>24377150</v>
      </c>
      <c r="AB134" s="27" t="n">
        <v>112000000</v>
      </c>
      <c r="AC134" s="20" t="n"/>
      <c r="AD134" s="20">
        <f>IF($J134="","출고일 미정",IF($P134="X","작지 미발행",IF($P134="부분","작지 일부 미발행",IF(AND($R134&lt;&gt;"",$R134&gt;$M134),"소재입고 마감("&amp;TEXT($M134,"MM/DD")&amp;") 초과",IF($P134="","발행여부 확인 필요",IF($R134="","소재 입고일정 확인 필요","정상"))))))</f>
        <v/>
      </c>
      <c r="AE134" s="19">
        <f>IF($J134="","",IF(OR(LEFT($AD134,2)="작지",LEFT($AD134,4)="소재입고"),IF(LEFT($G134,1)="A","★ 납기위험(A코드)","◆ 지연주의"),IF($AD134="정상","✓ 정상","? 확인필요")))</f>
        <v/>
      </c>
      <c r="AF134" s="21" t="n"/>
      <c r="AG134" s="28" t="n"/>
    </row>
    <row r="135">
      <c r="A135" s="19" t="n">
        <v>131</v>
      </c>
      <c r="B135" s="20" t="inlineStr">
        <is>
          <t>최진민</t>
        </is>
      </c>
      <c r="C135" s="20" t="inlineStr">
        <is>
          <t>김지원</t>
        </is>
      </c>
      <c r="D135" s="20" t="inlineStr">
        <is>
          <t>JKPNW27072</t>
        </is>
      </c>
      <c r="E135" s="20" t="inlineStr">
        <is>
          <t>여성 우븐 헤비 소프트쉘 팬츠</t>
        </is>
      </c>
      <c r="F135" s="20" t="inlineStr">
        <is>
          <t>CHR/PEG</t>
        </is>
      </c>
      <c r="G135" s="19">
        <f>IF($D135="","",IF(MID($D135,5,1)="A","A(가을)",IF(MID($D135,5,1)="W","W(겨울)",IF(MID($D135,5,1)="X","X(사계절)",MID($D135,5,1)))))</f>
        <v/>
      </c>
      <c r="H135" s="19" t="inlineStr">
        <is>
          <t>완</t>
        </is>
      </c>
      <c r="I135" s="21" t="inlineStr">
        <is>
          <t>8월3주</t>
        </is>
      </c>
      <c r="J135" s="22">
        <f>IF($I135="","",IFERROR(DATE(기준정보!$C$7,VALUE(LEFT($I135,FIND("월",$I135)-1)),1+7*(VALUE(SUBSTITUTE(MID($I135,FIND("월",$I135)+1,5),"주",""))-1)),""))</f>
        <v/>
      </c>
      <c r="K135" s="22">
        <f>IF($J135="","",IF(AND(ISNUMBER(SEARCH("미얀마",$U135)),$J135-기준정보!$C$5&gt;=기준정보!$C$8,$J135-기준정보!$C$5&lt;=기준정보!$C$9),기준정보!$C$8-1,IF(AND(ISNUMBER(SEARCH("인도네시아",$U135)),$J135-기준정보!$C$5&gt;=기준정보!$C$10,$J135-기준정보!$C$5&lt;=기준정보!$C$11),기준정보!$C$10-1,$J135-기준정보!$C$5)))</f>
        <v/>
      </c>
      <c r="L135" s="23">
        <f>IF($K135="","",IF(ISNUMBER(SEARCH("미얀마",$U135)),MAX(0,MIN($K135,기준정보!$C$9)-MAX($K135-기준정보!$C$6,기준정보!$C$8)+1),IF(ISNUMBER(SEARCH("인도네시아",$U135)),MAX(0,MIN($K135,기준정보!$C$11)-MAX($K135-기준정보!$C$6,기준정보!$C$10)+1),0)))</f>
        <v/>
      </c>
      <c r="M135" s="22">
        <f>IF($K135="","",$K135-기준정보!$C$6-$L135)</f>
        <v/>
      </c>
      <c r="N135" s="24">
        <f>IF($M135="","",$M135-기준정보!$C$4)</f>
        <v/>
      </c>
      <c r="O135" s="21" t="n"/>
      <c r="P135" s="21" t="n"/>
      <c r="Q135" s="21" t="n"/>
      <c r="R135" s="25" t="n"/>
      <c r="S135" s="20">
        <f>IF($H135="","",IF($H135="C","본사(소재팀)",IF($H135="완","생산처","확인 필요")))</f>
        <v/>
      </c>
      <c r="T135" s="20" t="inlineStr">
        <is>
          <t>TBO</t>
        </is>
      </c>
      <c r="U135" s="20" t="inlineStr">
        <is>
          <t>베트남</t>
        </is>
      </c>
      <c r="V135" s="20" t="n"/>
      <c r="W135" s="26" t="n"/>
      <c r="X135" s="26" t="n"/>
      <c r="Y135" s="22" t="n"/>
      <c r="Z135" s="27" t="n">
        <v>200</v>
      </c>
      <c r="AA135" s="27" t="n">
        <v>18580000</v>
      </c>
      <c r="AB135" s="27" t="n">
        <v>70000000</v>
      </c>
      <c r="AC135" s="20" t="n"/>
      <c r="AD135" s="20">
        <f>IF($J135="","출고일 미정",IF($P135="X","작지 미발행",IF($P135="부분","작지 일부 미발행",IF(AND($R135&lt;&gt;"",$R135&gt;$M135),"소재입고 마감("&amp;TEXT($M135,"MM/DD")&amp;") 초과",IF($P135="","발행여부 확인 필요",IF($R135="","소재 입고일정 확인 필요","정상"))))))</f>
        <v/>
      </c>
      <c r="AE135" s="19">
        <f>IF($J135="","",IF(OR(LEFT($AD135,2)="작지",LEFT($AD135,4)="소재입고"),IF(LEFT($G135,1)="A","★ 납기위험(A코드)","◆ 지연주의"),IF($AD135="정상","✓ 정상","? 확인필요")))</f>
        <v/>
      </c>
      <c r="AF135" s="21" t="n"/>
      <c r="AG135" s="28" t="n"/>
    </row>
    <row r="136">
      <c r="A136" s="19" t="n">
        <v>132</v>
      </c>
      <c r="B136" s="20" t="inlineStr">
        <is>
          <t>최진민</t>
        </is>
      </c>
      <c r="C136" s="20" t="inlineStr">
        <is>
          <t>나영길</t>
        </is>
      </c>
      <c r="D136" s="20" t="inlineStr">
        <is>
          <t>JKPNW27404</t>
        </is>
      </c>
      <c r="E136" s="20" t="inlineStr">
        <is>
          <t>여성 스톰플리스 프로 팬츠</t>
        </is>
      </c>
      <c r="F136" s="20" t="inlineStr">
        <is>
          <t>DEB/CTP/CHR</t>
        </is>
      </c>
      <c r="G136" s="19">
        <f>IF($D136="","",IF(MID($D136,5,1)="A","A(가을)",IF(MID($D136,5,1)="W","W(겨울)",IF(MID($D136,5,1)="X","X(사계절)",MID($D136,5,1)))))</f>
        <v/>
      </c>
      <c r="H136" s="19" t="inlineStr">
        <is>
          <t>완</t>
        </is>
      </c>
      <c r="I136" s="21" t="inlineStr">
        <is>
          <t>8월3주</t>
        </is>
      </c>
      <c r="J136" s="22">
        <f>IF($I136="","",IFERROR(DATE(기준정보!$C$7,VALUE(LEFT($I136,FIND("월",$I136)-1)),1+7*(VALUE(SUBSTITUTE(MID($I136,FIND("월",$I136)+1,5),"주",""))-1)),""))</f>
        <v/>
      </c>
      <c r="K136" s="22">
        <f>IF($J136="","",IF(AND(ISNUMBER(SEARCH("미얀마",$U136)),$J136-기준정보!$C$5&gt;=기준정보!$C$8,$J136-기준정보!$C$5&lt;=기준정보!$C$9),기준정보!$C$8-1,IF(AND(ISNUMBER(SEARCH("인도네시아",$U136)),$J136-기준정보!$C$5&gt;=기준정보!$C$10,$J136-기준정보!$C$5&lt;=기준정보!$C$11),기준정보!$C$10-1,$J136-기준정보!$C$5)))</f>
        <v/>
      </c>
      <c r="L136" s="23">
        <f>IF($K136="","",IF(ISNUMBER(SEARCH("미얀마",$U136)),MAX(0,MIN($K136,기준정보!$C$9)-MAX($K136-기준정보!$C$6,기준정보!$C$8)+1),IF(ISNUMBER(SEARCH("인도네시아",$U136)),MAX(0,MIN($K136,기준정보!$C$11)-MAX($K136-기준정보!$C$6,기준정보!$C$10)+1),0)))</f>
        <v/>
      </c>
      <c r="M136" s="22">
        <f>IF($K136="","",$K136-기준정보!$C$6-$L136)</f>
        <v/>
      </c>
      <c r="N136" s="24">
        <f>IF($M136="","",$M136-기준정보!$C$4)</f>
        <v/>
      </c>
      <c r="O136" s="21" t="n"/>
      <c r="P136" s="21" t="n"/>
      <c r="Q136" s="21" t="n"/>
      <c r="R136" s="25" t="n"/>
      <c r="S136" s="20">
        <f>IF($H136="","",IF($H136="C","본사(소재팀)",IF($H136="완","생산처","확인 필요")))</f>
        <v/>
      </c>
      <c r="T136" s="20" t="inlineStr">
        <is>
          <t>TBO</t>
        </is>
      </c>
      <c r="U136" s="20" t="inlineStr">
        <is>
          <t>베트남</t>
        </is>
      </c>
      <c r="V136" s="20" t="n"/>
      <c r="W136" s="26" t="n"/>
      <c r="X136" s="26" t="n"/>
      <c r="Y136" s="22" t="n"/>
      <c r="Z136" s="27" t="n">
        <v>400</v>
      </c>
      <c r="AA136" s="27" t="n">
        <v>34000000</v>
      </c>
      <c r="AB136" s="27" t="n">
        <v>128000000</v>
      </c>
      <c r="AC136" s="20" t="n"/>
      <c r="AD136" s="20">
        <f>IF($J136="","출고일 미정",IF($P136="X","작지 미발행",IF($P136="부분","작지 일부 미발행",IF(AND($R136&lt;&gt;"",$R136&gt;$M136),"소재입고 마감("&amp;TEXT($M136,"MM/DD")&amp;") 초과",IF($P136="","발행여부 확인 필요",IF($R136="","소재 입고일정 확인 필요","정상"))))))</f>
        <v/>
      </c>
      <c r="AE136" s="19">
        <f>IF($J136="","",IF(OR(LEFT($AD136,2)="작지",LEFT($AD136,4)="소재입고"),IF(LEFT($G136,1)="A","★ 납기위험(A코드)","◆ 지연주의"),IF($AD136="정상","✓ 정상","? 확인필요")))</f>
        <v/>
      </c>
      <c r="AF136" s="21" t="n"/>
      <c r="AG136" s="28" t="n"/>
    </row>
    <row r="137">
      <c r="A137" s="19" t="n">
        <v>133</v>
      </c>
      <c r="B137" s="20" t="inlineStr">
        <is>
          <t>박지인</t>
        </is>
      </c>
      <c r="C137" s="20" t="inlineStr">
        <is>
          <t>심현숙</t>
        </is>
      </c>
      <c r="D137" s="20" t="inlineStr">
        <is>
          <t>JNJFW27501</t>
        </is>
      </c>
      <c r="E137" s="20" t="inlineStr">
        <is>
          <t>남녀공용 UL 알파다이렉트 120 재킷</t>
        </is>
      </c>
      <c r="F137" s="20" t="inlineStr">
        <is>
          <t>ABE/DOE</t>
        </is>
      </c>
      <c r="G137" s="19">
        <f>IF($D137="","",IF(MID($D137,5,1)="A","A(가을)",IF(MID($D137,5,1)="W","W(겨울)",IF(MID($D137,5,1)="X","X(사계절)",MID($D137,5,1)))))</f>
        <v/>
      </c>
      <c r="H137" s="19" t="n"/>
      <c r="I137" s="21" t="inlineStr">
        <is>
          <t>8월3주</t>
        </is>
      </c>
      <c r="J137" s="22">
        <f>IF($I137="","",IFERROR(DATE(기준정보!$C$7,VALUE(LEFT($I137,FIND("월",$I137)-1)),1+7*(VALUE(SUBSTITUTE(MID($I137,FIND("월",$I137)+1,5),"주",""))-1)),""))</f>
        <v/>
      </c>
      <c r="K137" s="22">
        <f>IF($J137="","",IF(AND(ISNUMBER(SEARCH("미얀마",$U137)),$J137-기준정보!$C$5&gt;=기준정보!$C$8,$J137-기준정보!$C$5&lt;=기준정보!$C$9),기준정보!$C$8-1,IF(AND(ISNUMBER(SEARCH("인도네시아",$U137)),$J137-기준정보!$C$5&gt;=기준정보!$C$10,$J137-기준정보!$C$5&lt;=기준정보!$C$11),기준정보!$C$10-1,$J137-기준정보!$C$5)))</f>
        <v/>
      </c>
      <c r="L137" s="23">
        <f>IF($K137="","",IF(ISNUMBER(SEARCH("미얀마",$U137)),MAX(0,MIN($K137,기준정보!$C$9)-MAX($K137-기준정보!$C$6,기준정보!$C$8)+1),IF(ISNUMBER(SEARCH("인도네시아",$U137)),MAX(0,MIN($K137,기준정보!$C$11)-MAX($K137-기준정보!$C$6,기준정보!$C$10)+1),0)))</f>
        <v/>
      </c>
      <c r="M137" s="22">
        <f>IF($K137="","",$K137-기준정보!$C$6-$L137)</f>
        <v/>
      </c>
      <c r="N137" s="24">
        <f>IF($M137="","",$M137-기준정보!$C$4)</f>
        <v/>
      </c>
      <c r="O137" s="21" t="n"/>
      <c r="P137" s="21" t="n"/>
      <c r="Q137" s="21" t="n"/>
      <c r="R137" s="25" t="n"/>
      <c r="S137" s="20">
        <f>IF($H137="","",IF($H137="C","본사(소재팀)",IF($H137="완","생산처","확인 필요")))</f>
        <v/>
      </c>
      <c r="T137" s="20" t="inlineStr">
        <is>
          <t>아이블</t>
        </is>
      </c>
      <c r="U137" s="20" t="inlineStr">
        <is>
          <t>베트남</t>
        </is>
      </c>
      <c r="V137" s="20" t="n"/>
      <c r="W137" s="26" t="n"/>
      <c r="X137" s="26" t="n"/>
      <c r="Y137" s="22" t="n"/>
      <c r="Z137" s="27" t="n">
        <v>800</v>
      </c>
      <c r="AA137" s="27" t="n">
        <v>75641600</v>
      </c>
      <c r="AB137" s="27" t="n">
        <v>256000000</v>
      </c>
      <c r="AC137" s="20" t="n"/>
      <c r="AD137" s="20">
        <f>IF($J137="","출고일 미정",IF($P137="X","작지 미발행",IF($P137="부분","작지 일부 미발행",IF(AND($R137&lt;&gt;"",$R137&gt;$M137),"소재입고 마감("&amp;TEXT($M137,"MM/DD")&amp;") 초과",IF($P137="","발행여부 확인 필요",IF($R137="","소재 입고일정 확인 필요","정상"))))))</f>
        <v/>
      </c>
      <c r="AE137" s="19">
        <f>IF($J137="","",IF(OR(LEFT($AD137,2)="작지",LEFT($AD137,4)="소재입고"),IF(LEFT($G137,1)="A","★ 납기위험(A코드)","◆ 지연주의"),IF($AD137="정상","✓ 정상","? 확인필요")))</f>
        <v/>
      </c>
      <c r="AF137" s="21" t="n"/>
      <c r="AG137" s="28" t="n"/>
    </row>
    <row r="138">
      <c r="A138" s="19" t="n">
        <v>134</v>
      </c>
      <c r="B138" s="20" t="inlineStr">
        <is>
          <t>박지인</t>
        </is>
      </c>
      <c r="C138" s="20" t="inlineStr">
        <is>
          <t>심현숙</t>
        </is>
      </c>
      <c r="D138" s="20" t="inlineStr">
        <is>
          <t>JNJFW27511</t>
        </is>
      </c>
      <c r="E138" s="20" t="inlineStr">
        <is>
          <t>남녀공용 UL 알파다이렉트 120 우븐 하이브리드 재킷</t>
        </is>
      </c>
      <c r="F138" s="20" t="inlineStr">
        <is>
          <t>DOE/CHR</t>
        </is>
      </c>
      <c r="G138" s="19">
        <f>IF($D138="","",IF(MID($D138,5,1)="A","A(가을)",IF(MID($D138,5,1)="W","W(겨울)",IF(MID($D138,5,1)="X","X(사계절)",MID($D138,5,1)))))</f>
        <v/>
      </c>
      <c r="H138" s="19" t="n"/>
      <c r="I138" s="21" t="inlineStr">
        <is>
          <t>8월3주</t>
        </is>
      </c>
      <c r="J138" s="22">
        <f>IF($I138="","",IFERROR(DATE(기준정보!$C$7,VALUE(LEFT($I138,FIND("월",$I138)-1)),1+7*(VALUE(SUBSTITUTE(MID($I138,FIND("월",$I138)+1,5),"주",""))-1)),""))</f>
        <v/>
      </c>
      <c r="K138" s="22">
        <f>IF($J138="","",IF(AND(ISNUMBER(SEARCH("미얀마",$U138)),$J138-기준정보!$C$5&gt;=기준정보!$C$8,$J138-기준정보!$C$5&lt;=기준정보!$C$9),기준정보!$C$8-1,IF(AND(ISNUMBER(SEARCH("인도네시아",$U138)),$J138-기준정보!$C$5&gt;=기준정보!$C$10,$J138-기준정보!$C$5&lt;=기준정보!$C$11),기준정보!$C$10-1,$J138-기준정보!$C$5)))</f>
        <v/>
      </c>
      <c r="L138" s="23">
        <f>IF($K138="","",IF(ISNUMBER(SEARCH("미얀마",$U138)),MAX(0,MIN($K138,기준정보!$C$9)-MAX($K138-기준정보!$C$6,기준정보!$C$8)+1),IF(ISNUMBER(SEARCH("인도네시아",$U138)),MAX(0,MIN($K138,기준정보!$C$11)-MAX($K138-기준정보!$C$6,기준정보!$C$10)+1),0)))</f>
        <v/>
      </c>
      <c r="M138" s="22">
        <f>IF($K138="","",$K138-기준정보!$C$6-$L138)</f>
        <v/>
      </c>
      <c r="N138" s="24">
        <f>IF($M138="","",$M138-기준정보!$C$4)</f>
        <v/>
      </c>
      <c r="O138" s="21" t="n"/>
      <c r="P138" s="21" t="n"/>
      <c r="Q138" s="21" t="n"/>
      <c r="R138" s="25" t="n"/>
      <c r="S138" s="20">
        <f>IF($H138="","",IF($H138="C","본사(소재팀)",IF($H138="완","생산처","확인 필요")))</f>
        <v/>
      </c>
      <c r="T138" s="20" t="inlineStr">
        <is>
          <t>아이블</t>
        </is>
      </c>
      <c r="U138" s="20" t="inlineStr">
        <is>
          <t>베트남</t>
        </is>
      </c>
      <c r="V138" s="20" t="n"/>
      <c r="W138" s="26" t="n"/>
      <c r="X138" s="26" t="n"/>
      <c r="Y138" s="22" t="n"/>
      <c r="Z138" s="27" t="n">
        <v>500</v>
      </c>
      <c r="AA138" s="27" t="n">
        <v>60594000</v>
      </c>
      <c r="AB138" s="27" t="n">
        <v>210000000</v>
      </c>
      <c r="AC138" s="20" t="n"/>
      <c r="AD138" s="20">
        <f>IF($J138="","출고일 미정",IF($P138="X","작지 미발행",IF($P138="부분","작지 일부 미발행",IF(AND($R138&lt;&gt;"",$R138&gt;$M138),"소재입고 마감("&amp;TEXT($M138,"MM/DD")&amp;") 초과",IF($P138="","발행여부 확인 필요",IF($R138="","소재 입고일정 확인 필요","정상"))))))</f>
        <v/>
      </c>
      <c r="AE138" s="19">
        <f>IF($J138="","",IF(OR(LEFT($AD138,2)="작지",LEFT($AD138,4)="소재입고"),IF(LEFT($G138,1)="A","★ 납기위험(A코드)","◆ 지연주의"),IF($AD138="정상","✓ 정상","? 확인필요")))</f>
        <v/>
      </c>
      <c r="AF138" s="21" t="n"/>
      <c r="AG138" s="28" t="n"/>
    </row>
    <row r="139">
      <c r="A139" s="19" t="n">
        <v>135</v>
      </c>
      <c r="B139" s="20" t="inlineStr">
        <is>
          <t>박지인</t>
        </is>
      </c>
      <c r="C139" s="20" t="inlineStr">
        <is>
          <t>심현숙</t>
        </is>
      </c>
      <c r="D139" s="20" t="inlineStr">
        <is>
          <t>JNJJW27501</t>
        </is>
      </c>
      <c r="E139" s="20" t="inlineStr">
        <is>
          <t>남녀공용 UL 나노베일 방수 재킷</t>
        </is>
      </c>
      <c r="F139" s="20" t="inlineStr">
        <is>
          <t>DOE</t>
        </is>
      </c>
      <c r="G139" s="19">
        <f>IF($D139="","",IF(MID($D139,5,1)="A","A(가을)",IF(MID($D139,5,1)="W","W(겨울)",IF(MID($D139,5,1)="X","X(사계절)",MID($D139,5,1)))))</f>
        <v/>
      </c>
      <c r="H139" s="19" t="n"/>
      <c r="I139" s="21" t="inlineStr">
        <is>
          <t>8월3주</t>
        </is>
      </c>
      <c r="J139" s="22">
        <f>IF($I139="","",IFERROR(DATE(기준정보!$C$7,VALUE(LEFT($I139,FIND("월",$I139)-1)),1+7*(VALUE(SUBSTITUTE(MID($I139,FIND("월",$I139)+1,5),"주",""))-1)),""))</f>
        <v/>
      </c>
      <c r="K139" s="22">
        <f>IF($J139="","",IF(AND(ISNUMBER(SEARCH("미얀마",$U139)),$J139-기준정보!$C$5&gt;=기준정보!$C$8,$J139-기준정보!$C$5&lt;=기준정보!$C$9),기준정보!$C$8-1,IF(AND(ISNUMBER(SEARCH("인도네시아",$U139)),$J139-기준정보!$C$5&gt;=기준정보!$C$10,$J139-기준정보!$C$5&lt;=기준정보!$C$11),기준정보!$C$10-1,$J139-기준정보!$C$5)))</f>
        <v/>
      </c>
      <c r="L139" s="23">
        <f>IF($K139="","",IF(ISNUMBER(SEARCH("미얀마",$U139)),MAX(0,MIN($K139,기준정보!$C$9)-MAX($K139-기준정보!$C$6,기준정보!$C$8)+1),IF(ISNUMBER(SEARCH("인도네시아",$U139)),MAX(0,MIN($K139,기준정보!$C$11)-MAX($K139-기준정보!$C$6,기준정보!$C$10)+1),0)))</f>
        <v/>
      </c>
      <c r="M139" s="22">
        <f>IF($K139="","",$K139-기준정보!$C$6-$L139)</f>
        <v/>
      </c>
      <c r="N139" s="24">
        <f>IF($M139="","",$M139-기준정보!$C$4)</f>
        <v/>
      </c>
      <c r="O139" s="21" t="n"/>
      <c r="P139" s="21" t="n"/>
      <c r="Q139" s="21" t="n"/>
      <c r="R139" s="25" t="n"/>
      <c r="S139" s="20">
        <f>IF($H139="","",IF($H139="C","본사(소재팀)",IF($H139="완","생산처","확인 필요")))</f>
        <v/>
      </c>
      <c r="T139" s="20" t="inlineStr">
        <is>
          <t>포마트</t>
        </is>
      </c>
      <c r="U139" s="20" t="inlineStr">
        <is>
          <t>베트남</t>
        </is>
      </c>
      <c r="V139" s="20" t="n"/>
      <c r="W139" s="26" t="n"/>
      <c r="X139" s="26" t="n"/>
      <c r="Y139" s="22" t="n"/>
      <c r="Z139" s="27" t="n">
        <v>200</v>
      </c>
      <c r="AA139" s="27" t="n">
        <v>30114200</v>
      </c>
      <c r="AB139" s="27" t="n">
        <v>104000000</v>
      </c>
      <c r="AC139" s="20" t="n"/>
      <c r="AD139" s="20">
        <f>IF($J139="","출고일 미정",IF($P139="X","작지 미발행",IF($P139="부분","작지 일부 미발행",IF(AND($R139&lt;&gt;"",$R139&gt;$M139),"소재입고 마감("&amp;TEXT($M139,"MM/DD")&amp;") 초과",IF($P139="","발행여부 확인 필요",IF($R139="","소재 입고일정 확인 필요","정상"))))))</f>
        <v/>
      </c>
      <c r="AE139" s="19">
        <f>IF($J139="","",IF(OR(LEFT($AD139,2)="작지",LEFT($AD139,4)="소재입고"),IF(LEFT($G139,1)="A","★ 납기위험(A코드)","◆ 지연주의"),IF($AD139="정상","✓ 정상","? 확인필요")))</f>
        <v/>
      </c>
      <c r="AF139" s="21" t="n"/>
      <c r="AG139" s="28" t="n"/>
    </row>
    <row r="140">
      <c r="A140" s="19" t="n">
        <v>136</v>
      </c>
      <c r="B140" s="20" t="inlineStr">
        <is>
          <t>박지인</t>
        </is>
      </c>
      <c r="C140" s="20" t="inlineStr">
        <is>
          <t>심현숙</t>
        </is>
      </c>
      <c r="D140" s="20" t="inlineStr">
        <is>
          <t>JNPNW27511</t>
        </is>
      </c>
      <c r="E140" s="20" t="inlineStr">
        <is>
          <t>남녀공용 UL 나노베일 방수 팬츠</t>
        </is>
      </c>
      <c r="F140" s="20" t="inlineStr">
        <is>
          <t>DOE</t>
        </is>
      </c>
      <c r="G140" s="19">
        <f>IF($D140="","",IF(MID($D140,5,1)="A","A(가을)",IF(MID($D140,5,1)="W","W(겨울)",IF(MID($D140,5,1)="X","X(사계절)",MID($D140,5,1)))))</f>
        <v/>
      </c>
      <c r="H140" s="19" t="n"/>
      <c r="I140" s="21" t="inlineStr">
        <is>
          <t>8월3주</t>
        </is>
      </c>
      <c r="J140" s="22">
        <f>IF($I140="","",IFERROR(DATE(기준정보!$C$7,VALUE(LEFT($I140,FIND("월",$I140)-1)),1+7*(VALUE(SUBSTITUTE(MID($I140,FIND("월",$I140)+1,5),"주",""))-1)),""))</f>
        <v/>
      </c>
      <c r="K140" s="22">
        <f>IF($J140="","",IF(AND(ISNUMBER(SEARCH("미얀마",$U140)),$J140-기준정보!$C$5&gt;=기준정보!$C$8,$J140-기준정보!$C$5&lt;=기준정보!$C$9),기준정보!$C$8-1,IF(AND(ISNUMBER(SEARCH("인도네시아",$U140)),$J140-기준정보!$C$5&gt;=기준정보!$C$10,$J140-기준정보!$C$5&lt;=기준정보!$C$11),기준정보!$C$10-1,$J140-기준정보!$C$5)))</f>
        <v/>
      </c>
      <c r="L140" s="23">
        <f>IF($K140="","",IF(ISNUMBER(SEARCH("미얀마",$U140)),MAX(0,MIN($K140,기준정보!$C$9)-MAX($K140-기준정보!$C$6,기준정보!$C$8)+1),IF(ISNUMBER(SEARCH("인도네시아",$U140)),MAX(0,MIN($K140,기준정보!$C$11)-MAX($K140-기준정보!$C$6,기준정보!$C$10)+1),0)))</f>
        <v/>
      </c>
      <c r="M140" s="22">
        <f>IF($K140="","",$K140-기준정보!$C$6-$L140)</f>
        <v/>
      </c>
      <c r="N140" s="24">
        <f>IF($M140="","",$M140-기준정보!$C$4)</f>
        <v/>
      </c>
      <c r="O140" s="21" t="n"/>
      <c r="P140" s="21" t="n"/>
      <c r="Q140" s="21" t="n"/>
      <c r="R140" s="25" t="n"/>
      <c r="S140" s="20">
        <f>IF($H140="","",IF($H140="C","본사(소재팀)",IF($H140="완","생산처","확인 필요")))</f>
        <v/>
      </c>
      <c r="T140" s="20" t="inlineStr">
        <is>
          <t>포마트</t>
        </is>
      </c>
      <c r="U140" s="20" t="inlineStr">
        <is>
          <t>베트남</t>
        </is>
      </c>
      <c r="V140" s="20" t="n"/>
      <c r="W140" s="26" t="n"/>
      <c r="X140" s="26" t="n"/>
      <c r="Y140" s="22" t="n"/>
      <c r="Z140" s="27" t="n">
        <v>200</v>
      </c>
      <c r="AA140" s="27" t="n">
        <v>24161000</v>
      </c>
      <c r="AB140" s="27" t="n">
        <v>58000000</v>
      </c>
      <c r="AC140" s="20" t="n"/>
      <c r="AD140" s="20">
        <f>IF($J140="","출고일 미정",IF($P140="X","작지 미발행",IF($P140="부분","작지 일부 미발행",IF(AND($R140&lt;&gt;"",$R140&gt;$M140),"소재입고 마감("&amp;TEXT($M140,"MM/DD")&amp;") 초과",IF($P140="","발행여부 확인 필요",IF($R140="","소재 입고일정 확인 필요","정상"))))))</f>
        <v/>
      </c>
      <c r="AE140" s="19">
        <f>IF($J140="","",IF(OR(LEFT($AD140,2)="작지",LEFT($AD140,4)="소재입고"),IF(LEFT($G140,1)="A","★ 납기위험(A코드)","◆ 지연주의"),IF($AD140="정상","✓ 정상","? 확인필요")))</f>
        <v/>
      </c>
      <c r="AF140" s="21" t="n"/>
      <c r="AG140" s="28" t="n"/>
    </row>
    <row r="141">
      <c r="A141" s="19" t="n">
        <v>137</v>
      </c>
      <c r="B141" s="20" t="inlineStr">
        <is>
          <t>박지인</t>
        </is>
      </c>
      <c r="C141" s="20" t="inlineStr">
        <is>
          <t>심현숙</t>
        </is>
      </c>
      <c r="D141" s="20" t="inlineStr">
        <is>
          <t>JNTBW27501</t>
        </is>
      </c>
      <c r="E141" s="20" t="inlineStr">
        <is>
          <t>남녀공용 UL 알파다이렉트 90 후드 티셔츠</t>
        </is>
      </c>
      <c r="F141" s="20" t="inlineStr">
        <is>
          <t>PEG/NEG/EFL</t>
        </is>
      </c>
      <c r="G141" s="19">
        <f>IF($D141="","",IF(MID($D141,5,1)="A","A(가을)",IF(MID($D141,5,1)="W","W(겨울)",IF(MID($D141,5,1)="X","X(사계절)",MID($D141,5,1)))))</f>
        <v/>
      </c>
      <c r="H141" s="19" t="n"/>
      <c r="I141" s="21" t="inlineStr">
        <is>
          <t>8월3주</t>
        </is>
      </c>
      <c r="J141" s="22">
        <f>IF($I141="","",IFERROR(DATE(기준정보!$C$7,VALUE(LEFT($I141,FIND("월",$I141)-1)),1+7*(VALUE(SUBSTITUTE(MID($I141,FIND("월",$I141)+1,5),"주",""))-1)),""))</f>
        <v/>
      </c>
      <c r="K141" s="22">
        <f>IF($J141="","",IF(AND(ISNUMBER(SEARCH("미얀마",$U141)),$J141-기준정보!$C$5&gt;=기준정보!$C$8,$J141-기준정보!$C$5&lt;=기준정보!$C$9),기준정보!$C$8-1,IF(AND(ISNUMBER(SEARCH("인도네시아",$U141)),$J141-기준정보!$C$5&gt;=기준정보!$C$10,$J141-기준정보!$C$5&lt;=기준정보!$C$11),기준정보!$C$10-1,$J141-기준정보!$C$5)))</f>
        <v/>
      </c>
      <c r="L141" s="23">
        <f>IF($K141="","",IF(ISNUMBER(SEARCH("미얀마",$U141)),MAX(0,MIN($K141,기준정보!$C$9)-MAX($K141-기준정보!$C$6,기준정보!$C$8)+1),IF(ISNUMBER(SEARCH("인도네시아",$U141)),MAX(0,MIN($K141,기준정보!$C$11)-MAX($K141-기준정보!$C$6,기준정보!$C$10)+1),0)))</f>
        <v/>
      </c>
      <c r="M141" s="22">
        <f>IF($K141="","",$K141-기준정보!$C$6-$L141)</f>
        <v/>
      </c>
      <c r="N141" s="24">
        <f>IF($M141="","",$M141-기준정보!$C$4)</f>
        <v/>
      </c>
      <c r="O141" s="21" t="n"/>
      <c r="P141" s="21" t="n"/>
      <c r="Q141" s="21" t="n"/>
      <c r="R141" s="25" t="n"/>
      <c r="S141" s="20">
        <f>IF($H141="","",IF($H141="C","본사(소재팀)",IF($H141="완","생산처","확인 필요")))</f>
        <v/>
      </c>
      <c r="T141" s="20" t="inlineStr">
        <is>
          <t>IKG</t>
        </is>
      </c>
      <c r="U141" s="20" t="inlineStr">
        <is>
          <t>인도네시아</t>
        </is>
      </c>
      <c r="V141" s="20" t="n"/>
      <c r="W141" s="26" t="n"/>
      <c r="X141" s="26" t="n"/>
      <c r="Y141" s="22" t="n"/>
      <c r="Z141" s="27" t="n">
        <v>1200</v>
      </c>
      <c r="AA141" s="27" t="n">
        <v>61953600</v>
      </c>
      <c r="AB141" s="27" t="n">
        <v>204000000</v>
      </c>
      <c r="AC141" s="20" t="n"/>
      <c r="AD141" s="20">
        <f>IF($J141="","출고일 미정",IF($P141="X","작지 미발행",IF($P141="부분","작지 일부 미발행",IF(AND($R141&lt;&gt;"",$R141&gt;$M141),"소재입고 마감("&amp;TEXT($M141,"MM/DD")&amp;") 초과",IF($P141="","발행여부 확인 필요",IF($R141="","소재 입고일정 확인 필요","정상"))))))</f>
        <v/>
      </c>
      <c r="AE141" s="19">
        <f>IF($J141="","",IF(OR(LEFT($AD141,2)="작지",LEFT($AD141,4)="소재입고"),IF(LEFT($G141,1)="A","★ 납기위험(A코드)","◆ 지연주의"),IF($AD141="정상","✓ 정상","? 확인필요")))</f>
        <v/>
      </c>
      <c r="AF141" s="21" t="n"/>
      <c r="AG141" s="28" t="n"/>
    </row>
    <row r="142">
      <c r="A142" s="19" t="n">
        <v>138</v>
      </c>
      <c r="B142" s="20" t="inlineStr">
        <is>
          <t>박지인</t>
        </is>
      </c>
      <c r="C142" s="20" t="inlineStr">
        <is>
          <t>심현숙</t>
        </is>
      </c>
      <c r="D142" s="20" t="inlineStr">
        <is>
          <t>JNVAW27511</t>
        </is>
      </c>
      <c r="E142" s="20" t="inlineStr">
        <is>
          <t>남녀공용 UL 알파다이렉트 120 스탠드넥 베스트</t>
        </is>
      </c>
      <c r="F142" s="20" t="inlineStr">
        <is>
          <t>CHR/DOE</t>
        </is>
      </c>
      <c r="G142" s="19">
        <f>IF($D142="","",IF(MID($D142,5,1)="A","A(가을)",IF(MID($D142,5,1)="W","W(겨울)",IF(MID($D142,5,1)="X","X(사계절)",MID($D142,5,1)))))</f>
        <v/>
      </c>
      <c r="H142" s="19" t="n"/>
      <c r="I142" s="21" t="inlineStr">
        <is>
          <t>8월3주</t>
        </is>
      </c>
      <c r="J142" s="22">
        <f>IF($I142="","",IFERROR(DATE(기준정보!$C$7,VALUE(LEFT($I142,FIND("월",$I142)-1)),1+7*(VALUE(SUBSTITUTE(MID($I142,FIND("월",$I142)+1,5),"주",""))-1)),""))</f>
        <v/>
      </c>
      <c r="K142" s="22">
        <f>IF($J142="","",IF(AND(ISNUMBER(SEARCH("미얀마",$U142)),$J142-기준정보!$C$5&gt;=기준정보!$C$8,$J142-기준정보!$C$5&lt;=기준정보!$C$9),기준정보!$C$8-1,IF(AND(ISNUMBER(SEARCH("인도네시아",$U142)),$J142-기준정보!$C$5&gt;=기준정보!$C$10,$J142-기준정보!$C$5&lt;=기준정보!$C$11),기준정보!$C$10-1,$J142-기준정보!$C$5)))</f>
        <v/>
      </c>
      <c r="L142" s="23">
        <f>IF($K142="","",IF(ISNUMBER(SEARCH("미얀마",$U142)),MAX(0,MIN($K142,기준정보!$C$9)-MAX($K142-기준정보!$C$6,기준정보!$C$8)+1),IF(ISNUMBER(SEARCH("인도네시아",$U142)),MAX(0,MIN($K142,기준정보!$C$11)-MAX($K142-기준정보!$C$6,기준정보!$C$10)+1),0)))</f>
        <v/>
      </c>
      <c r="M142" s="22">
        <f>IF($K142="","",$K142-기준정보!$C$6-$L142)</f>
        <v/>
      </c>
      <c r="N142" s="24">
        <f>IF($M142="","",$M142-기준정보!$C$4)</f>
        <v/>
      </c>
      <c r="O142" s="21" t="n"/>
      <c r="P142" s="21" t="n"/>
      <c r="Q142" s="21" t="n"/>
      <c r="R142" s="25" t="n"/>
      <c r="S142" s="20">
        <f>IF($H142="","",IF($H142="C","본사(소재팀)",IF($H142="완","생산처","확인 필요")))</f>
        <v/>
      </c>
      <c r="T142" s="20" t="inlineStr">
        <is>
          <t>아이블</t>
        </is>
      </c>
      <c r="U142" s="20" t="inlineStr">
        <is>
          <t>베트남</t>
        </is>
      </c>
      <c r="V142" s="20" t="n"/>
      <c r="W142" s="26" t="n"/>
      <c r="X142" s="26" t="n"/>
      <c r="Y142" s="22" t="n"/>
      <c r="Z142" s="27" t="n">
        <v>600</v>
      </c>
      <c r="AA142" s="27" t="n">
        <v>44716800</v>
      </c>
      <c r="AB142" s="27" t="n">
        <v>132000000</v>
      </c>
      <c r="AC142" s="20" t="n"/>
      <c r="AD142" s="20">
        <f>IF($J142="","출고일 미정",IF($P142="X","작지 미발행",IF($P142="부분","작지 일부 미발행",IF(AND($R142&lt;&gt;"",$R142&gt;$M142),"소재입고 마감("&amp;TEXT($M142,"MM/DD")&amp;") 초과",IF($P142="","발행여부 확인 필요",IF($R142="","소재 입고일정 확인 필요","정상"))))))</f>
        <v/>
      </c>
      <c r="AE142" s="19">
        <f>IF($J142="","",IF(OR(LEFT($AD142,2)="작지",LEFT($AD142,4)="소재입고"),IF(LEFT($G142,1)="A","★ 납기위험(A코드)","◆ 지연주의"),IF($AD142="정상","✓ 정상","? 확인필요")))</f>
        <v/>
      </c>
      <c r="AF142" s="21" t="n"/>
      <c r="AG142" s="28" t="n"/>
    </row>
    <row r="143">
      <c r="A143" s="19" t="n">
        <v>139</v>
      </c>
      <c r="B143" s="20" t="inlineStr">
        <is>
          <t>최진민</t>
        </is>
      </c>
      <c r="C143" s="20" t="inlineStr">
        <is>
          <t>김지원</t>
        </is>
      </c>
      <c r="D143" s="20" t="inlineStr">
        <is>
          <t>JWIBW27041</t>
        </is>
      </c>
      <c r="E143" s="20" t="inlineStr">
        <is>
          <t>남성 메리노울 슬림핏 베이스레이어 하의</t>
        </is>
      </c>
      <c r="F143" s="20" t="inlineStr">
        <is>
          <t>DEB</t>
        </is>
      </c>
      <c r="G143" s="19">
        <f>IF($D143="","",IF(MID($D143,5,1)="A","A(가을)",IF(MID($D143,5,1)="W","W(겨울)",IF(MID($D143,5,1)="X","X(사계절)",MID($D143,5,1)))))</f>
        <v/>
      </c>
      <c r="H143" s="19" t="inlineStr">
        <is>
          <t>완</t>
        </is>
      </c>
      <c r="I143" s="21" t="inlineStr">
        <is>
          <t>8월3주</t>
        </is>
      </c>
      <c r="J143" s="22">
        <f>IF($I143="","",IFERROR(DATE(기준정보!$C$7,VALUE(LEFT($I143,FIND("월",$I143)-1)),1+7*(VALUE(SUBSTITUTE(MID($I143,FIND("월",$I143)+1,5),"주",""))-1)),""))</f>
        <v/>
      </c>
      <c r="K143" s="22">
        <f>IF($J143="","",IF(AND(ISNUMBER(SEARCH("미얀마",$U143)),$J143-기준정보!$C$5&gt;=기준정보!$C$8,$J143-기준정보!$C$5&lt;=기준정보!$C$9),기준정보!$C$8-1,IF(AND(ISNUMBER(SEARCH("인도네시아",$U143)),$J143-기준정보!$C$5&gt;=기준정보!$C$10,$J143-기준정보!$C$5&lt;=기준정보!$C$11),기준정보!$C$10-1,$J143-기준정보!$C$5)))</f>
        <v/>
      </c>
      <c r="L143" s="23">
        <f>IF($K143="","",IF(ISNUMBER(SEARCH("미얀마",$U143)),MAX(0,MIN($K143,기준정보!$C$9)-MAX($K143-기준정보!$C$6,기준정보!$C$8)+1),IF(ISNUMBER(SEARCH("인도네시아",$U143)),MAX(0,MIN($K143,기준정보!$C$11)-MAX($K143-기준정보!$C$6,기준정보!$C$10)+1),0)))</f>
        <v/>
      </c>
      <c r="M143" s="22">
        <f>IF($K143="","",$K143-기준정보!$C$6-$L143)</f>
        <v/>
      </c>
      <c r="N143" s="24">
        <f>IF($M143="","",$M143-기준정보!$C$4)</f>
        <v/>
      </c>
      <c r="O143" s="21" t="n"/>
      <c r="P143" s="21" t="n"/>
      <c r="Q143" s="21" t="n"/>
      <c r="R143" s="25" t="n"/>
      <c r="S143" s="20">
        <f>IF($H143="","",IF($H143="C","본사(소재팀)",IF($H143="완","생산처","확인 필요")))</f>
        <v/>
      </c>
      <c r="T143" s="20" t="inlineStr">
        <is>
          <t>Filati</t>
        </is>
      </c>
      <c r="U143" s="20" t="inlineStr">
        <is>
          <t>폴란드</t>
        </is>
      </c>
      <c r="V143" s="20" t="n"/>
      <c r="W143" s="26" t="n"/>
      <c r="X143" s="26" t="n"/>
      <c r="Y143" s="22" t="n"/>
      <c r="Z143" s="27" t="n">
        <v>650</v>
      </c>
      <c r="AA143" s="27" t="n">
        <v>23838750</v>
      </c>
      <c r="AB143" s="27" t="n">
        <v>83200000</v>
      </c>
      <c r="AC143" s="20" t="n"/>
      <c r="AD143" s="20">
        <f>IF($J143="","출고일 미정",IF($P143="X","작지 미발행",IF($P143="부분","작지 일부 미발행",IF(AND($R143&lt;&gt;"",$R143&gt;$M143),"소재입고 마감("&amp;TEXT($M143,"MM/DD")&amp;") 초과",IF($P143="","발행여부 확인 필요",IF($R143="","소재 입고일정 확인 필요","정상"))))))</f>
        <v/>
      </c>
      <c r="AE143" s="19">
        <f>IF($J143="","",IF(OR(LEFT($AD143,2)="작지",LEFT($AD143,4)="소재입고"),IF(LEFT($G143,1)="A","★ 납기위험(A코드)","◆ 지연주의"),IF($AD143="정상","✓ 정상","? 확인필요")))</f>
        <v/>
      </c>
      <c r="AF143" s="21" t="n"/>
      <c r="AG143" s="28" t="n"/>
    </row>
    <row r="144">
      <c r="A144" s="19" t="n">
        <v>140</v>
      </c>
      <c r="B144" s="20" t="inlineStr">
        <is>
          <t>최진민</t>
        </is>
      </c>
      <c r="C144" s="20" t="inlineStr">
        <is>
          <t>김지원</t>
        </is>
      </c>
      <c r="D144" s="20" t="inlineStr">
        <is>
          <t>JWICW27041</t>
        </is>
      </c>
      <c r="E144" s="20" t="inlineStr">
        <is>
          <t>남성 메리노울 슬림핏 바라클라바 베이스레이어 상의</t>
        </is>
      </c>
      <c r="F144" s="20" t="inlineStr">
        <is>
          <t>DEB/ASB</t>
        </is>
      </c>
      <c r="G144" s="19">
        <f>IF($D144="","",IF(MID($D144,5,1)="A","A(가을)",IF(MID($D144,5,1)="W","W(겨울)",IF(MID($D144,5,1)="X","X(사계절)",MID($D144,5,1)))))</f>
        <v/>
      </c>
      <c r="H144" s="19" t="inlineStr">
        <is>
          <t>완</t>
        </is>
      </c>
      <c r="I144" s="21" t="inlineStr">
        <is>
          <t>8월3주</t>
        </is>
      </c>
      <c r="J144" s="22">
        <f>IF($I144="","",IFERROR(DATE(기준정보!$C$7,VALUE(LEFT($I144,FIND("월",$I144)-1)),1+7*(VALUE(SUBSTITUTE(MID($I144,FIND("월",$I144)+1,5),"주",""))-1)),""))</f>
        <v/>
      </c>
      <c r="K144" s="22">
        <f>IF($J144="","",IF(AND(ISNUMBER(SEARCH("미얀마",$U144)),$J144-기준정보!$C$5&gt;=기준정보!$C$8,$J144-기준정보!$C$5&lt;=기준정보!$C$9),기준정보!$C$8-1,IF(AND(ISNUMBER(SEARCH("인도네시아",$U144)),$J144-기준정보!$C$5&gt;=기준정보!$C$10,$J144-기준정보!$C$5&lt;=기준정보!$C$11),기준정보!$C$10-1,$J144-기준정보!$C$5)))</f>
        <v/>
      </c>
      <c r="L144" s="23">
        <f>IF($K144="","",IF(ISNUMBER(SEARCH("미얀마",$U144)),MAX(0,MIN($K144,기준정보!$C$9)-MAX($K144-기준정보!$C$6,기준정보!$C$8)+1),IF(ISNUMBER(SEARCH("인도네시아",$U144)),MAX(0,MIN($K144,기준정보!$C$11)-MAX($K144-기준정보!$C$6,기준정보!$C$10)+1),0)))</f>
        <v/>
      </c>
      <c r="M144" s="22">
        <f>IF($K144="","",$K144-기준정보!$C$6-$L144)</f>
        <v/>
      </c>
      <c r="N144" s="24">
        <f>IF($M144="","",$M144-기준정보!$C$4)</f>
        <v/>
      </c>
      <c r="O144" s="21" t="n"/>
      <c r="P144" s="21" t="n"/>
      <c r="Q144" s="21" t="n"/>
      <c r="R144" s="25" t="n"/>
      <c r="S144" s="20">
        <f>IF($H144="","",IF($H144="C","본사(소재팀)",IF($H144="완","생산처","확인 필요")))</f>
        <v/>
      </c>
      <c r="T144" s="20" t="inlineStr">
        <is>
          <t>Filati</t>
        </is>
      </c>
      <c r="U144" s="20" t="inlineStr">
        <is>
          <t>폴란드</t>
        </is>
      </c>
      <c r="V144" s="20" t="n"/>
      <c r="W144" s="26" t="n"/>
      <c r="X144" s="26" t="n"/>
      <c r="Y144" s="22" t="n"/>
      <c r="Z144" s="27" t="n">
        <v>600</v>
      </c>
      <c r="AA144" s="27" t="n">
        <v>24000000</v>
      </c>
      <c r="AB144" s="27" t="n">
        <v>150000000</v>
      </c>
      <c r="AC144" s="20" t="n"/>
      <c r="AD144" s="20">
        <f>IF($J144="","출고일 미정",IF($P144="X","작지 미발행",IF($P144="부분","작지 일부 미발행",IF(AND($R144&lt;&gt;"",$R144&gt;$M144),"소재입고 마감("&amp;TEXT($M144,"MM/DD")&amp;") 초과",IF($P144="","발행여부 확인 필요",IF($R144="","소재 입고일정 확인 필요","정상"))))))</f>
        <v/>
      </c>
      <c r="AE144" s="19">
        <f>IF($J144="","",IF(OR(LEFT($AD144,2)="작지",LEFT($AD144,4)="소재입고"),IF(LEFT($G144,1)="A","★ 납기위험(A코드)","◆ 지연주의"),IF($AD144="정상","✓ 정상","? 확인필요")))</f>
        <v/>
      </c>
      <c r="AF144" s="21" t="n"/>
      <c r="AG144" s="28" t="n"/>
    </row>
    <row r="145">
      <c r="A145" s="19" t="n">
        <v>141</v>
      </c>
      <c r="B145" s="20" t="inlineStr">
        <is>
          <t>최진민</t>
        </is>
      </c>
      <c r="C145" s="20" t="inlineStr">
        <is>
          <t>김지원</t>
        </is>
      </c>
      <c r="D145" s="20" t="inlineStr">
        <is>
          <t>JWICW27053</t>
        </is>
      </c>
      <c r="E145" s="20" t="inlineStr">
        <is>
          <t>남성 메리노울 슬림핏 긴팔 베이스레이어 상의</t>
        </is>
      </c>
      <c r="F145" s="20" t="inlineStr">
        <is>
          <t>PEG/DEB</t>
        </is>
      </c>
      <c r="G145" s="19">
        <f>IF($D145="","",IF(MID($D145,5,1)="A","A(가을)",IF(MID($D145,5,1)="W","W(겨울)",IF(MID($D145,5,1)="X","X(사계절)",MID($D145,5,1)))))</f>
        <v/>
      </c>
      <c r="H145" s="19" t="inlineStr">
        <is>
          <t>완</t>
        </is>
      </c>
      <c r="I145" s="21" t="inlineStr">
        <is>
          <t>8월3주</t>
        </is>
      </c>
      <c r="J145" s="22">
        <f>IF($I145="","",IFERROR(DATE(기준정보!$C$7,VALUE(LEFT($I145,FIND("월",$I145)-1)),1+7*(VALUE(SUBSTITUTE(MID($I145,FIND("월",$I145)+1,5),"주",""))-1)),""))</f>
        <v/>
      </c>
      <c r="K145" s="22">
        <f>IF($J145="","",IF(AND(ISNUMBER(SEARCH("미얀마",$U145)),$J145-기준정보!$C$5&gt;=기준정보!$C$8,$J145-기준정보!$C$5&lt;=기준정보!$C$9),기준정보!$C$8-1,IF(AND(ISNUMBER(SEARCH("인도네시아",$U145)),$J145-기준정보!$C$5&gt;=기준정보!$C$10,$J145-기준정보!$C$5&lt;=기준정보!$C$11),기준정보!$C$10-1,$J145-기준정보!$C$5)))</f>
        <v/>
      </c>
      <c r="L145" s="23">
        <f>IF($K145="","",IF(ISNUMBER(SEARCH("미얀마",$U145)),MAX(0,MIN($K145,기준정보!$C$9)-MAX($K145-기준정보!$C$6,기준정보!$C$8)+1),IF(ISNUMBER(SEARCH("인도네시아",$U145)),MAX(0,MIN($K145,기준정보!$C$11)-MAX($K145-기준정보!$C$6,기준정보!$C$10)+1),0)))</f>
        <v/>
      </c>
      <c r="M145" s="22">
        <f>IF($K145="","",$K145-기준정보!$C$6-$L145)</f>
        <v/>
      </c>
      <c r="N145" s="24">
        <f>IF($M145="","",$M145-기준정보!$C$4)</f>
        <v/>
      </c>
      <c r="O145" s="21" t="n"/>
      <c r="P145" s="21" t="n"/>
      <c r="Q145" s="21" t="n"/>
      <c r="R145" s="25" t="n"/>
      <c r="S145" s="20">
        <f>IF($H145="","",IF($H145="C","본사(소재팀)",IF($H145="완","생산처","확인 필요")))</f>
        <v/>
      </c>
      <c r="T145" s="20" t="inlineStr">
        <is>
          <t>Filati</t>
        </is>
      </c>
      <c r="U145" s="20" t="inlineStr">
        <is>
          <t>폴란드</t>
        </is>
      </c>
      <c r="V145" s="20" t="n"/>
      <c r="W145" s="26" t="n"/>
      <c r="X145" s="26" t="n"/>
      <c r="Y145" s="22" t="n"/>
      <c r="Z145" s="27" t="n">
        <v>850</v>
      </c>
      <c r="AA145" s="27" t="n">
        <v>34461550</v>
      </c>
      <c r="AB145" s="27" t="n">
        <v>151300000</v>
      </c>
      <c r="AC145" s="20" t="n"/>
      <c r="AD145" s="20">
        <f>IF($J145="","출고일 미정",IF($P145="X","작지 미발행",IF($P145="부분","작지 일부 미발행",IF(AND($R145&lt;&gt;"",$R145&gt;$M145),"소재입고 마감("&amp;TEXT($M145,"MM/DD")&amp;") 초과",IF($P145="","발행여부 확인 필요",IF($R145="","소재 입고일정 확인 필요","정상"))))))</f>
        <v/>
      </c>
      <c r="AE145" s="19">
        <f>IF($J145="","",IF(OR(LEFT($AD145,2)="작지",LEFT($AD145,4)="소재입고"),IF(LEFT($G145,1)="A","★ 납기위험(A코드)","◆ 지연주의"),IF($AD145="정상","✓ 정상","? 확인필요")))</f>
        <v/>
      </c>
      <c r="AF145" s="21" t="n"/>
      <c r="AG145" s="28" t="n"/>
    </row>
    <row r="146">
      <c r="A146" s="19" t="n">
        <v>142</v>
      </c>
      <c r="B146" s="20" t="inlineStr">
        <is>
          <t>최진민</t>
        </is>
      </c>
      <c r="C146" s="20" t="inlineStr">
        <is>
          <t>김지원</t>
        </is>
      </c>
      <c r="D146" s="20" t="inlineStr">
        <is>
          <t>JWJGW27001</t>
        </is>
      </c>
      <c r="E146" s="20" t="inlineStr">
        <is>
          <t>남성 고어텍스 3L PRO 오버핏 방수 재킷</t>
        </is>
      </c>
      <c r="F146" s="20" t="inlineStr">
        <is>
          <t>DOE/EFL</t>
        </is>
      </c>
      <c r="G146" s="19">
        <f>IF($D146="","",IF(MID($D146,5,1)="A","A(가을)",IF(MID($D146,5,1)="W","W(겨울)",IF(MID($D146,5,1)="X","X(사계절)",MID($D146,5,1)))))</f>
        <v/>
      </c>
      <c r="H146" s="19" t="inlineStr">
        <is>
          <t>C</t>
        </is>
      </c>
      <c r="I146" s="21" t="inlineStr">
        <is>
          <t>8월3주</t>
        </is>
      </c>
      <c r="J146" s="22">
        <f>IF($I146="","",IFERROR(DATE(기준정보!$C$7,VALUE(LEFT($I146,FIND("월",$I146)-1)),1+7*(VALUE(SUBSTITUTE(MID($I146,FIND("월",$I146)+1,5),"주",""))-1)),""))</f>
        <v/>
      </c>
      <c r="K146" s="22">
        <f>IF($J146="","",IF(AND(ISNUMBER(SEARCH("미얀마",$U146)),$J146-기준정보!$C$5&gt;=기준정보!$C$8,$J146-기준정보!$C$5&lt;=기준정보!$C$9),기준정보!$C$8-1,IF(AND(ISNUMBER(SEARCH("인도네시아",$U146)),$J146-기준정보!$C$5&gt;=기준정보!$C$10,$J146-기준정보!$C$5&lt;=기준정보!$C$11),기준정보!$C$10-1,$J146-기준정보!$C$5)))</f>
        <v/>
      </c>
      <c r="L146" s="23">
        <f>IF($K146="","",IF(ISNUMBER(SEARCH("미얀마",$U146)),MAX(0,MIN($K146,기준정보!$C$9)-MAX($K146-기준정보!$C$6,기준정보!$C$8)+1),IF(ISNUMBER(SEARCH("인도네시아",$U146)),MAX(0,MIN($K146,기준정보!$C$11)-MAX($K146-기준정보!$C$6,기준정보!$C$10)+1),0)))</f>
        <v/>
      </c>
      <c r="M146" s="22">
        <f>IF($K146="","",$K146-기준정보!$C$6-$L146)</f>
        <v/>
      </c>
      <c r="N146" s="24">
        <f>IF($M146="","",$M146-기준정보!$C$4)</f>
        <v/>
      </c>
      <c r="O146" s="21" t="n"/>
      <c r="P146" s="21" t="n"/>
      <c r="Q146" s="21" t="n"/>
      <c r="R146" s="25" t="n"/>
      <c r="S146" s="20">
        <f>IF($H146="","",IF($H146="C","본사(소재팀)",IF($H146="완","생산처","확인 필요")))</f>
        <v/>
      </c>
      <c r="T146" s="20" t="inlineStr">
        <is>
          <t>포마트</t>
        </is>
      </c>
      <c r="U146" s="20" t="inlineStr">
        <is>
          <t>베트남</t>
        </is>
      </c>
      <c r="V146" s="20" t="n"/>
      <c r="W146" s="26" t="n"/>
      <c r="X146" s="26" t="n"/>
      <c r="Y146" s="22" t="n"/>
      <c r="Z146" s="27" t="n">
        <v>200</v>
      </c>
      <c r="AA146" s="27" t="n">
        <v>61160400</v>
      </c>
      <c r="AB146" s="27" t="n">
        <v>220000000</v>
      </c>
      <c r="AC146" s="20" t="n"/>
      <c r="AD146" s="20">
        <f>IF($J146="","출고일 미정",IF($P146="X","작지 미발행",IF($P146="부분","작지 일부 미발행",IF(AND($R146&lt;&gt;"",$R146&gt;$M146),"소재입고 마감("&amp;TEXT($M146,"MM/DD")&amp;") 초과",IF($P146="","발행여부 확인 필요",IF($R146="","소재 입고일정 확인 필요","정상"))))))</f>
        <v/>
      </c>
      <c r="AE146" s="19">
        <f>IF($J146="","",IF(OR(LEFT($AD146,2)="작지",LEFT($AD146,4)="소재입고"),IF(LEFT($G146,1)="A","★ 납기위험(A코드)","◆ 지연주의"),IF($AD146="정상","✓ 정상","? 확인필요")))</f>
        <v/>
      </c>
      <c r="AF146" s="21" t="n"/>
      <c r="AG146" s="28" t="n"/>
    </row>
    <row r="147">
      <c r="A147" s="19" t="n">
        <v>143</v>
      </c>
      <c r="B147" s="20" t="inlineStr">
        <is>
          <t>최진민</t>
        </is>
      </c>
      <c r="C147" s="20" t="inlineStr">
        <is>
          <t>김지원</t>
        </is>
      </c>
      <c r="D147" s="20" t="inlineStr">
        <is>
          <t>JWJJW27015</t>
        </is>
      </c>
      <c r="E147" s="20" t="inlineStr">
        <is>
          <t>남성 프리마로프트 경량 재킷</t>
        </is>
      </c>
      <c r="F147" s="20" t="inlineStr">
        <is>
          <t>DEB/PEG/DOE</t>
        </is>
      </c>
      <c r="G147" s="19">
        <f>IF($D147="","",IF(MID($D147,5,1)="A","A(가을)",IF(MID($D147,5,1)="W","W(겨울)",IF(MID($D147,5,1)="X","X(사계절)",MID($D147,5,1)))))</f>
        <v/>
      </c>
      <c r="H147" s="19" t="inlineStr">
        <is>
          <t>완</t>
        </is>
      </c>
      <c r="I147" s="21" t="inlineStr">
        <is>
          <t>8월3주</t>
        </is>
      </c>
      <c r="J147" s="22">
        <f>IF($I147="","",IFERROR(DATE(기준정보!$C$7,VALUE(LEFT($I147,FIND("월",$I147)-1)),1+7*(VALUE(SUBSTITUTE(MID($I147,FIND("월",$I147)+1,5),"주",""))-1)),""))</f>
        <v/>
      </c>
      <c r="K147" s="22">
        <f>IF($J147="","",IF(AND(ISNUMBER(SEARCH("미얀마",$U147)),$J147-기준정보!$C$5&gt;=기준정보!$C$8,$J147-기준정보!$C$5&lt;=기준정보!$C$9),기준정보!$C$8-1,IF(AND(ISNUMBER(SEARCH("인도네시아",$U147)),$J147-기준정보!$C$5&gt;=기준정보!$C$10,$J147-기준정보!$C$5&lt;=기준정보!$C$11),기준정보!$C$10-1,$J147-기준정보!$C$5)))</f>
        <v/>
      </c>
      <c r="L147" s="23">
        <f>IF($K147="","",IF(ISNUMBER(SEARCH("미얀마",$U147)),MAX(0,MIN($K147,기준정보!$C$9)-MAX($K147-기준정보!$C$6,기준정보!$C$8)+1),IF(ISNUMBER(SEARCH("인도네시아",$U147)),MAX(0,MIN($K147,기준정보!$C$11)-MAX($K147-기준정보!$C$6,기준정보!$C$10)+1),0)))</f>
        <v/>
      </c>
      <c r="M147" s="22">
        <f>IF($K147="","",$K147-기준정보!$C$6-$L147)</f>
        <v/>
      </c>
      <c r="N147" s="24">
        <f>IF($M147="","",$M147-기준정보!$C$4)</f>
        <v/>
      </c>
      <c r="O147" s="21" t="n"/>
      <c r="P147" s="21" t="n"/>
      <c r="Q147" s="21" t="n"/>
      <c r="R147" s="25" t="n"/>
      <c r="S147" s="20">
        <f>IF($H147="","",IF($H147="C","본사(소재팀)",IF($H147="완","생산처","확인 필요")))</f>
        <v/>
      </c>
      <c r="T147" s="20" t="inlineStr">
        <is>
          <t>원전</t>
        </is>
      </c>
      <c r="U147" s="20" t="inlineStr">
        <is>
          <t>인도네시아</t>
        </is>
      </c>
      <c r="V147" s="20" t="n"/>
      <c r="W147" s="26" t="n"/>
      <c r="X147" s="26" t="n"/>
      <c r="Y147" s="22" t="n"/>
      <c r="Z147" s="27" t="n">
        <v>2500</v>
      </c>
      <c r="AA147" s="27" t="n">
        <v>225037500</v>
      </c>
      <c r="AB147" s="27" t="n">
        <v>925000000</v>
      </c>
      <c r="AC147" s="20" t="n"/>
      <c r="AD147" s="20">
        <f>IF($J147="","출고일 미정",IF($P147="X","작지 미발행",IF($P147="부분","작지 일부 미발행",IF(AND($R147&lt;&gt;"",$R147&gt;$M147),"소재입고 마감("&amp;TEXT($M147,"MM/DD")&amp;") 초과",IF($P147="","발행여부 확인 필요",IF($R147="","소재 입고일정 확인 필요","정상"))))))</f>
        <v/>
      </c>
      <c r="AE147" s="19">
        <f>IF($J147="","",IF(OR(LEFT($AD147,2)="작지",LEFT($AD147,4)="소재입고"),IF(LEFT($G147,1)="A","★ 납기위험(A코드)","◆ 지연주의"),IF($AD147="정상","✓ 정상","? 확인필요")))</f>
        <v/>
      </c>
      <c r="AF147" s="21" t="n"/>
      <c r="AG147" s="28" t="n"/>
    </row>
    <row r="148">
      <c r="A148" s="19" t="n">
        <v>144</v>
      </c>
      <c r="B148" s="20" t="inlineStr">
        <is>
          <t>최진민</t>
        </is>
      </c>
      <c r="C148" s="20" t="inlineStr">
        <is>
          <t>나영길</t>
        </is>
      </c>
      <c r="D148" s="20" t="inlineStr">
        <is>
          <t>JWJJW27403</t>
        </is>
      </c>
      <c r="E148" s="20" t="inlineStr">
        <is>
          <t>남성 스톰플리스 프로 스탠드넥 재킷</t>
        </is>
      </c>
      <c r="F148" s="20" t="inlineStr">
        <is>
          <t>DEB/DOE/PEG</t>
        </is>
      </c>
      <c r="G148" s="19">
        <f>IF($D148="","",IF(MID($D148,5,1)="A","A(가을)",IF(MID($D148,5,1)="W","W(겨울)",IF(MID($D148,5,1)="X","X(사계절)",MID($D148,5,1)))))</f>
        <v/>
      </c>
      <c r="H148" s="19" t="inlineStr">
        <is>
          <t>완</t>
        </is>
      </c>
      <c r="I148" s="21" t="inlineStr">
        <is>
          <t>8월3주</t>
        </is>
      </c>
      <c r="J148" s="22">
        <f>IF($I148="","",IFERROR(DATE(기준정보!$C$7,VALUE(LEFT($I148,FIND("월",$I148)-1)),1+7*(VALUE(SUBSTITUTE(MID($I148,FIND("월",$I148)+1,5),"주",""))-1)),""))</f>
        <v/>
      </c>
      <c r="K148" s="22">
        <f>IF($J148="","",IF(AND(ISNUMBER(SEARCH("미얀마",$U148)),$J148-기준정보!$C$5&gt;=기준정보!$C$8,$J148-기준정보!$C$5&lt;=기준정보!$C$9),기준정보!$C$8-1,IF(AND(ISNUMBER(SEARCH("인도네시아",$U148)),$J148-기준정보!$C$5&gt;=기준정보!$C$10,$J148-기준정보!$C$5&lt;=기준정보!$C$11),기준정보!$C$10-1,$J148-기준정보!$C$5)))</f>
        <v/>
      </c>
      <c r="L148" s="23">
        <f>IF($K148="","",IF(ISNUMBER(SEARCH("미얀마",$U148)),MAX(0,MIN($K148,기준정보!$C$9)-MAX($K148-기준정보!$C$6,기준정보!$C$8)+1),IF(ISNUMBER(SEARCH("인도네시아",$U148)),MAX(0,MIN($K148,기준정보!$C$11)-MAX($K148-기준정보!$C$6,기준정보!$C$10)+1),0)))</f>
        <v/>
      </c>
      <c r="M148" s="22">
        <f>IF($K148="","",$K148-기준정보!$C$6-$L148)</f>
        <v/>
      </c>
      <c r="N148" s="24">
        <f>IF($M148="","",$M148-기준정보!$C$4)</f>
        <v/>
      </c>
      <c r="O148" s="21" t="n"/>
      <c r="P148" s="21" t="n"/>
      <c r="Q148" s="21" t="n"/>
      <c r="R148" s="25" t="n"/>
      <c r="S148" s="20">
        <f>IF($H148="","",IF($H148="C","본사(소재팀)",IF($H148="완","생산처","확인 필요")))</f>
        <v/>
      </c>
      <c r="T148" s="20" t="inlineStr">
        <is>
          <t>기도</t>
        </is>
      </c>
      <c r="U148" s="20" t="inlineStr">
        <is>
          <t>베트남</t>
        </is>
      </c>
      <c r="V148" s="20" t="n"/>
      <c r="W148" s="26" t="n"/>
      <c r="X148" s="26" t="n"/>
      <c r="Y148" s="22" t="n"/>
      <c r="Z148" s="27" t="n">
        <v>2000</v>
      </c>
      <c r="AA148" s="27" t="n">
        <v>169910000</v>
      </c>
      <c r="AB148" s="27" t="n">
        <v>700000000</v>
      </c>
      <c r="AC148" s="20" t="n"/>
      <c r="AD148" s="20">
        <f>IF($J148="","출고일 미정",IF($P148="X","작지 미발행",IF($P148="부분","작지 일부 미발행",IF(AND($R148&lt;&gt;"",$R148&gt;$M148),"소재입고 마감("&amp;TEXT($M148,"MM/DD")&amp;") 초과",IF($P148="","발행여부 확인 필요",IF($R148="","소재 입고일정 확인 필요","정상"))))))</f>
        <v/>
      </c>
      <c r="AE148" s="19">
        <f>IF($J148="","",IF(OR(LEFT($AD148,2)="작지",LEFT($AD148,4)="소재입고"),IF(LEFT($G148,1)="A","★ 납기위험(A코드)","◆ 지연주의"),IF($AD148="정상","✓ 정상","? 확인필요")))</f>
        <v/>
      </c>
      <c r="AF148" s="21" t="n"/>
      <c r="AG148" s="28" t="n"/>
    </row>
    <row r="149">
      <c r="A149" s="19" t="n">
        <v>145</v>
      </c>
      <c r="B149" s="20" t="inlineStr">
        <is>
          <t>최진민</t>
        </is>
      </c>
      <c r="C149" s="20" t="inlineStr">
        <is>
          <t>나영길</t>
        </is>
      </c>
      <c r="D149" s="20" t="inlineStr">
        <is>
          <t>JWJJW27405</t>
        </is>
      </c>
      <c r="E149" s="20" t="inlineStr">
        <is>
          <t>남성 옥타 후디드 재킷</t>
        </is>
      </c>
      <c r="F149" s="20" t="inlineStr">
        <is>
          <t>DEB/PEG</t>
        </is>
      </c>
      <c r="G149" s="19">
        <f>IF($D149="","",IF(MID($D149,5,1)="A","A(가을)",IF(MID($D149,5,1)="W","W(겨울)",IF(MID($D149,5,1)="X","X(사계절)",MID($D149,5,1)))))</f>
        <v/>
      </c>
      <c r="H149" s="19" t="inlineStr">
        <is>
          <t>완</t>
        </is>
      </c>
      <c r="I149" s="21" t="inlineStr">
        <is>
          <t>8월3주</t>
        </is>
      </c>
      <c r="J149" s="22">
        <f>IF($I149="","",IFERROR(DATE(기준정보!$C$7,VALUE(LEFT($I149,FIND("월",$I149)-1)),1+7*(VALUE(SUBSTITUTE(MID($I149,FIND("월",$I149)+1,5),"주",""))-1)),""))</f>
        <v/>
      </c>
      <c r="K149" s="22">
        <f>IF($J149="","",IF(AND(ISNUMBER(SEARCH("미얀마",$U149)),$J149-기준정보!$C$5&gt;=기준정보!$C$8,$J149-기준정보!$C$5&lt;=기준정보!$C$9),기준정보!$C$8-1,IF(AND(ISNUMBER(SEARCH("인도네시아",$U149)),$J149-기준정보!$C$5&gt;=기준정보!$C$10,$J149-기준정보!$C$5&lt;=기준정보!$C$11),기준정보!$C$10-1,$J149-기준정보!$C$5)))</f>
        <v/>
      </c>
      <c r="L149" s="23">
        <f>IF($K149="","",IF(ISNUMBER(SEARCH("미얀마",$U149)),MAX(0,MIN($K149,기준정보!$C$9)-MAX($K149-기준정보!$C$6,기준정보!$C$8)+1),IF(ISNUMBER(SEARCH("인도네시아",$U149)),MAX(0,MIN($K149,기준정보!$C$11)-MAX($K149-기준정보!$C$6,기준정보!$C$10)+1),0)))</f>
        <v/>
      </c>
      <c r="M149" s="22">
        <f>IF($K149="","",$K149-기준정보!$C$6-$L149)</f>
        <v/>
      </c>
      <c r="N149" s="24">
        <f>IF($M149="","",$M149-기준정보!$C$4)</f>
        <v/>
      </c>
      <c r="O149" s="21" t="n"/>
      <c r="P149" s="21" t="n"/>
      <c r="Q149" s="21" t="n"/>
      <c r="R149" s="25" t="n"/>
      <c r="S149" s="20">
        <f>IF($H149="","",IF($H149="C","본사(소재팀)",IF($H149="완","생산처","확인 필요")))</f>
        <v/>
      </c>
      <c r="T149" s="20" t="inlineStr">
        <is>
          <t>원전</t>
        </is>
      </c>
      <c r="U149" s="20" t="inlineStr">
        <is>
          <t>인도네시아</t>
        </is>
      </c>
      <c r="V149" s="20" t="n"/>
      <c r="W149" s="26" t="n"/>
      <c r="X149" s="26" t="n"/>
      <c r="Y149" s="22" t="n"/>
      <c r="Z149" s="27" t="n">
        <v>1000</v>
      </c>
      <c r="AA149" s="27" t="n">
        <v>64625000</v>
      </c>
      <c r="AB149" s="27" t="n">
        <v>320000000</v>
      </c>
      <c r="AC149" s="20" t="n"/>
      <c r="AD149" s="20">
        <f>IF($J149="","출고일 미정",IF($P149="X","작지 미발행",IF($P149="부분","작지 일부 미발행",IF(AND($R149&lt;&gt;"",$R149&gt;$M149),"소재입고 마감("&amp;TEXT($M149,"MM/DD")&amp;") 초과",IF($P149="","발행여부 확인 필요",IF($R149="","소재 입고일정 확인 필요","정상"))))))</f>
        <v/>
      </c>
      <c r="AE149" s="19">
        <f>IF($J149="","",IF(OR(LEFT($AD149,2)="작지",LEFT($AD149,4)="소재입고"),IF(LEFT($G149,1)="A","★ 납기위험(A코드)","◆ 지연주의"),IF($AD149="정상","✓ 정상","? 확인필요")))</f>
        <v/>
      </c>
      <c r="AF149" s="21" t="n"/>
      <c r="AG149" s="28" t="n"/>
    </row>
    <row r="150">
      <c r="A150" s="19" t="n">
        <v>146</v>
      </c>
      <c r="B150" s="20" t="inlineStr">
        <is>
          <t>최진민</t>
        </is>
      </c>
      <c r="C150" s="20" t="inlineStr">
        <is>
          <t>김지원</t>
        </is>
      </c>
      <c r="D150" s="20" t="inlineStr">
        <is>
          <t>JWPNW27071</t>
        </is>
      </c>
      <c r="E150" s="20" t="inlineStr">
        <is>
          <t>남성 우븐 헤비 소프트쉘 팬츠</t>
        </is>
      </c>
      <c r="F150" s="20" t="inlineStr">
        <is>
          <t>DEB/PEG</t>
        </is>
      </c>
      <c r="G150" s="19">
        <f>IF($D150="","",IF(MID($D150,5,1)="A","A(가을)",IF(MID($D150,5,1)="W","W(겨울)",IF(MID($D150,5,1)="X","X(사계절)",MID($D150,5,1)))))</f>
        <v/>
      </c>
      <c r="H150" s="19" t="inlineStr">
        <is>
          <t>완</t>
        </is>
      </c>
      <c r="I150" s="21" t="inlineStr">
        <is>
          <t>8월3주</t>
        </is>
      </c>
      <c r="J150" s="22">
        <f>IF($I150="","",IFERROR(DATE(기준정보!$C$7,VALUE(LEFT($I150,FIND("월",$I150)-1)),1+7*(VALUE(SUBSTITUTE(MID($I150,FIND("월",$I150)+1,5),"주",""))-1)),""))</f>
        <v/>
      </c>
      <c r="K150" s="22">
        <f>IF($J150="","",IF(AND(ISNUMBER(SEARCH("미얀마",$U150)),$J150-기준정보!$C$5&gt;=기준정보!$C$8,$J150-기준정보!$C$5&lt;=기준정보!$C$9),기준정보!$C$8-1,IF(AND(ISNUMBER(SEARCH("인도네시아",$U150)),$J150-기준정보!$C$5&gt;=기준정보!$C$10,$J150-기준정보!$C$5&lt;=기준정보!$C$11),기준정보!$C$10-1,$J150-기준정보!$C$5)))</f>
        <v/>
      </c>
      <c r="L150" s="23">
        <f>IF($K150="","",IF(ISNUMBER(SEARCH("미얀마",$U150)),MAX(0,MIN($K150,기준정보!$C$9)-MAX($K150-기준정보!$C$6,기준정보!$C$8)+1),IF(ISNUMBER(SEARCH("인도네시아",$U150)),MAX(0,MIN($K150,기준정보!$C$11)-MAX($K150-기준정보!$C$6,기준정보!$C$10)+1),0)))</f>
        <v/>
      </c>
      <c r="M150" s="22">
        <f>IF($K150="","",$K150-기준정보!$C$6-$L150)</f>
        <v/>
      </c>
      <c r="N150" s="24">
        <f>IF($M150="","",$M150-기준정보!$C$4)</f>
        <v/>
      </c>
      <c r="O150" s="21" t="n"/>
      <c r="P150" s="21" t="n"/>
      <c r="Q150" s="21" t="n"/>
      <c r="R150" s="25" t="n"/>
      <c r="S150" s="20">
        <f>IF($H150="","",IF($H150="C","본사(소재팀)",IF($H150="완","생산처","확인 필요")))</f>
        <v/>
      </c>
      <c r="T150" s="20" t="inlineStr">
        <is>
          <t>TBO</t>
        </is>
      </c>
      <c r="U150" s="20" t="inlineStr">
        <is>
          <t>베트남</t>
        </is>
      </c>
      <c r="V150" s="20" t="n"/>
      <c r="W150" s="26" t="n"/>
      <c r="X150" s="26" t="n"/>
      <c r="Y150" s="22" t="n"/>
      <c r="Z150" s="27" t="n">
        <v>300</v>
      </c>
      <c r="AA150" s="27" t="n">
        <v>29400000</v>
      </c>
      <c r="AB150" s="27" t="n">
        <v>105000000</v>
      </c>
      <c r="AC150" s="20" t="n"/>
      <c r="AD150" s="20">
        <f>IF($J150="","출고일 미정",IF($P150="X","작지 미발행",IF($P150="부분","작지 일부 미발행",IF(AND($R150&lt;&gt;"",$R150&gt;$M150),"소재입고 마감("&amp;TEXT($M150,"MM/DD")&amp;") 초과",IF($P150="","발행여부 확인 필요",IF($R150="","소재 입고일정 확인 필요","정상"))))))</f>
        <v/>
      </c>
      <c r="AE150" s="19">
        <f>IF($J150="","",IF(OR(LEFT($AD150,2)="작지",LEFT($AD150,4)="소재입고"),IF(LEFT($G150,1)="A","★ 납기위험(A코드)","◆ 지연주의"),IF($AD150="정상","✓ 정상","? 확인필요")))</f>
        <v/>
      </c>
      <c r="AF150" s="21" t="n"/>
      <c r="AG150" s="28" t="n"/>
    </row>
    <row r="151">
      <c r="A151" s="19" t="n">
        <v>147</v>
      </c>
      <c r="B151" s="20" t="inlineStr">
        <is>
          <t>최진민</t>
        </is>
      </c>
      <c r="C151" s="20" t="inlineStr">
        <is>
          <t>나영길</t>
        </is>
      </c>
      <c r="D151" s="20" t="inlineStr">
        <is>
          <t>JWPNW27403</t>
        </is>
      </c>
      <c r="E151" s="20" t="inlineStr">
        <is>
          <t>남성 스톰플리스 프로 팬츠</t>
        </is>
      </c>
      <c r="F151" s="20" t="inlineStr">
        <is>
          <t>DEB/ASB/CHR</t>
        </is>
      </c>
      <c r="G151" s="19">
        <f>IF($D151="","",IF(MID($D151,5,1)="A","A(가을)",IF(MID($D151,5,1)="W","W(겨울)",IF(MID($D151,5,1)="X","X(사계절)",MID($D151,5,1)))))</f>
        <v/>
      </c>
      <c r="H151" s="19" t="inlineStr">
        <is>
          <t>완</t>
        </is>
      </c>
      <c r="I151" s="21" t="inlineStr">
        <is>
          <t>8월3주</t>
        </is>
      </c>
      <c r="J151" s="22">
        <f>IF($I151="","",IFERROR(DATE(기준정보!$C$7,VALUE(LEFT($I151,FIND("월",$I151)-1)),1+7*(VALUE(SUBSTITUTE(MID($I151,FIND("월",$I151)+1,5),"주",""))-1)),""))</f>
        <v/>
      </c>
      <c r="K151" s="22">
        <f>IF($J151="","",IF(AND(ISNUMBER(SEARCH("미얀마",$U151)),$J151-기준정보!$C$5&gt;=기준정보!$C$8,$J151-기준정보!$C$5&lt;=기준정보!$C$9),기준정보!$C$8-1,IF(AND(ISNUMBER(SEARCH("인도네시아",$U151)),$J151-기준정보!$C$5&gt;=기준정보!$C$10,$J151-기준정보!$C$5&lt;=기준정보!$C$11),기준정보!$C$10-1,$J151-기준정보!$C$5)))</f>
        <v/>
      </c>
      <c r="L151" s="23">
        <f>IF($K151="","",IF(ISNUMBER(SEARCH("미얀마",$U151)),MAX(0,MIN($K151,기준정보!$C$9)-MAX($K151-기준정보!$C$6,기준정보!$C$8)+1),IF(ISNUMBER(SEARCH("인도네시아",$U151)),MAX(0,MIN($K151,기준정보!$C$11)-MAX($K151-기준정보!$C$6,기준정보!$C$10)+1),0)))</f>
        <v/>
      </c>
      <c r="M151" s="22">
        <f>IF($K151="","",$K151-기준정보!$C$6-$L151)</f>
        <v/>
      </c>
      <c r="N151" s="24">
        <f>IF($M151="","",$M151-기준정보!$C$4)</f>
        <v/>
      </c>
      <c r="O151" s="21" t="n"/>
      <c r="P151" s="21" t="n"/>
      <c r="Q151" s="21" t="n"/>
      <c r="R151" s="25" t="n"/>
      <c r="S151" s="20">
        <f>IF($H151="","",IF($H151="C","본사(소재팀)",IF($H151="완","생산처","확인 필요")))</f>
        <v/>
      </c>
      <c r="T151" s="20" t="inlineStr">
        <is>
          <t>TBO</t>
        </is>
      </c>
      <c r="U151" s="20" t="inlineStr">
        <is>
          <t>베트남</t>
        </is>
      </c>
      <c r="V151" s="20" t="n"/>
      <c r="W151" s="26" t="n"/>
      <c r="X151" s="26" t="n"/>
      <c r="Y151" s="22" t="n"/>
      <c r="Z151" s="27" t="n">
        <v>550</v>
      </c>
      <c r="AA151" s="27" t="n">
        <v>49500000</v>
      </c>
      <c r="AB151" s="27" t="n">
        <v>176000000</v>
      </c>
      <c r="AC151" s="20" t="n"/>
      <c r="AD151" s="20">
        <f>IF($J151="","출고일 미정",IF($P151="X","작지 미발행",IF($P151="부분","작지 일부 미발행",IF(AND($R151&lt;&gt;"",$R151&gt;$M151),"소재입고 마감("&amp;TEXT($M151,"MM/DD")&amp;") 초과",IF($P151="","발행여부 확인 필요",IF($R151="","소재 입고일정 확인 필요","정상"))))))</f>
        <v/>
      </c>
      <c r="AE151" s="19">
        <f>IF($J151="","",IF(OR(LEFT($AD151,2)="작지",LEFT($AD151,4)="소재입고"),IF(LEFT($G151,1)="A","★ 납기위험(A코드)","◆ 지연주의"),IF($AD151="정상","✓ 정상","? 확인필요")))</f>
        <v/>
      </c>
      <c r="AF151" s="21" t="n"/>
      <c r="AG151" s="28" t="n"/>
    </row>
    <row r="152">
      <c r="A152" s="19" t="n">
        <v>148</v>
      </c>
      <c r="B152" s="20" t="inlineStr">
        <is>
          <t>박지인</t>
        </is>
      </c>
      <c r="C152" s="20" t="inlineStr">
        <is>
          <t>심현숙</t>
        </is>
      </c>
      <c r="D152" s="20" t="inlineStr">
        <is>
          <t>JWSXW27521</t>
        </is>
      </c>
      <c r="E152" s="20" t="inlineStr">
        <is>
          <t>남성 UL 알파다이렉트 안감 긴팔 셔츠</t>
        </is>
      </c>
      <c r="F152" s="20" t="inlineStr">
        <is>
          <t>PEG/DOE</t>
        </is>
      </c>
      <c r="G152" s="19">
        <f>IF($D152="","",IF(MID($D152,5,1)="A","A(가을)",IF(MID($D152,5,1)="W","W(겨울)",IF(MID($D152,5,1)="X","X(사계절)",MID($D152,5,1)))))</f>
        <v/>
      </c>
      <c r="H152" s="19" t="n"/>
      <c r="I152" s="21" t="inlineStr">
        <is>
          <t>8월3주</t>
        </is>
      </c>
      <c r="J152" s="22">
        <f>IF($I152="","",IFERROR(DATE(기준정보!$C$7,VALUE(LEFT($I152,FIND("월",$I152)-1)),1+7*(VALUE(SUBSTITUTE(MID($I152,FIND("월",$I152)+1,5),"주",""))-1)),""))</f>
        <v/>
      </c>
      <c r="K152" s="22">
        <f>IF($J152="","",IF(AND(ISNUMBER(SEARCH("미얀마",$U152)),$J152-기준정보!$C$5&gt;=기준정보!$C$8,$J152-기준정보!$C$5&lt;=기준정보!$C$9),기준정보!$C$8-1,IF(AND(ISNUMBER(SEARCH("인도네시아",$U152)),$J152-기준정보!$C$5&gt;=기준정보!$C$10,$J152-기준정보!$C$5&lt;=기준정보!$C$11),기준정보!$C$10-1,$J152-기준정보!$C$5)))</f>
        <v/>
      </c>
      <c r="L152" s="23">
        <f>IF($K152="","",IF(ISNUMBER(SEARCH("미얀마",$U152)),MAX(0,MIN($K152,기준정보!$C$9)-MAX($K152-기준정보!$C$6,기준정보!$C$8)+1),IF(ISNUMBER(SEARCH("인도네시아",$U152)),MAX(0,MIN($K152,기준정보!$C$11)-MAX($K152-기준정보!$C$6,기준정보!$C$10)+1),0)))</f>
        <v/>
      </c>
      <c r="M152" s="22">
        <f>IF($K152="","",$K152-기준정보!$C$6-$L152)</f>
        <v/>
      </c>
      <c r="N152" s="24">
        <f>IF($M152="","",$M152-기준정보!$C$4)</f>
        <v/>
      </c>
      <c r="O152" s="21" t="n"/>
      <c r="P152" s="21" t="n"/>
      <c r="Q152" s="21" t="n"/>
      <c r="R152" s="25" t="n"/>
      <c r="S152" s="20">
        <f>IF($H152="","",IF($H152="C","본사(소재팀)",IF($H152="완","생산처","확인 필요")))</f>
        <v/>
      </c>
      <c r="T152" s="20" t="inlineStr">
        <is>
          <t>성원</t>
        </is>
      </c>
      <c r="U152" s="20" t="inlineStr">
        <is>
          <t>베트남</t>
        </is>
      </c>
      <c r="V152" s="20" t="n"/>
      <c r="W152" s="26" t="n"/>
      <c r="X152" s="26" t="n"/>
      <c r="Y152" s="22" t="n"/>
      <c r="Z152" s="27" t="n">
        <v>800</v>
      </c>
      <c r="AA152" s="27" t="n">
        <v>65393600</v>
      </c>
      <c r="AB152" s="27" t="n">
        <v>216000000</v>
      </c>
      <c r="AC152" s="20" t="n"/>
      <c r="AD152" s="20">
        <f>IF($J152="","출고일 미정",IF($P152="X","작지 미발행",IF($P152="부분","작지 일부 미발행",IF(AND($R152&lt;&gt;"",$R152&gt;$M152),"소재입고 마감("&amp;TEXT($M152,"MM/DD")&amp;") 초과",IF($P152="","발행여부 확인 필요",IF($R152="","소재 입고일정 확인 필요","정상"))))))</f>
        <v/>
      </c>
      <c r="AE152" s="19">
        <f>IF($J152="","",IF(OR(LEFT($AD152,2)="작지",LEFT($AD152,4)="소재입고"),IF(LEFT($G152,1)="A","★ 납기위험(A코드)","◆ 지연주의"),IF($AD152="정상","✓ 정상","? 확인필요")))</f>
        <v/>
      </c>
      <c r="AF152" s="21" t="n"/>
      <c r="AG152" s="28" t="n"/>
    </row>
    <row r="153">
      <c r="A153" s="19" t="n">
        <v>149</v>
      </c>
      <c r="B153" s="20" t="inlineStr">
        <is>
          <t>박지인</t>
        </is>
      </c>
      <c r="C153" s="20" t="inlineStr">
        <is>
          <t>심현숙</t>
        </is>
      </c>
      <c r="D153" s="20" t="inlineStr">
        <is>
          <t>QEAAW27021</t>
        </is>
      </c>
      <c r="E153" s="20" t="inlineStr">
        <is>
          <t>남녀공용 레인스커트</t>
        </is>
      </c>
      <c r="F153" s="20" t="inlineStr">
        <is>
          <t>CO1</t>
        </is>
      </c>
      <c r="G153" s="19">
        <f>IF($D153="","",IF(MID($D153,5,1)="A","A(가을)",IF(MID($D153,5,1)="W","W(겨울)",IF(MID($D153,5,1)="X","X(사계절)",MID($D153,5,1)))))</f>
        <v/>
      </c>
      <c r="H153" s="19" t="n"/>
      <c r="I153" s="21" t="inlineStr">
        <is>
          <t>8월3주</t>
        </is>
      </c>
      <c r="J153" s="22">
        <f>IF($I153="","",IFERROR(DATE(기준정보!$C$7,VALUE(LEFT($I153,FIND("월",$I153)-1)),1+7*(VALUE(SUBSTITUTE(MID($I153,FIND("월",$I153)+1,5),"주",""))-1)),""))</f>
        <v/>
      </c>
      <c r="K153" s="22">
        <f>IF($J153="","",IF(AND(ISNUMBER(SEARCH("미얀마",$U153)),$J153-기준정보!$C$5&gt;=기준정보!$C$8,$J153-기준정보!$C$5&lt;=기준정보!$C$9),기준정보!$C$8-1,IF(AND(ISNUMBER(SEARCH("인도네시아",$U153)),$J153-기준정보!$C$5&gt;=기준정보!$C$10,$J153-기준정보!$C$5&lt;=기준정보!$C$11),기준정보!$C$10-1,$J153-기준정보!$C$5)))</f>
        <v/>
      </c>
      <c r="L153" s="23">
        <f>IF($K153="","",IF(ISNUMBER(SEARCH("미얀마",$U153)),MAX(0,MIN($K153,기준정보!$C$9)-MAX($K153-기준정보!$C$6,기준정보!$C$8)+1),IF(ISNUMBER(SEARCH("인도네시아",$U153)),MAX(0,MIN($K153,기준정보!$C$11)-MAX($K153-기준정보!$C$6,기준정보!$C$10)+1),0)))</f>
        <v/>
      </c>
      <c r="M153" s="22">
        <f>IF($K153="","",$K153-기준정보!$C$6-$L153)</f>
        <v/>
      </c>
      <c r="N153" s="24">
        <f>IF($M153="","",$M153-기준정보!$C$4)</f>
        <v/>
      </c>
      <c r="O153" s="21" t="n"/>
      <c r="P153" s="21" t="n"/>
      <c r="Q153" s="21" t="n"/>
      <c r="R153" s="25" t="n"/>
      <c r="S153" s="20">
        <f>IF($H153="","",IF($H153="C","본사(소재팀)",IF($H153="완","생산처","확인 필요")))</f>
        <v/>
      </c>
      <c r="T153" s="20" t="inlineStr">
        <is>
          <t>아이블</t>
        </is>
      </c>
      <c r="U153" s="20" t="inlineStr">
        <is>
          <t>베트남</t>
        </is>
      </c>
      <c r="V153" s="20" t="n"/>
      <c r="W153" s="26" t="n"/>
      <c r="X153" s="26" t="n"/>
      <c r="Y153" s="22" t="n"/>
      <c r="Z153" s="27" t="n">
        <v>50</v>
      </c>
      <c r="AA153" s="27" t="n">
        <v>2500000</v>
      </c>
      <c r="AB153" s="27" t="n">
        <v>9950000</v>
      </c>
      <c r="AC153" s="20" t="n"/>
      <c r="AD153" s="20">
        <f>IF($J153="","출고일 미정",IF($P153="X","작지 미발행",IF($P153="부분","작지 일부 미발행",IF(AND($R153&lt;&gt;"",$R153&gt;$M153),"소재입고 마감("&amp;TEXT($M153,"MM/DD")&amp;") 초과",IF($P153="","발행여부 확인 필요",IF($R153="","소재 입고일정 확인 필요","정상"))))))</f>
        <v/>
      </c>
      <c r="AE153" s="19">
        <f>IF($J153="","",IF(OR(LEFT($AD153,2)="작지",LEFT($AD153,4)="소재입고"),IF(LEFT($G153,1)="A","★ 납기위험(A코드)","◆ 지연주의"),IF($AD153="정상","✓ 정상","? 확인필요")))</f>
        <v/>
      </c>
      <c r="AF153" s="21" t="n"/>
      <c r="AG153" s="28" t="n"/>
    </row>
    <row r="154">
      <c r="A154" s="19" t="n">
        <v>150</v>
      </c>
      <c r="B154" s="20" t="inlineStr">
        <is>
          <t>박지인</t>
        </is>
      </c>
      <c r="C154" s="20" t="inlineStr">
        <is>
          <t>조은선</t>
        </is>
      </c>
      <c r="D154" s="20" t="inlineStr">
        <is>
          <t>QEHFW27001</t>
        </is>
      </c>
      <c r="E154" s="20" t="inlineStr">
        <is>
          <t>남녀공용 알파 다이렉트 90 장갑</t>
        </is>
      </c>
      <c r="F154" s="20" t="inlineStr">
        <is>
          <t>PEG</t>
        </is>
      </c>
      <c r="G154" s="19">
        <f>IF($D154="","",IF(MID($D154,5,1)="A","A(가을)",IF(MID($D154,5,1)="W","W(겨울)",IF(MID($D154,5,1)="X","X(사계절)",MID($D154,5,1)))))</f>
        <v/>
      </c>
      <c r="H154" s="19" t="n"/>
      <c r="I154" s="21" t="inlineStr">
        <is>
          <t>8월3주</t>
        </is>
      </c>
      <c r="J154" s="22">
        <f>IF($I154="","",IFERROR(DATE(기준정보!$C$7,VALUE(LEFT($I154,FIND("월",$I154)-1)),1+7*(VALUE(SUBSTITUTE(MID($I154,FIND("월",$I154)+1,5),"주",""))-1)),""))</f>
        <v/>
      </c>
      <c r="K154" s="22">
        <f>IF($J154="","",IF(AND(ISNUMBER(SEARCH("미얀마",$U154)),$J154-기준정보!$C$5&gt;=기준정보!$C$8,$J154-기준정보!$C$5&lt;=기준정보!$C$9),기준정보!$C$8-1,IF(AND(ISNUMBER(SEARCH("인도네시아",$U154)),$J154-기준정보!$C$5&gt;=기준정보!$C$10,$J154-기준정보!$C$5&lt;=기준정보!$C$11),기준정보!$C$10-1,$J154-기준정보!$C$5)))</f>
        <v/>
      </c>
      <c r="L154" s="23">
        <f>IF($K154="","",IF(ISNUMBER(SEARCH("미얀마",$U154)),MAX(0,MIN($K154,기준정보!$C$9)-MAX($K154-기준정보!$C$6,기준정보!$C$8)+1),IF(ISNUMBER(SEARCH("인도네시아",$U154)),MAX(0,MIN($K154,기준정보!$C$11)-MAX($K154-기준정보!$C$6,기준정보!$C$10)+1),0)))</f>
        <v/>
      </c>
      <c r="M154" s="22">
        <f>IF($K154="","",$K154-기준정보!$C$6-$L154)</f>
        <v/>
      </c>
      <c r="N154" s="24">
        <f>IF($M154="","",$M154-기준정보!$C$4)</f>
        <v/>
      </c>
      <c r="O154" s="21" t="n"/>
      <c r="P154" s="21" t="n"/>
      <c r="Q154" s="21" t="n"/>
      <c r="R154" s="25" t="n"/>
      <c r="S154" s="20">
        <f>IF($H154="","",IF($H154="C","본사(소재팀)",IF($H154="완","생산처","확인 필요")))</f>
        <v/>
      </c>
      <c r="T154" s="20" t="inlineStr">
        <is>
          <t>시즈글로벌</t>
        </is>
      </c>
      <c r="U154" s="20" t="inlineStr">
        <is>
          <t>베트남</t>
        </is>
      </c>
      <c r="V154" s="20" t="n"/>
      <c r="W154" s="26" t="n"/>
      <c r="X154" s="26" t="n"/>
      <c r="Y154" s="22" t="n"/>
      <c r="Z154" s="27" t="n">
        <v>200</v>
      </c>
      <c r="AA154" s="27" t="n">
        <v>2200000</v>
      </c>
      <c r="AB154" s="27" t="n">
        <v>14000000</v>
      </c>
      <c r="AC154" s="20" t="n"/>
      <c r="AD154" s="20">
        <f>IF($J154="","출고일 미정",IF($P154="X","작지 미발행",IF($P154="부분","작지 일부 미발행",IF(AND($R154&lt;&gt;"",$R154&gt;$M154),"소재입고 마감("&amp;TEXT($M154,"MM/DD")&amp;") 초과",IF($P154="","발행여부 확인 필요",IF($R154="","소재 입고일정 확인 필요","정상"))))))</f>
        <v/>
      </c>
      <c r="AE154" s="19">
        <f>IF($J154="","",IF(OR(LEFT($AD154,2)="작지",LEFT($AD154,4)="소재입고"),IF(LEFT($G154,1)="A","★ 납기위험(A코드)","◆ 지연주의"),IF($AD154="정상","✓ 정상","? 확인필요")))</f>
        <v/>
      </c>
      <c r="AF154" s="21" t="n"/>
      <c r="AG154" s="28" t="n"/>
    </row>
    <row r="155">
      <c r="A155" s="19" t="n">
        <v>151</v>
      </c>
      <c r="B155" s="20" t="inlineStr">
        <is>
          <t>박지인</t>
        </is>
      </c>
      <c r="C155" s="20" t="inlineStr">
        <is>
          <t>조은선</t>
        </is>
      </c>
      <c r="D155" s="20" t="inlineStr">
        <is>
          <t>QELAW27021</t>
        </is>
      </c>
      <c r="E155" s="20" t="inlineStr">
        <is>
          <t>남녀공용 알파 다이렉트120 삭스</t>
        </is>
      </c>
      <c r="F155" s="20" t="inlineStr">
        <is>
          <t>DOE</t>
        </is>
      </c>
      <c r="G155" s="19">
        <f>IF($D155="","",IF(MID($D155,5,1)="A","A(가을)",IF(MID($D155,5,1)="W","W(겨울)",IF(MID($D155,5,1)="X","X(사계절)",MID($D155,5,1)))))</f>
        <v/>
      </c>
      <c r="H155" s="19" t="n"/>
      <c r="I155" s="21" t="inlineStr">
        <is>
          <t>8월3주</t>
        </is>
      </c>
      <c r="J155" s="22">
        <f>IF($I155="","",IFERROR(DATE(기준정보!$C$7,VALUE(LEFT($I155,FIND("월",$I155)-1)),1+7*(VALUE(SUBSTITUTE(MID($I155,FIND("월",$I155)+1,5),"주",""))-1)),""))</f>
        <v/>
      </c>
      <c r="K155" s="22">
        <f>IF($J155="","",IF(AND(ISNUMBER(SEARCH("미얀마",$U155)),$J155-기준정보!$C$5&gt;=기준정보!$C$8,$J155-기준정보!$C$5&lt;=기준정보!$C$9),기준정보!$C$8-1,IF(AND(ISNUMBER(SEARCH("인도네시아",$U155)),$J155-기준정보!$C$5&gt;=기준정보!$C$10,$J155-기준정보!$C$5&lt;=기준정보!$C$11),기준정보!$C$10-1,$J155-기준정보!$C$5)))</f>
        <v/>
      </c>
      <c r="L155" s="23">
        <f>IF($K155="","",IF(ISNUMBER(SEARCH("미얀마",$U155)),MAX(0,MIN($K155,기준정보!$C$9)-MAX($K155-기준정보!$C$6,기준정보!$C$8)+1),IF(ISNUMBER(SEARCH("인도네시아",$U155)),MAX(0,MIN($K155,기준정보!$C$11)-MAX($K155-기준정보!$C$6,기준정보!$C$10)+1),0)))</f>
        <v/>
      </c>
      <c r="M155" s="22">
        <f>IF($K155="","",$K155-기준정보!$C$6-$L155)</f>
        <v/>
      </c>
      <c r="N155" s="24">
        <f>IF($M155="","",$M155-기준정보!$C$4)</f>
        <v/>
      </c>
      <c r="O155" s="21" t="n"/>
      <c r="P155" s="21" t="n"/>
      <c r="Q155" s="21" t="n"/>
      <c r="R155" s="25" t="n"/>
      <c r="S155" s="20">
        <f>IF($H155="","",IF($H155="C","본사(소재팀)",IF($H155="완","생산처","확인 필요")))</f>
        <v/>
      </c>
      <c r="T155" s="20" t="inlineStr">
        <is>
          <t>신기</t>
        </is>
      </c>
      <c r="U155" s="20" t="inlineStr">
        <is>
          <t>베트남</t>
        </is>
      </c>
      <c r="V155" s="20" t="n"/>
      <c r="W155" s="26" t="n"/>
      <c r="X155" s="26" t="n"/>
      <c r="Y155" s="22" t="n"/>
      <c r="Z155" s="27" t="n">
        <v>100</v>
      </c>
      <c r="AA155" s="27" t="n">
        <v>1510300</v>
      </c>
      <c r="AB155" s="27" t="n">
        <v>6000000</v>
      </c>
      <c r="AC155" s="20" t="n"/>
      <c r="AD155" s="20">
        <f>IF($J155="","출고일 미정",IF($P155="X","작지 미발행",IF($P155="부분","작지 일부 미발행",IF(AND($R155&lt;&gt;"",$R155&gt;$M155),"소재입고 마감("&amp;TEXT($M155,"MM/DD")&amp;") 초과",IF($P155="","발행여부 확인 필요",IF($R155="","소재 입고일정 확인 필요","정상"))))))</f>
        <v/>
      </c>
      <c r="AE155" s="19">
        <f>IF($J155="","",IF(OR(LEFT($AD155,2)="작지",LEFT($AD155,4)="소재입고"),IF(LEFT($G155,1)="A","★ 납기위험(A코드)","◆ 지연주의"),IF($AD155="정상","✓ 정상","? 확인필요")))</f>
        <v/>
      </c>
      <c r="AF155" s="21" t="n"/>
      <c r="AG155" s="28" t="n"/>
    </row>
    <row r="156">
      <c r="A156" s="19" t="n">
        <v>152</v>
      </c>
      <c r="B156" s="20" t="inlineStr">
        <is>
          <t>정영준</t>
        </is>
      </c>
      <c r="C156" s="20" t="inlineStr">
        <is>
          <t>서은미</t>
        </is>
      </c>
      <c r="D156" s="20" t="inlineStr">
        <is>
          <t>TVJFW27602</t>
        </is>
      </c>
      <c r="E156" s="20" t="inlineStr">
        <is>
          <t>여성 플리스 크롭핏 스탠드넥 재킷</t>
        </is>
      </c>
      <c r="F156" s="20" t="inlineStr">
        <is>
          <t>CO1/CO2</t>
        </is>
      </c>
      <c r="G156" s="19">
        <f>IF($D156="","",IF(MID($D156,5,1)="A","A(가을)",IF(MID($D156,5,1)="W","W(겨울)",IF(MID($D156,5,1)="X","X(사계절)",MID($D156,5,1)))))</f>
        <v/>
      </c>
      <c r="H156" s="19" t="n"/>
      <c r="I156" s="21" t="inlineStr">
        <is>
          <t>8월3주</t>
        </is>
      </c>
      <c r="J156" s="22">
        <f>IF($I156="","",IFERROR(DATE(기준정보!$C$7,VALUE(LEFT($I156,FIND("월",$I156)-1)),1+7*(VALUE(SUBSTITUTE(MID($I156,FIND("월",$I156)+1,5),"주",""))-1)),""))</f>
        <v/>
      </c>
      <c r="K156" s="22">
        <f>IF($J156="","",IF(AND(ISNUMBER(SEARCH("미얀마",$U156)),$J156-기준정보!$C$5&gt;=기준정보!$C$8,$J156-기준정보!$C$5&lt;=기준정보!$C$9),기준정보!$C$8-1,IF(AND(ISNUMBER(SEARCH("인도네시아",$U156)),$J156-기준정보!$C$5&gt;=기준정보!$C$10,$J156-기준정보!$C$5&lt;=기준정보!$C$11),기준정보!$C$10-1,$J156-기준정보!$C$5)))</f>
        <v/>
      </c>
      <c r="L156" s="23">
        <f>IF($K156="","",IF(ISNUMBER(SEARCH("미얀마",$U156)),MAX(0,MIN($K156,기준정보!$C$9)-MAX($K156-기준정보!$C$6,기준정보!$C$8)+1),IF(ISNUMBER(SEARCH("인도네시아",$U156)),MAX(0,MIN($K156,기준정보!$C$11)-MAX($K156-기준정보!$C$6,기준정보!$C$10)+1),0)))</f>
        <v/>
      </c>
      <c r="M156" s="22">
        <f>IF($K156="","",$K156-기준정보!$C$6-$L156)</f>
        <v/>
      </c>
      <c r="N156" s="24">
        <f>IF($M156="","",$M156-기준정보!$C$4)</f>
        <v/>
      </c>
      <c r="O156" s="21" t="n"/>
      <c r="P156" s="21" t="n"/>
      <c r="Q156" s="21" t="n"/>
      <c r="R156" s="25" t="n"/>
      <c r="S156" s="20">
        <f>IF($H156="","",IF($H156="C","본사(소재팀)",IF($H156="완","생산처","확인 필요")))</f>
        <v/>
      </c>
      <c r="T156" s="20" t="inlineStr">
        <is>
          <t>아이블</t>
        </is>
      </c>
      <c r="U156" s="20" t="inlineStr">
        <is>
          <t>베트남</t>
        </is>
      </c>
      <c r="V156" s="20" t="n"/>
      <c r="W156" s="26" t="n"/>
      <c r="X156" s="26" t="n"/>
      <c r="Y156" s="22" t="n"/>
      <c r="Z156" s="27" t="n">
        <v>3000</v>
      </c>
      <c r="AA156" s="27" t="n">
        <v>132000000</v>
      </c>
      <c r="AB156" s="27" t="n">
        <v>750000000</v>
      </c>
      <c r="AC156" s="20" t="n"/>
      <c r="AD156" s="20">
        <f>IF($J156="","출고일 미정",IF($P156="X","작지 미발행",IF($P156="부분","작지 일부 미발행",IF(AND($R156&lt;&gt;"",$R156&gt;$M156),"소재입고 마감("&amp;TEXT($M156,"MM/DD")&amp;") 초과",IF($P156="","발행여부 확인 필요",IF($R156="","소재 입고일정 확인 필요","정상"))))))</f>
        <v/>
      </c>
      <c r="AE156" s="19">
        <f>IF($J156="","",IF(OR(LEFT($AD156,2)="작지",LEFT($AD156,4)="소재입고"),IF(LEFT($G156,1)="A","★ 납기위험(A코드)","◆ 지연주의"),IF($AD156="정상","✓ 정상","? 확인필요")))</f>
        <v/>
      </c>
      <c r="AF156" s="21" t="n"/>
      <c r="AG156" s="28" t="n"/>
    </row>
    <row r="157">
      <c r="A157" s="19" t="n">
        <v>153</v>
      </c>
      <c r="B157" s="20" t="inlineStr">
        <is>
          <t>박진아</t>
        </is>
      </c>
      <c r="C157" s="20" t="inlineStr">
        <is>
          <t>김지원</t>
        </is>
      </c>
      <c r="D157" s="20" t="inlineStr">
        <is>
          <t>JKTBW27402</t>
        </is>
      </c>
      <c r="E157" s="20" t="inlineStr">
        <is>
          <t>여성 퀵 드라이 긴팔 하프집 티셔츠</t>
        </is>
      </c>
      <c r="F157" s="20" t="inlineStr">
        <is>
          <t>PEG/DEB</t>
        </is>
      </c>
      <c r="G157" s="19">
        <f>IF($D157="","",IF(MID($D157,5,1)="A","A(가을)",IF(MID($D157,5,1)="W","W(겨울)",IF(MID($D157,5,1)="X","X(사계절)",MID($D157,5,1)))))</f>
        <v/>
      </c>
      <c r="H157" s="19" t="n"/>
      <c r="I157" s="21" t="inlineStr">
        <is>
          <t>8월4주</t>
        </is>
      </c>
      <c r="J157" s="22">
        <f>IF($I157="","",IFERROR(DATE(기준정보!$C$7,VALUE(LEFT($I157,FIND("월",$I157)-1)),1+7*(VALUE(SUBSTITUTE(MID($I157,FIND("월",$I157)+1,5),"주",""))-1)),""))</f>
        <v/>
      </c>
      <c r="K157" s="22">
        <f>IF($J157="","",IF(AND(ISNUMBER(SEARCH("미얀마",$U157)),$J157-기준정보!$C$5&gt;=기준정보!$C$8,$J157-기준정보!$C$5&lt;=기준정보!$C$9),기준정보!$C$8-1,IF(AND(ISNUMBER(SEARCH("인도네시아",$U157)),$J157-기준정보!$C$5&gt;=기준정보!$C$10,$J157-기준정보!$C$5&lt;=기준정보!$C$11),기준정보!$C$10-1,$J157-기준정보!$C$5)))</f>
        <v/>
      </c>
      <c r="L157" s="23">
        <f>IF($K157="","",IF(ISNUMBER(SEARCH("미얀마",$U157)),MAX(0,MIN($K157,기준정보!$C$9)-MAX($K157-기준정보!$C$6,기준정보!$C$8)+1),IF(ISNUMBER(SEARCH("인도네시아",$U157)),MAX(0,MIN($K157,기준정보!$C$11)-MAX($K157-기준정보!$C$6,기준정보!$C$10)+1),0)))</f>
        <v/>
      </c>
      <c r="M157" s="22">
        <f>IF($K157="","",$K157-기준정보!$C$6-$L157)</f>
        <v/>
      </c>
      <c r="N157" s="24">
        <f>IF($M157="","",$M157-기준정보!$C$4)</f>
        <v/>
      </c>
      <c r="O157" s="21" t="n"/>
      <c r="P157" s="21" t="n"/>
      <c r="Q157" s="21" t="n"/>
      <c r="R157" s="25" t="n"/>
      <c r="S157" s="20">
        <f>IF($H157="","",IF($H157="C","본사(소재팀)",IF($H157="완","생산처","확인 필요")))</f>
        <v/>
      </c>
      <c r="T157" s="20" t="inlineStr">
        <is>
          <t>IKG</t>
        </is>
      </c>
      <c r="U157" s="20" t="inlineStr">
        <is>
          <t>인도네시아</t>
        </is>
      </c>
      <c r="V157" s="20" t="n"/>
      <c r="W157" s="26" t="n"/>
      <c r="X157" s="26" t="n"/>
      <c r="Y157" s="22" t="n"/>
      <c r="Z157" s="27" t="n">
        <v>300</v>
      </c>
      <c r="AA157" s="27" t="n">
        <v>7681500</v>
      </c>
      <c r="AB157" s="27" t="n">
        <v>44400000</v>
      </c>
      <c r="AC157" s="20" t="n"/>
      <c r="AD157" s="20">
        <f>IF($J157="","출고일 미정",IF($P157="X","작지 미발행",IF($P157="부분","작지 일부 미발행",IF(AND($R157&lt;&gt;"",$R157&gt;$M157),"소재입고 마감("&amp;TEXT($M157,"MM/DD")&amp;") 초과",IF($P157="","발행여부 확인 필요",IF($R157="","소재 입고일정 확인 필요","정상"))))))</f>
        <v/>
      </c>
      <c r="AE157" s="19">
        <f>IF($J157="","",IF(OR(LEFT($AD157,2)="작지",LEFT($AD157,4)="소재입고"),IF(LEFT($G157,1)="A","★ 납기위험(A코드)","◆ 지연주의"),IF($AD157="정상","✓ 정상","? 확인필요")))</f>
        <v/>
      </c>
      <c r="AF157" s="21" t="n"/>
      <c r="AG157" s="28" t="n"/>
    </row>
    <row r="158">
      <c r="A158" s="19" t="n">
        <v>154</v>
      </c>
      <c r="B158" s="20" t="inlineStr">
        <is>
          <t>박진아</t>
        </is>
      </c>
      <c r="C158" s="20" t="inlineStr">
        <is>
          <t>김지원</t>
        </is>
      </c>
      <c r="D158" s="20" t="inlineStr">
        <is>
          <t>JKTBW27404</t>
        </is>
      </c>
      <c r="E158" s="20" t="inlineStr">
        <is>
          <t>여성 퀵 드라이 긴팔 후드티셔츠</t>
        </is>
      </c>
      <c r="F158" s="20" t="inlineStr">
        <is>
          <t>ABE/BPK</t>
        </is>
      </c>
      <c r="G158" s="19">
        <f>IF($D158="","",IF(MID($D158,5,1)="A","A(가을)",IF(MID($D158,5,1)="W","W(겨울)",IF(MID($D158,5,1)="X","X(사계절)",MID($D158,5,1)))))</f>
        <v/>
      </c>
      <c r="H158" s="19" t="n"/>
      <c r="I158" s="21" t="inlineStr">
        <is>
          <t>8월4주</t>
        </is>
      </c>
      <c r="J158" s="22">
        <f>IF($I158="","",IFERROR(DATE(기준정보!$C$7,VALUE(LEFT($I158,FIND("월",$I158)-1)),1+7*(VALUE(SUBSTITUTE(MID($I158,FIND("월",$I158)+1,5),"주",""))-1)),""))</f>
        <v/>
      </c>
      <c r="K158" s="22">
        <f>IF($J158="","",IF(AND(ISNUMBER(SEARCH("미얀마",$U158)),$J158-기준정보!$C$5&gt;=기준정보!$C$8,$J158-기준정보!$C$5&lt;=기준정보!$C$9),기준정보!$C$8-1,IF(AND(ISNUMBER(SEARCH("인도네시아",$U158)),$J158-기준정보!$C$5&gt;=기준정보!$C$10,$J158-기준정보!$C$5&lt;=기준정보!$C$11),기준정보!$C$10-1,$J158-기준정보!$C$5)))</f>
        <v/>
      </c>
      <c r="L158" s="23">
        <f>IF($K158="","",IF(ISNUMBER(SEARCH("미얀마",$U158)),MAX(0,MIN($K158,기준정보!$C$9)-MAX($K158-기준정보!$C$6,기준정보!$C$8)+1),IF(ISNUMBER(SEARCH("인도네시아",$U158)),MAX(0,MIN($K158,기준정보!$C$11)-MAX($K158-기준정보!$C$6,기준정보!$C$10)+1),0)))</f>
        <v/>
      </c>
      <c r="M158" s="22">
        <f>IF($K158="","",$K158-기준정보!$C$6-$L158)</f>
        <v/>
      </c>
      <c r="N158" s="24">
        <f>IF($M158="","",$M158-기준정보!$C$4)</f>
        <v/>
      </c>
      <c r="O158" s="21" t="n"/>
      <c r="P158" s="21" t="n"/>
      <c r="Q158" s="21" t="n"/>
      <c r="R158" s="25" t="n"/>
      <c r="S158" s="20">
        <f>IF($H158="","",IF($H158="C","본사(소재팀)",IF($H158="완","생산처","확인 필요")))</f>
        <v/>
      </c>
      <c r="T158" s="20" t="inlineStr">
        <is>
          <t>IKG</t>
        </is>
      </c>
      <c r="U158" s="20" t="inlineStr">
        <is>
          <t>인도네시아</t>
        </is>
      </c>
      <c r="V158" s="20" t="n"/>
      <c r="W158" s="26" t="n"/>
      <c r="X158" s="26" t="n"/>
      <c r="Y158" s="22" t="n"/>
      <c r="Z158" s="27" t="n">
        <v>300</v>
      </c>
      <c r="AA158" s="27" t="n">
        <v>10055400</v>
      </c>
      <c r="AB158" s="27" t="n">
        <v>50400000</v>
      </c>
      <c r="AC158" s="20" t="n"/>
      <c r="AD158" s="20">
        <f>IF($J158="","출고일 미정",IF($P158="X","작지 미발행",IF($P158="부분","작지 일부 미발행",IF(AND($R158&lt;&gt;"",$R158&gt;$M158),"소재입고 마감("&amp;TEXT($M158,"MM/DD")&amp;") 초과",IF($P158="","발행여부 확인 필요",IF($R158="","소재 입고일정 확인 필요","정상"))))))</f>
        <v/>
      </c>
      <c r="AE158" s="19">
        <f>IF($J158="","",IF(OR(LEFT($AD158,2)="작지",LEFT($AD158,4)="소재입고"),IF(LEFT($G158,1)="A","★ 납기위험(A코드)","◆ 지연주의"),IF($AD158="정상","✓ 정상","? 확인필요")))</f>
        <v/>
      </c>
      <c r="AF158" s="21" t="n"/>
      <c r="AG158" s="28" t="n"/>
    </row>
    <row r="159">
      <c r="A159" s="19" t="n">
        <v>155</v>
      </c>
      <c r="B159" s="20" t="inlineStr">
        <is>
          <t>박진아</t>
        </is>
      </c>
      <c r="C159" s="20" t="inlineStr">
        <is>
          <t>김지원</t>
        </is>
      </c>
      <c r="D159" s="20" t="inlineStr">
        <is>
          <t>JWTBW27401</t>
        </is>
      </c>
      <c r="E159" s="20" t="inlineStr">
        <is>
          <t>남성 퀵 드라이 긴팔 하프집 티셔츠</t>
        </is>
      </c>
      <c r="F159" s="20" t="inlineStr">
        <is>
          <t>CTP/DEB</t>
        </is>
      </c>
      <c r="G159" s="19">
        <f>IF($D159="","",IF(MID($D159,5,1)="A","A(가을)",IF(MID($D159,5,1)="W","W(겨울)",IF(MID($D159,5,1)="X","X(사계절)",MID($D159,5,1)))))</f>
        <v/>
      </c>
      <c r="H159" s="19" t="n"/>
      <c r="I159" s="21" t="inlineStr">
        <is>
          <t>8월4주</t>
        </is>
      </c>
      <c r="J159" s="22">
        <f>IF($I159="","",IFERROR(DATE(기준정보!$C$7,VALUE(LEFT($I159,FIND("월",$I159)-1)),1+7*(VALUE(SUBSTITUTE(MID($I159,FIND("월",$I159)+1,5),"주",""))-1)),""))</f>
        <v/>
      </c>
      <c r="K159" s="22">
        <f>IF($J159="","",IF(AND(ISNUMBER(SEARCH("미얀마",$U159)),$J159-기준정보!$C$5&gt;=기준정보!$C$8,$J159-기준정보!$C$5&lt;=기준정보!$C$9),기준정보!$C$8-1,IF(AND(ISNUMBER(SEARCH("인도네시아",$U159)),$J159-기준정보!$C$5&gt;=기준정보!$C$10,$J159-기준정보!$C$5&lt;=기준정보!$C$11),기준정보!$C$10-1,$J159-기준정보!$C$5)))</f>
        <v/>
      </c>
      <c r="L159" s="23">
        <f>IF($K159="","",IF(ISNUMBER(SEARCH("미얀마",$U159)),MAX(0,MIN($K159,기준정보!$C$9)-MAX($K159-기준정보!$C$6,기준정보!$C$8)+1),IF(ISNUMBER(SEARCH("인도네시아",$U159)),MAX(0,MIN($K159,기준정보!$C$11)-MAX($K159-기준정보!$C$6,기준정보!$C$10)+1),0)))</f>
        <v/>
      </c>
      <c r="M159" s="22">
        <f>IF($K159="","",$K159-기준정보!$C$6-$L159)</f>
        <v/>
      </c>
      <c r="N159" s="24">
        <f>IF($M159="","",$M159-기준정보!$C$4)</f>
        <v/>
      </c>
      <c r="O159" s="21" t="n"/>
      <c r="P159" s="21" t="n"/>
      <c r="Q159" s="21" t="n"/>
      <c r="R159" s="25" t="n"/>
      <c r="S159" s="20">
        <f>IF($H159="","",IF($H159="C","본사(소재팀)",IF($H159="완","생산처","확인 필요")))</f>
        <v/>
      </c>
      <c r="T159" s="20" t="inlineStr">
        <is>
          <t>IKG</t>
        </is>
      </c>
      <c r="U159" s="20" t="inlineStr">
        <is>
          <t>인도네시아</t>
        </is>
      </c>
      <c r="V159" s="20" t="n"/>
      <c r="W159" s="26" t="n"/>
      <c r="X159" s="26" t="n"/>
      <c r="Y159" s="22" t="n"/>
      <c r="Z159" s="27" t="n">
        <v>800</v>
      </c>
      <c r="AA159" s="27" t="n">
        <v>21233600</v>
      </c>
      <c r="AB159" s="27" t="n">
        <v>118400000</v>
      </c>
      <c r="AC159" s="20" t="n"/>
      <c r="AD159" s="20">
        <f>IF($J159="","출고일 미정",IF($P159="X","작지 미발행",IF($P159="부분","작지 일부 미발행",IF(AND($R159&lt;&gt;"",$R159&gt;$M159),"소재입고 마감("&amp;TEXT($M159,"MM/DD")&amp;") 초과",IF($P159="","발행여부 확인 필요",IF($R159="","소재 입고일정 확인 필요","정상"))))))</f>
        <v/>
      </c>
      <c r="AE159" s="19">
        <f>IF($J159="","",IF(OR(LEFT($AD159,2)="작지",LEFT($AD159,4)="소재입고"),IF(LEFT($G159,1)="A","★ 납기위험(A코드)","◆ 지연주의"),IF($AD159="정상","✓ 정상","? 확인필요")))</f>
        <v/>
      </c>
      <c r="AF159" s="21" t="n"/>
      <c r="AG159" s="28" t="n"/>
    </row>
    <row r="160">
      <c r="A160" s="19" t="n">
        <v>156</v>
      </c>
      <c r="B160" s="20" t="inlineStr">
        <is>
          <t>박진아</t>
        </is>
      </c>
      <c r="C160" s="20" t="inlineStr">
        <is>
          <t>김지원</t>
        </is>
      </c>
      <c r="D160" s="20" t="inlineStr">
        <is>
          <t>JWTBW27403</t>
        </is>
      </c>
      <c r="E160" s="20" t="inlineStr">
        <is>
          <t>남성 퀵 드라이 긴팔 후드티셔츠</t>
        </is>
      </c>
      <c r="F160" s="20" t="inlineStr">
        <is>
          <t>ABU/CHR</t>
        </is>
      </c>
      <c r="G160" s="19">
        <f>IF($D160="","",IF(MID($D160,5,1)="A","A(가을)",IF(MID($D160,5,1)="W","W(겨울)",IF(MID($D160,5,1)="X","X(사계절)",MID($D160,5,1)))))</f>
        <v/>
      </c>
      <c r="H160" s="19" t="n"/>
      <c r="I160" s="21" t="inlineStr">
        <is>
          <t>8월4주</t>
        </is>
      </c>
      <c r="J160" s="22">
        <f>IF($I160="","",IFERROR(DATE(기준정보!$C$7,VALUE(LEFT($I160,FIND("월",$I160)-1)),1+7*(VALUE(SUBSTITUTE(MID($I160,FIND("월",$I160)+1,5),"주",""))-1)),""))</f>
        <v/>
      </c>
      <c r="K160" s="22">
        <f>IF($J160="","",IF(AND(ISNUMBER(SEARCH("미얀마",$U160)),$J160-기준정보!$C$5&gt;=기준정보!$C$8,$J160-기준정보!$C$5&lt;=기준정보!$C$9),기준정보!$C$8-1,IF(AND(ISNUMBER(SEARCH("인도네시아",$U160)),$J160-기준정보!$C$5&gt;=기준정보!$C$10,$J160-기준정보!$C$5&lt;=기준정보!$C$11),기준정보!$C$10-1,$J160-기준정보!$C$5)))</f>
        <v/>
      </c>
      <c r="L160" s="23">
        <f>IF($K160="","",IF(ISNUMBER(SEARCH("미얀마",$U160)),MAX(0,MIN($K160,기준정보!$C$9)-MAX($K160-기준정보!$C$6,기준정보!$C$8)+1),IF(ISNUMBER(SEARCH("인도네시아",$U160)),MAX(0,MIN($K160,기준정보!$C$11)-MAX($K160-기준정보!$C$6,기준정보!$C$10)+1),0)))</f>
        <v/>
      </c>
      <c r="M160" s="22">
        <f>IF($K160="","",$K160-기준정보!$C$6-$L160)</f>
        <v/>
      </c>
      <c r="N160" s="24">
        <f>IF($M160="","",$M160-기준정보!$C$4)</f>
        <v/>
      </c>
      <c r="O160" s="21" t="n"/>
      <c r="P160" s="21" t="n"/>
      <c r="Q160" s="21" t="n"/>
      <c r="R160" s="25" t="n"/>
      <c r="S160" s="20">
        <f>IF($H160="","",IF($H160="C","본사(소재팀)",IF($H160="완","생산처","확인 필요")))</f>
        <v/>
      </c>
      <c r="T160" s="20" t="inlineStr">
        <is>
          <t>IKG</t>
        </is>
      </c>
      <c r="U160" s="20" t="inlineStr">
        <is>
          <t>인도네시아</t>
        </is>
      </c>
      <c r="V160" s="20" t="n"/>
      <c r="W160" s="26" t="n"/>
      <c r="X160" s="26" t="n"/>
      <c r="Y160" s="22" t="n"/>
      <c r="Z160" s="27" t="n">
        <v>400</v>
      </c>
      <c r="AA160" s="27" t="n">
        <v>13424800</v>
      </c>
      <c r="AB160" s="27" t="n">
        <v>67200000</v>
      </c>
      <c r="AC160" s="20" t="n"/>
      <c r="AD160" s="20">
        <f>IF($J160="","출고일 미정",IF($P160="X","작지 미발행",IF($P160="부분","작지 일부 미발행",IF(AND($R160&lt;&gt;"",$R160&gt;$M160),"소재입고 마감("&amp;TEXT($M160,"MM/DD")&amp;") 초과",IF($P160="","발행여부 확인 필요",IF($R160="","소재 입고일정 확인 필요","정상"))))))</f>
        <v/>
      </c>
      <c r="AE160" s="19">
        <f>IF($J160="","",IF(OR(LEFT($AD160,2)="작지",LEFT($AD160,4)="소재입고"),IF(LEFT($G160,1)="A","★ 납기위험(A코드)","◆ 지연주의"),IF($AD160="정상","✓ 정상","? 확인필요")))</f>
        <v/>
      </c>
      <c r="AF160" s="21" t="n"/>
      <c r="AG160" s="28" t="n"/>
    </row>
    <row r="161">
      <c r="A161" s="19" t="n">
        <v>157</v>
      </c>
      <c r="B161" s="20" t="inlineStr">
        <is>
          <t>문도혁</t>
        </is>
      </c>
      <c r="C161" s="20" t="inlineStr">
        <is>
          <t>정희영</t>
        </is>
      </c>
      <c r="D161" s="20" t="inlineStr">
        <is>
          <t>TLJJW27601</t>
        </is>
      </c>
      <c r="E161" s="20" t="inlineStr">
        <is>
          <t>남성 키퍼 스탠드넥 인슐레이션 재킷</t>
        </is>
      </c>
      <c r="F161" s="20" t="inlineStr">
        <is>
          <t>MUD/DNV</t>
        </is>
      </c>
      <c r="G161" s="19">
        <f>IF($D161="","",IF(MID($D161,5,1)="A","A(가을)",IF(MID($D161,5,1)="W","W(겨울)",IF(MID($D161,5,1)="X","X(사계절)",MID($D161,5,1)))))</f>
        <v/>
      </c>
      <c r="H161" s="19" t="inlineStr">
        <is>
          <t>완</t>
        </is>
      </c>
      <c r="I161" s="21" t="inlineStr">
        <is>
          <t>8월4주</t>
        </is>
      </c>
      <c r="J161" s="22">
        <f>IF($I161="","",IFERROR(DATE(기준정보!$C$7,VALUE(LEFT($I161,FIND("월",$I161)-1)),1+7*(VALUE(SUBSTITUTE(MID($I161,FIND("월",$I161)+1,5),"주",""))-1)),""))</f>
        <v/>
      </c>
      <c r="K161" s="22">
        <f>IF($J161="","",IF(AND(ISNUMBER(SEARCH("미얀마",$U161)),$J161-기준정보!$C$5&gt;=기준정보!$C$8,$J161-기준정보!$C$5&lt;=기준정보!$C$9),기준정보!$C$8-1,IF(AND(ISNUMBER(SEARCH("인도네시아",$U161)),$J161-기준정보!$C$5&gt;=기준정보!$C$10,$J161-기준정보!$C$5&lt;=기준정보!$C$11),기준정보!$C$10-1,$J161-기준정보!$C$5)))</f>
        <v/>
      </c>
      <c r="L161" s="23">
        <f>IF($K161="","",IF(ISNUMBER(SEARCH("미얀마",$U161)),MAX(0,MIN($K161,기준정보!$C$9)-MAX($K161-기준정보!$C$6,기준정보!$C$8)+1),IF(ISNUMBER(SEARCH("인도네시아",$U161)),MAX(0,MIN($K161,기준정보!$C$11)-MAX($K161-기준정보!$C$6,기준정보!$C$10)+1),0)))</f>
        <v/>
      </c>
      <c r="M161" s="22">
        <f>IF($K161="","",$K161-기준정보!$C$6-$L161)</f>
        <v/>
      </c>
      <c r="N161" s="24">
        <f>IF($M161="","",$M161-기준정보!$C$4)</f>
        <v/>
      </c>
      <c r="O161" s="21" t="n"/>
      <c r="P161" s="21" t="n"/>
      <c r="Q161" s="21" t="n"/>
      <c r="R161" s="25" t="n"/>
      <c r="S161" s="20">
        <f>IF($H161="","",IF($H161="C","본사(소재팀)",IF($H161="완","생산처","확인 필요")))</f>
        <v/>
      </c>
      <c r="T161" s="20" t="inlineStr">
        <is>
          <t>원전</t>
        </is>
      </c>
      <c r="U161" s="20" t="inlineStr">
        <is>
          <t>인도네시아</t>
        </is>
      </c>
      <c r="V161" s="20" t="n"/>
      <c r="W161" s="26" t="n"/>
      <c r="X161" s="26" t="n"/>
      <c r="Y161" s="22" t="n"/>
      <c r="Z161" s="27" t="n">
        <v>2500</v>
      </c>
      <c r="AA161" s="27" t="n">
        <v>120802500</v>
      </c>
      <c r="AB161" s="27" t="n">
        <v>675000000</v>
      </c>
      <c r="AC161" s="20" t="n"/>
      <c r="AD161" s="20">
        <f>IF($J161="","출고일 미정",IF($P161="X","작지 미발행",IF($P161="부분","작지 일부 미발행",IF(AND($R161&lt;&gt;"",$R161&gt;$M161),"소재입고 마감("&amp;TEXT($M161,"MM/DD")&amp;") 초과",IF($P161="","발행여부 확인 필요",IF($R161="","소재 입고일정 확인 필요","정상"))))))</f>
        <v/>
      </c>
      <c r="AE161" s="19">
        <f>IF($J161="","",IF(OR(LEFT($AD161,2)="작지",LEFT($AD161,4)="소재입고"),IF(LEFT($G161,1)="A","★ 납기위험(A코드)","◆ 지연주의"),IF($AD161="정상","✓ 정상","? 확인필요")))</f>
        <v/>
      </c>
      <c r="AF161" s="21" t="n"/>
      <c r="AG161" s="28" t="n"/>
    </row>
    <row r="162">
      <c r="A162" s="19" t="n">
        <v>158</v>
      </c>
      <c r="B162" s="20" t="inlineStr">
        <is>
          <t>문도혁</t>
        </is>
      </c>
      <c r="C162" s="20" t="inlineStr">
        <is>
          <t>정희영</t>
        </is>
      </c>
      <c r="D162" s="20" t="inlineStr">
        <is>
          <t>TLJJW27603</t>
        </is>
      </c>
      <c r="E162" s="20" t="inlineStr">
        <is>
          <t>남성 키퍼 칼라넥 인슐레이션 재킷</t>
        </is>
      </c>
      <c r="F162" s="20" t="inlineStr">
        <is>
          <t>CTP/DNV</t>
        </is>
      </c>
      <c r="G162" s="19">
        <f>IF($D162="","",IF(MID($D162,5,1)="A","A(가을)",IF(MID($D162,5,1)="W","W(겨울)",IF(MID($D162,5,1)="X","X(사계절)",MID($D162,5,1)))))</f>
        <v/>
      </c>
      <c r="H162" s="19" t="inlineStr">
        <is>
          <t>완</t>
        </is>
      </c>
      <c r="I162" s="21" t="inlineStr">
        <is>
          <t>8월4주</t>
        </is>
      </c>
      <c r="J162" s="22">
        <f>IF($I162="","",IFERROR(DATE(기준정보!$C$7,VALUE(LEFT($I162,FIND("월",$I162)-1)),1+7*(VALUE(SUBSTITUTE(MID($I162,FIND("월",$I162)+1,5),"주",""))-1)),""))</f>
        <v/>
      </c>
      <c r="K162" s="22">
        <f>IF($J162="","",IF(AND(ISNUMBER(SEARCH("미얀마",$U162)),$J162-기준정보!$C$5&gt;=기준정보!$C$8,$J162-기준정보!$C$5&lt;=기준정보!$C$9),기준정보!$C$8-1,IF(AND(ISNUMBER(SEARCH("인도네시아",$U162)),$J162-기준정보!$C$5&gt;=기준정보!$C$10,$J162-기준정보!$C$5&lt;=기준정보!$C$11),기준정보!$C$10-1,$J162-기준정보!$C$5)))</f>
        <v/>
      </c>
      <c r="L162" s="23">
        <f>IF($K162="","",IF(ISNUMBER(SEARCH("미얀마",$U162)),MAX(0,MIN($K162,기준정보!$C$9)-MAX($K162-기준정보!$C$6,기준정보!$C$8)+1),IF(ISNUMBER(SEARCH("인도네시아",$U162)),MAX(0,MIN($K162,기준정보!$C$11)-MAX($K162-기준정보!$C$6,기준정보!$C$10)+1),0)))</f>
        <v/>
      </c>
      <c r="M162" s="22">
        <f>IF($K162="","",$K162-기준정보!$C$6-$L162)</f>
        <v/>
      </c>
      <c r="N162" s="24">
        <f>IF($M162="","",$M162-기준정보!$C$4)</f>
        <v/>
      </c>
      <c r="O162" s="21" t="n"/>
      <c r="P162" s="21" t="n"/>
      <c r="Q162" s="21" t="n"/>
      <c r="R162" s="25" t="n"/>
      <c r="S162" s="20">
        <f>IF($H162="","",IF($H162="C","본사(소재팀)",IF($H162="완","생산처","확인 필요")))</f>
        <v/>
      </c>
      <c r="T162" s="20" t="inlineStr">
        <is>
          <t>아이블</t>
        </is>
      </c>
      <c r="U162" s="20" t="inlineStr">
        <is>
          <t>베트남</t>
        </is>
      </c>
      <c r="V162" s="20" t="n"/>
      <c r="W162" s="26" t="n"/>
      <c r="X162" s="26" t="n"/>
      <c r="Y162" s="22" t="n"/>
      <c r="Z162" s="27" t="n">
        <v>2000</v>
      </c>
      <c r="AA162" s="27" t="n">
        <v>124484000</v>
      </c>
      <c r="AB162" s="27" t="n">
        <v>580000000</v>
      </c>
      <c r="AC162" s="20" t="n"/>
      <c r="AD162" s="20">
        <f>IF($J162="","출고일 미정",IF($P162="X","작지 미발행",IF($P162="부분","작지 일부 미발행",IF(AND($R162&lt;&gt;"",$R162&gt;$M162),"소재입고 마감("&amp;TEXT($M162,"MM/DD")&amp;") 초과",IF($P162="","발행여부 확인 필요",IF($R162="","소재 입고일정 확인 필요","정상"))))))</f>
        <v/>
      </c>
      <c r="AE162" s="19">
        <f>IF($J162="","",IF(OR(LEFT($AD162,2)="작지",LEFT($AD162,4)="소재입고"),IF(LEFT($G162,1)="A","★ 납기위험(A코드)","◆ 지연주의"),IF($AD162="정상","✓ 정상","? 확인필요")))</f>
        <v/>
      </c>
      <c r="AF162" s="21" t="n"/>
      <c r="AG162" s="28" t="n"/>
    </row>
    <row r="163">
      <c r="A163" s="19" t="n">
        <v>159</v>
      </c>
      <c r="B163" s="20" t="inlineStr">
        <is>
          <t>문도혁</t>
        </is>
      </c>
      <c r="C163" s="20" t="inlineStr">
        <is>
          <t>정희영</t>
        </is>
      </c>
      <c r="D163" s="20" t="inlineStr">
        <is>
          <t>TLJJW27605</t>
        </is>
      </c>
      <c r="E163" s="20" t="inlineStr">
        <is>
          <t>남성 키퍼 블레이저 인슐레이션 재킷</t>
        </is>
      </c>
      <c r="F163" s="20" t="inlineStr">
        <is>
          <t>ASB/MID</t>
        </is>
      </c>
      <c r="G163" s="19">
        <f>IF($D163="","",IF(MID($D163,5,1)="A","A(가을)",IF(MID($D163,5,1)="W","W(겨울)",IF(MID($D163,5,1)="X","X(사계절)",MID($D163,5,1)))))</f>
        <v/>
      </c>
      <c r="H163" s="19" t="inlineStr">
        <is>
          <t>완</t>
        </is>
      </c>
      <c r="I163" s="21" t="inlineStr">
        <is>
          <t>8월4주</t>
        </is>
      </c>
      <c r="J163" s="22">
        <f>IF($I163="","",IFERROR(DATE(기준정보!$C$7,VALUE(LEFT($I163,FIND("월",$I163)-1)),1+7*(VALUE(SUBSTITUTE(MID($I163,FIND("월",$I163)+1,5),"주",""))-1)),""))</f>
        <v/>
      </c>
      <c r="K163" s="22">
        <f>IF($J163="","",IF(AND(ISNUMBER(SEARCH("미얀마",$U163)),$J163-기준정보!$C$5&gt;=기준정보!$C$8,$J163-기준정보!$C$5&lt;=기준정보!$C$9),기준정보!$C$8-1,IF(AND(ISNUMBER(SEARCH("인도네시아",$U163)),$J163-기준정보!$C$5&gt;=기준정보!$C$10,$J163-기준정보!$C$5&lt;=기준정보!$C$11),기준정보!$C$10-1,$J163-기준정보!$C$5)))</f>
        <v/>
      </c>
      <c r="L163" s="23">
        <f>IF($K163="","",IF(ISNUMBER(SEARCH("미얀마",$U163)),MAX(0,MIN($K163,기준정보!$C$9)-MAX($K163-기준정보!$C$6,기준정보!$C$8)+1),IF(ISNUMBER(SEARCH("인도네시아",$U163)),MAX(0,MIN($K163,기준정보!$C$11)-MAX($K163-기준정보!$C$6,기준정보!$C$10)+1),0)))</f>
        <v/>
      </c>
      <c r="M163" s="22">
        <f>IF($K163="","",$K163-기준정보!$C$6-$L163)</f>
        <v/>
      </c>
      <c r="N163" s="24">
        <f>IF($M163="","",$M163-기준정보!$C$4)</f>
        <v/>
      </c>
      <c r="O163" s="21" t="n"/>
      <c r="P163" s="21" t="n"/>
      <c r="Q163" s="21" t="n"/>
      <c r="R163" s="25" t="n"/>
      <c r="S163" s="20">
        <f>IF($H163="","",IF($H163="C","본사(소재팀)",IF($H163="완","생산처","확인 필요")))</f>
        <v/>
      </c>
      <c r="T163" s="20" t="inlineStr">
        <is>
          <t>아이블</t>
        </is>
      </c>
      <c r="U163" s="20" t="inlineStr">
        <is>
          <t>베트남</t>
        </is>
      </c>
      <c r="V163" s="20" t="n"/>
      <c r="W163" s="26" t="n"/>
      <c r="X163" s="26" t="n"/>
      <c r="Y163" s="22" t="n"/>
      <c r="Z163" s="27" t="n">
        <v>2000</v>
      </c>
      <c r="AA163" s="27" t="n">
        <v>97838000</v>
      </c>
      <c r="AB163" s="27" t="n">
        <v>540000000</v>
      </c>
      <c r="AC163" s="20" t="n"/>
      <c r="AD163" s="20">
        <f>IF($J163="","출고일 미정",IF($P163="X","작지 미발행",IF($P163="부분","작지 일부 미발행",IF(AND($R163&lt;&gt;"",$R163&gt;$M163),"소재입고 마감("&amp;TEXT($M163,"MM/DD")&amp;") 초과",IF($P163="","발행여부 확인 필요",IF($R163="","소재 입고일정 확인 필요","정상"))))))</f>
        <v/>
      </c>
      <c r="AE163" s="19">
        <f>IF($J163="","",IF(OR(LEFT($AD163,2)="작지",LEFT($AD163,4)="소재입고"),IF(LEFT($G163,1)="A","★ 납기위험(A코드)","◆ 지연주의"),IF($AD163="정상","✓ 정상","? 확인필요")))</f>
        <v/>
      </c>
      <c r="AF163" s="21" t="n"/>
      <c r="AG163" s="28" t="n"/>
    </row>
    <row r="164">
      <c r="A164" s="19" t="n">
        <v>160</v>
      </c>
      <c r="B164" s="20" t="inlineStr">
        <is>
          <t>김준래</t>
        </is>
      </c>
      <c r="C164" s="20" t="inlineStr">
        <is>
          <t>정희영</t>
        </is>
      </c>
      <c r="D164" s="20" t="inlineStr">
        <is>
          <t>TLPNW27611</t>
        </is>
      </c>
      <c r="E164" s="20" t="inlineStr">
        <is>
          <t>남성 키퍼 패딩 루즈핏 커브드 팬츠</t>
        </is>
      </c>
      <c r="F164" s="20" t="inlineStr">
        <is>
          <t>DEB</t>
        </is>
      </c>
      <c r="G164" s="19">
        <f>IF($D164="","",IF(MID($D164,5,1)="A","A(가을)",IF(MID($D164,5,1)="W","W(겨울)",IF(MID($D164,5,1)="X","X(사계절)",MID($D164,5,1)))))</f>
        <v/>
      </c>
      <c r="H164" s="19" t="inlineStr">
        <is>
          <t>완</t>
        </is>
      </c>
      <c r="I164" s="21" t="inlineStr">
        <is>
          <t>8월4주</t>
        </is>
      </c>
      <c r="J164" s="22">
        <f>IF($I164="","",IFERROR(DATE(기준정보!$C$7,VALUE(LEFT($I164,FIND("월",$I164)-1)),1+7*(VALUE(SUBSTITUTE(MID($I164,FIND("월",$I164)+1,5),"주",""))-1)),""))</f>
        <v/>
      </c>
      <c r="K164" s="22">
        <f>IF($J164="","",IF(AND(ISNUMBER(SEARCH("미얀마",$U164)),$J164-기준정보!$C$5&gt;=기준정보!$C$8,$J164-기준정보!$C$5&lt;=기준정보!$C$9),기준정보!$C$8-1,IF(AND(ISNUMBER(SEARCH("인도네시아",$U164)),$J164-기준정보!$C$5&gt;=기준정보!$C$10,$J164-기준정보!$C$5&lt;=기준정보!$C$11),기준정보!$C$10-1,$J164-기준정보!$C$5)))</f>
        <v/>
      </c>
      <c r="L164" s="23">
        <f>IF($K164="","",IF(ISNUMBER(SEARCH("미얀마",$U164)),MAX(0,MIN($K164,기준정보!$C$9)-MAX($K164-기준정보!$C$6,기준정보!$C$8)+1),IF(ISNUMBER(SEARCH("인도네시아",$U164)),MAX(0,MIN($K164,기준정보!$C$11)-MAX($K164-기준정보!$C$6,기준정보!$C$10)+1),0)))</f>
        <v/>
      </c>
      <c r="M164" s="22">
        <f>IF($K164="","",$K164-기준정보!$C$6-$L164)</f>
        <v/>
      </c>
      <c r="N164" s="24">
        <f>IF($M164="","",$M164-기준정보!$C$4)</f>
        <v/>
      </c>
      <c r="O164" s="21" t="n"/>
      <c r="P164" s="21" t="n"/>
      <c r="Q164" s="21" t="n"/>
      <c r="R164" s="25" t="n"/>
      <c r="S164" s="20">
        <f>IF($H164="","",IF($H164="C","본사(소재팀)",IF($H164="완","생산처","확인 필요")))</f>
        <v/>
      </c>
      <c r="T164" s="20" t="inlineStr">
        <is>
          <t>YIC</t>
        </is>
      </c>
      <c r="U164" s="20" t="inlineStr">
        <is>
          <t>베트남</t>
        </is>
      </c>
      <c r="V164" s="20" t="n"/>
      <c r="W164" s="26" t="n"/>
      <c r="X164" s="26" t="n"/>
      <c r="Y164" s="22" t="n"/>
      <c r="Z164" s="27" t="n"/>
      <c r="AA164" s="27" t="n"/>
      <c r="AB164" s="27" t="n"/>
      <c r="AC164" s="20" t="n"/>
      <c r="AD164" s="20">
        <f>IF($J164="","출고일 미정",IF($P164="X","작지 미발행",IF($P164="부분","작지 일부 미발행",IF(AND($R164&lt;&gt;"",$R164&gt;$M164),"소재입고 마감("&amp;TEXT($M164,"MM/DD")&amp;") 초과",IF($P164="","발행여부 확인 필요",IF($R164="","소재 입고일정 확인 필요","정상"))))))</f>
        <v/>
      </c>
      <c r="AE164" s="19">
        <f>IF($J164="","",IF(OR(LEFT($AD164,2)="작지",LEFT($AD164,4)="소재입고"),IF(LEFT($G164,1)="A","★ 납기위험(A코드)","◆ 지연주의"),IF($AD164="정상","✓ 정상","? 확인필요")))</f>
        <v/>
      </c>
      <c r="AF164" s="21" t="n"/>
      <c r="AG164" s="28" t="n"/>
    </row>
    <row r="165">
      <c r="A165" s="19" t="n">
        <v>161</v>
      </c>
      <c r="B165" s="20" t="inlineStr">
        <is>
          <t>김준래</t>
        </is>
      </c>
      <c r="C165" s="20" t="inlineStr">
        <is>
          <t>정희영</t>
        </is>
      </c>
      <c r="D165" s="20" t="inlineStr">
        <is>
          <t>TLPNW27615</t>
        </is>
      </c>
      <c r="E165" s="20" t="inlineStr">
        <is>
          <t>남성 폴라텍 100 릴렉스핏 조거 팬츠</t>
        </is>
      </c>
      <c r="F165" s="20" t="inlineStr">
        <is>
          <t>MML/DEB</t>
        </is>
      </c>
      <c r="G165" s="19">
        <f>IF($D165="","",IF(MID($D165,5,1)="A","A(가을)",IF(MID($D165,5,1)="W","W(겨울)",IF(MID($D165,5,1)="X","X(사계절)",MID($D165,5,1)))))</f>
        <v/>
      </c>
      <c r="H165" s="19" t="inlineStr">
        <is>
          <t>완</t>
        </is>
      </c>
      <c r="I165" s="21" t="inlineStr">
        <is>
          <t>8월4주</t>
        </is>
      </c>
      <c r="J165" s="22">
        <f>IF($I165="","",IFERROR(DATE(기준정보!$C$7,VALUE(LEFT($I165,FIND("월",$I165)-1)),1+7*(VALUE(SUBSTITUTE(MID($I165,FIND("월",$I165)+1,5),"주",""))-1)),""))</f>
        <v/>
      </c>
      <c r="K165" s="22">
        <f>IF($J165="","",IF(AND(ISNUMBER(SEARCH("미얀마",$U165)),$J165-기준정보!$C$5&gt;=기준정보!$C$8,$J165-기준정보!$C$5&lt;=기준정보!$C$9),기준정보!$C$8-1,IF(AND(ISNUMBER(SEARCH("인도네시아",$U165)),$J165-기준정보!$C$5&gt;=기준정보!$C$10,$J165-기준정보!$C$5&lt;=기준정보!$C$11),기준정보!$C$10-1,$J165-기준정보!$C$5)))</f>
        <v/>
      </c>
      <c r="L165" s="23">
        <f>IF($K165="","",IF(ISNUMBER(SEARCH("미얀마",$U165)),MAX(0,MIN($K165,기준정보!$C$9)-MAX($K165-기준정보!$C$6,기준정보!$C$8)+1),IF(ISNUMBER(SEARCH("인도네시아",$U165)),MAX(0,MIN($K165,기준정보!$C$11)-MAX($K165-기준정보!$C$6,기준정보!$C$10)+1),0)))</f>
        <v/>
      </c>
      <c r="M165" s="22">
        <f>IF($K165="","",$K165-기준정보!$C$6-$L165)</f>
        <v/>
      </c>
      <c r="N165" s="24">
        <f>IF($M165="","",$M165-기준정보!$C$4)</f>
        <v/>
      </c>
      <c r="O165" s="21" t="n"/>
      <c r="P165" s="21" t="n"/>
      <c r="Q165" s="21" t="n"/>
      <c r="R165" s="25" t="n"/>
      <c r="S165" s="20">
        <f>IF($H165="","",IF($H165="C","본사(소재팀)",IF($H165="완","생산처","확인 필요")))</f>
        <v/>
      </c>
      <c r="T165" s="20" t="inlineStr">
        <is>
          <t>IKG</t>
        </is>
      </c>
      <c r="U165" s="20" t="inlineStr">
        <is>
          <t>베트남</t>
        </is>
      </c>
      <c r="V165" s="20" t="n"/>
      <c r="W165" s="26" t="n"/>
      <c r="X165" s="26" t="n"/>
      <c r="Y165" s="22" t="n"/>
      <c r="Z165" s="27" t="n">
        <v>2500</v>
      </c>
      <c r="AA165" s="27" t="n">
        <v>87767500</v>
      </c>
      <c r="AB165" s="27" t="n">
        <v>470000000</v>
      </c>
      <c r="AC165" s="20" t="n"/>
      <c r="AD165" s="20">
        <f>IF($J165="","출고일 미정",IF($P165="X","작지 미발행",IF($P165="부분","작지 일부 미발행",IF(AND($R165&lt;&gt;"",$R165&gt;$M165),"소재입고 마감("&amp;TEXT($M165,"MM/DD")&amp;") 초과",IF($P165="","발행여부 확인 필요",IF($R165="","소재 입고일정 확인 필요","정상"))))))</f>
        <v/>
      </c>
      <c r="AE165" s="19">
        <f>IF($J165="","",IF(OR(LEFT($AD165,2)="작지",LEFT($AD165,4)="소재입고"),IF(LEFT($G165,1)="A","★ 납기위험(A코드)","◆ 지연주의"),IF($AD165="정상","✓ 정상","? 확인필요")))</f>
        <v/>
      </c>
      <c r="AF165" s="21" t="n"/>
      <c r="AG165" s="28" t="n"/>
    </row>
    <row r="166">
      <c r="A166" s="19" t="n">
        <v>162</v>
      </c>
      <c r="B166" s="20" t="inlineStr">
        <is>
          <t>김준래</t>
        </is>
      </c>
      <c r="C166" s="20" t="inlineStr">
        <is>
          <t>정희영</t>
        </is>
      </c>
      <c r="D166" s="20" t="inlineStr">
        <is>
          <t>TLPNW27623</t>
        </is>
      </c>
      <c r="E166" s="20" t="inlineStr">
        <is>
          <t>남성 테이퍼드핏 팬츠</t>
        </is>
      </c>
      <c r="F166" s="20" t="inlineStr">
        <is>
          <t>CHR/DEB</t>
        </is>
      </c>
      <c r="G166" s="19">
        <f>IF($D166="","",IF(MID($D166,5,1)="A","A(가을)",IF(MID($D166,5,1)="W","W(겨울)",IF(MID($D166,5,1)="X","X(사계절)",MID($D166,5,1)))))</f>
        <v/>
      </c>
      <c r="H166" s="19" t="inlineStr">
        <is>
          <t>완</t>
        </is>
      </c>
      <c r="I166" s="21" t="inlineStr">
        <is>
          <t>8월4주</t>
        </is>
      </c>
      <c r="J166" s="22">
        <f>IF($I166="","",IFERROR(DATE(기준정보!$C$7,VALUE(LEFT($I166,FIND("월",$I166)-1)),1+7*(VALUE(SUBSTITUTE(MID($I166,FIND("월",$I166)+1,5),"주",""))-1)),""))</f>
        <v/>
      </c>
      <c r="K166" s="22">
        <f>IF($J166="","",IF(AND(ISNUMBER(SEARCH("미얀마",$U166)),$J166-기준정보!$C$5&gt;=기준정보!$C$8,$J166-기준정보!$C$5&lt;=기준정보!$C$9),기준정보!$C$8-1,IF(AND(ISNUMBER(SEARCH("인도네시아",$U166)),$J166-기준정보!$C$5&gt;=기준정보!$C$10,$J166-기준정보!$C$5&lt;=기준정보!$C$11),기준정보!$C$10-1,$J166-기준정보!$C$5)))</f>
        <v/>
      </c>
      <c r="L166" s="23">
        <f>IF($K166="","",IF(ISNUMBER(SEARCH("미얀마",$U166)),MAX(0,MIN($K166,기준정보!$C$9)-MAX($K166-기준정보!$C$6,기준정보!$C$8)+1),IF(ISNUMBER(SEARCH("인도네시아",$U166)),MAX(0,MIN($K166,기준정보!$C$11)-MAX($K166-기준정보!$C$6,기준정보!$C$10)+1),0)))</f>
        <v/>
      </c>
      <c r="M166" s="22">
        <f>IF($K166="","",$K166-기준정보!$C$6-$L166)</f>
        <v/>
      </c>
      <c r="N166" s="24">
        <f>IF($M166="","",$M166-기준정보!$C$4)</f>
        <v/>
      </c>
      <c r="O166" s="21" t="n"/>
      <c r="P166" s="21" t="n"/>
      <c r="Q166" s="21" t="n"/>
      <c r="R166" s="25" t="n"/>
      <c r="S166" s="20">
        <f>IF($H166="","",IF($H166="C","본사(소재팀)",IF($H166="완","생산처","확인 필요")))</f>
        <v/>
      </c>
      <c r="T166" s="20" t="inlineStr">
        <is>
          <t>디코드</t>
        </is>
      </c>
      <c r="U166" s="20" t="inlineStr">
        <is>
          <t>베트남</t>
        </is>
      </c>
      <c r="V166" s="20" t="n"/>
      <c r="W166" s="26" t="n"/>
      <c r="X166" s="26" t="n"/>
      <c r="Y166" s="22" t="n"/>
      <c r="Z166" s="27" t="n">
        <v>3000</v>
      </c>
      <c r="AA166" s="27" t="n">
        <v>125520000</v>
      </c>
      <c r="AB166" s="27" t="n">
        <v>564000000</v>
      </c>
      <c r="AC166" s="20" t="n"/>
      <c r="AD166" s="20">
        <f>IF($J166="","출고일 미정",IF($P166="X","작지 미발행",IF($P166="부분","작지 일부 미발행",IF(AND($R166&lt;&gt;"",$R166&gt;$M166),"소재입고 마감("&amp;TEXT($M166,"MM/DD")&amp;") 초과",IF($P166="","발행여부 확인 필요",IF($R166="","소재 입고일정 확인 필요","정상"))))))</f>
        <v/>
      </c>
      <c r="AE166" s="19">
        <f>IF($J166="","",IF(OR(LEFT($AD166,2)="작지",LEFT($AD166,4)="소재입고"),IF(LEFT($G166,1)="A","★ 납기위험(A코드)","◆ 지연주의"),IF($AD166="정상","✓ 정상","? 확인필요")))</f>
        <v/>
      </c>
      <c r="AF166" s="21" t="n"/>
      <c r="AG166" s="28" t="n"/>
    </row>
    <row r="167">
      <c r="A167" s="19" t="n">
        <v>163</v>
      </c>
      <c r="B167" s="20" t="inlineStr">
        <is>
          <t>김준래</t>
        </is>
      </c>
      <c r="C167" s="20" t="inlineStr">
        <is>
          <t>정희영</t>
        </is>
      </c>
      <c r="D167" s="20" t="inlineStr">
        <is>
          <t>TLTBW27601</t>
        </is>
      </c>
      <c r="E167" s="20" t="inlineStr">
        <is>
          <t>남성 터틀넥 긴팔 티셔츠</t>
        </is>
      </c>
      <c r="F167" s="20" t="inlineStr">
        <is>
          <t>LML/DNV/DOE</t>
        </is>
      </c>
      <c r="G167" s="19">
        <f>IF($D167="","",IF(MID($D167,5,1)="A","A(가을)",IF(MID($D167,5,1)="W","W(겨울)",IF(MID($D167,5,1)="X","X(사계절)",MID($D167,5,1)))))</f>
        <v/>
      </c>
      <c r="H167" s="19" t="inlineStr">
        <is>
          <t>완</t>
        </is>
      </c>
      <c r="I167" s="21" t="inlineStr">
        <is>
          <t>8월4주</t>
        </is>
      </c>
      <c r="J167" s="22">
        <f>IF($I167="","",IFERROR(DATE(기준정보!$C$7,VALUE(LEFT($I167,FIND("월",$I167)-1)),1+7*(VALUE(SUBSTITUTE(MID($I167,FIND("월",$I167)+1,5),"주",""))-1)),""))</f>
        <v/>
      </c>
      <c r="K167" s="22">
        <f>IF($J167="","",IF(AND(ISNUMBER(SEARCH("미얀마",$U167)),$J167-기준정보!$C$5&gt;=기준정보!$C$8,$J167-기준정보!$C$5&lt;=기준정보!$C$9),기준정보!$C$8-1,IF(AND(ISNUMBER(SEARCH("인도네시아",$U167)),$J167-기준정보!$C$5&gt;=기준정보!$C$10,$J167-기준정보!$C$5&lt;=기준정보!$C$11),기준정보!$C$10-1,$J167-기준정보!$C$5)))</f>
        <v/>
      </c>
      <c r="L167" s="23">
        <f>IF($K167="","",IF(ISNUMBER(SEARCH("미얀마",$U167)),MAX(0,MIN($K167,기준정보!$C$9)-MAX($K167-기준정보!$C$6,기준정보!$C$8)+1),IF(ISNUMBER(SEARCH("인도네시아",$U167)),MAX(0,MIN($K167,기준정보!$C$11)-MAX($K167-기준정보!$C$6,기준정보!$C$10)+1),0)))</f>
        <v/>
      </c>
      <c r="M167" s="22">
        <f>IF($K167="","",$K167-기준정보!$C$6-$L167)</f>
        <v/>
      </c>
      <c r="N167" s="24">
        <f>IF($M167="","",$M167-기준정보!$C$4)</f>
        <v/>
      </c>
      <c r="O167" s="21" t="n"/>
      <c r="P167" s="21" t="n"/>
      <c r="Q167" s="21" t="n"/>
      <c r="R167" s="25" t="n"/>
      <c r="S167" s="20">
        <f>IF($H167="","",IF($H167="C","본사(소재팀)",IF($H167="완","생산처","확인 필요")))</f>
        <v/>
      </c>
      <c r="T167" s="20" t="inlineStr">
        <is>
          <t>IKG</t>
        </is>
      </c>
      <c r="U167" s="20" t="inlineStr">
        <is>
          <t>인도네시아</t>
        </is>
      </c>
      <c r="V167" s="20" t="n"/>
      <c r="W167" s="26" t="n"/>
      <c r="X167" s="26" t="n"/>
      <c r="Y167" s="22" t="n"/>
      <c r="Z167" s="27" t="n">
        <v>7000</v>
      </c>
      <c r="AA167" s="27" t="n">
        <v>135121000</v>
      </c>
      <c r="AB167" s="27" t="n">
        <v>686000000</v>
      </c>
      <c r="AC167" s="20" t="n"/>
      <c r="AD167" s="20">
        <f>IF($J167="","출고일 미정",IF($P167="X","작지 미발행",IF($P167="부분","작지 일부 미발행",IF(AND($R167&lt;&gt;"",$R167&gt;$M167),"소재입고 마감("&amp;TEXT($M167,"MM/DD")&amp;") 초과",IF($P167="","발행여부 확인 필요",IF($R167="","소재 입고일정 확인 필요","정상"))))))</f>
        <v/>
      </c>
      <c r="AE167" s="19">
        <f>IF($J167="","",IF(OR(LEFT($AD167,2)="작지",LEFT($AD167,4)="소재입고"),IF(LEFT($G167,1)="A","★ 납기위험(A코드)","◆ 지연주의"),IF($AD167="정상","✓ 정상","? 확인필요")))</f>
        <v/>
      </c>
      <c r="AF167" s="21" t="n"/>
      <c r="AG167" s="28" t="n"/>
    </row>
    <row r="168">
      <c r="A168" s="19" t="n">
        <v>164</v>
      </c>
      <c r="B168" s="20" t="inlineStr">
        <is>
          <t>김준래</t>
        </is>
      </c>
      <c r="C168" s="20" t="inlineStr">
        <is>
          <t>정희영</t>
        </is>
      </c>
      <c r="D168" s="20" t="inlineStr">
        <is>
          <t>TLTBW27605</t>
        </is>
      </c>
      <c r="E168" s="20" t="inlineStr">
        <is>
          <t>남성 니트페이스 폴로 긴팔 티셔츠</t>
        </is>
      </c>
      <c r="F168" s="20" t="inlineStr">
        <is>
          <t>LML/ABE/DEB</t>
        </is>
      </c>
      <c r="G168" s="19">
        <f>IF($D168="","",IF(MID($D168,5,1)="A","A(가을)",IF(MID($D168,5,1)="W","W(겨울)",IF(MID($D168,5,1)="X","X(사계절)",MID($D168,5,1)))))</f>
        <v/>
      </c>
      <c r="H168" s="19" t="inlineStr">
        <is>
          <t>완</t>
        </is>
      </c>
      <c r="I168" s="21" t="inlineStr">
        <is>
          <t>8월4주</t>
        </is>
      </c>
      <c r="J168" s="22">
        <f>IF($I168="","",IFERROR(DATE(기준정보!$C$7,VALUE(LEFT($I168,FIND("월",$I168)-1)),1+7*(VALUE(SUBSTITUTE(MID($I168,FIND("월",$I168)+1,5),"주",""))-1)),""))</f>
        <v/>
      </c>
      <c r="K168" s="22">
        <f>IF($J168="","",IF(AND(ISNUMBER(SEARCH("미얀마",$U168)),$J168-기준정보!$C$5&gt;=기준정보!$C$8,$J168-기준정보!$C$5&lt;=기준정보!$C$9),기준정보!$C$8-1,IF(AND(ISNUMBER(SEARCH("인도네시아",$U168)),$J168-기준정보!$C$5&gt;=기준정보!$C$10,$J168-기준정보!$C$5&lt;=기준정보!$C$11),기준정보!$C$10-1,$J168-기준정보!$C$5)))</f>
        <v/>
      </c>
      <c r="L168" s="23">
        <f>IF($K168="","",IF(ISNUMBER(SEARCH("미얀마",$U168)),MAX(0,MIN($K168,기준정보!$C$9)-MAX($K168-기준정보!$C$6,기준정보!$C$8)+1),IF(ISNUMBER(SEARCH("인도네시아",$U168)),MAX(0,MIN($K168,기준정보!$C$11)-MAX($K168-기준정보!$C$6,기준정보!$C$10)+1),0)))</f>
        <v/>
      </c>
      <c r="M168" s="22">
        <f>IF($K168="","",$K168-기준정보!$C$6-$L168)</f>
        <v/>
      </c>
      <c r="N168" s="24">
        <f>IF($M168="","",$M168-기준정보!$C$4)</f>
        <v/>
      </c>
      <c r="O168" s="21" t="n"/>
      <c r="P168" s="21" t="n"/>
      <c r="Q168" s="21" t="n"/>
      <c r="R168" s="25" t="n"/>
      <c r="S168" s="20">
        <f>IF($H168="","",IF($H168="C","본사(소재팀)",IF($H168="완","생산처","확인 필요")))</f>
        <v/>
      </c>
      <c r="T168" s="20" t="inlineStr">
        <is>
          <t>장안</t>
        </is>
      </c>
      <c r="U168" s="20" t="inlineStr">
        <is>
          <t>베트남</t>
        </is>
      </c>
      <c r="V168" s="20" t="n"/>
      <c r="W168" s="26" t="n"/>
      <c r="X168" s="26" t="n"/>
      <c r="Y168" s="22" t="n"/>
      <c r="Z168" s="27" t="n">
        <v>7000</v>
      </c>
      <c r="AA168" s="27" t="n">
        <v>191555000</v>
      </c>
      <c r="AB168" s="27" t="n">
        <v>966000000</v>
      </c>
      <c r="AC168" s="20" t="n"/>
      <c r="AD168" s="20">
        <f>IF($J168="","출고일 미정",IF($P168="X","작지 미발행",IF($P168="부분","작지 일부 미발행",IF(AND($R168&lt;&gt;"",$R168&gt;$M168),"소재입고 마감("&amp;TEXT($M168,"MM/DD")&amp;") 초과",IF($P168="","발행여부 확인 필요",IF($R168="","소재 입고일정 확인 필요","정상"))))))</f>
        <v/>
      </c>
      <c r="AE168" s="19">
        <f>IF($J168="","",IF(OR(LEFT($AD168,2)="작지",LEFT($AD168,4)="소재입고"),IF(LEFT($G168,1)="A","★ 납기위험(A코드)","◆ 지연주의"),IF($AD168="정상","✓ 정상","? 확인필요")))</f>
        <v/>
      </c>
      <c r="AF168" s="21" t="n"/>
      <c r="AG168" s="28" t="n"/>
    </row>
    <row r="169">
      <c r="A169" s="19" t="n">
        <v>165</v>
      </c>
      <c r="B169" s="20" t="inlineStr">
        <is>
          <t>김준래</t>
        </is>
      </c>
      <c r="C169" s="20" t="inlineStr">
        <is>
          <t>정희영</t>
        </is>
      </c>
      <c r="D169" s="20" t="inlineStr">
        <is>
          <t>TLTBW27607</t>
        </is>
      </c>
      <c r="E169" s="20" t="inlineStr">
        <is>
          <t>남성 폴로 긴팔 티셔츠</t>
        </is>
      </c>
      <c r="F169" s="20" t="inlineStr">
        <is>
          <t>CTP/DNV/CHR</t>
        </is>
      </c>
      <c r="G169" s="19">
        <f>IF($D169="","",IF(MID($D169,5,1)="A","A(가을)",IF(MID($D169,5,1)="W","W(겨울)",IF(MID($D169,5,1)="X","X(사계절)",MID($D169,5,1)))))</f>
        <v/>
      </c>
      <c r="H169" s="19" t="inlineStr">
        <is>
          <t>완</t>
        </is>
      </c>
      <c r="I169" s="21" t="inlineStr">
        <is>
          <t>8월4주</t>
        </is>
      </c>
      <c r="J169" s="22">
        <f>IF($I169="","",IFERROR(DATE(기준정보!$C$7,VALUE(LEFT($I169,FIND("월",$I169)-1)),1+7*(VALUE(SUBSTITUTE(MID($I169,FIND("월",$I169)+1,5),"주",""))-1)),""))</f>
        <v/>
      </c>
      <c r="K169" s="22">
        <f>IF($J169="","",IF(AND(ISNUMBER(SEARCH("미얀마",$U169)),$J169-기준정보!$C$5&gt;=기준정보!$C$8,$J169-기준정보!$C$5&lt;=기준정보!$C$9),기준정보!$C$8-1,IF(AND(ISNUMBER(SEARCH("인도네시아",$U169)),$J169-기준정보!$C$5&gt;=기준정보!$C$10,$J169-기준정보!$C$5&lt;=기준정보!$C$11),기준정보!$C$10-1,$J169-기준정보!$C$5)))</f>
        <v/>
      </c>
      <c r="L169" s="23">
        <f>IF($K169="","",IF(ISNUMBER(SEARCH("미얀마",$U169)),MAX(0,MIN($K169,기준정보!$C$9)-MAX($K169-기준정보!$C$6,기준정보!$C$8)+1),IF(ISNUMBER(SEARCH("인도네시아",$U169)),MAX(0,MIN($K169,기준정보!$C$11)-MAX($K169-기준정보!$C$6,기준정보!$C$10)+1),0)))</f>
        <v/>
      </c>
      <c r="M169" s="22">
        <f>IF($K169="","",$K169-기준정보!$C$6-$L169)</f>
        <v/>
      </c>
      <c r="N169" s="24">
        <f>IF($M169="","",$M169-기준정보!$C$4)</f>
        <v/>
      </c>
      <c r="O169" s="21" t="n"/>
      <c r="P169" s="21" t="n"/>
      <c r="Q169" s="21" t="n"/>
      <c r="R169" s="25" t="n"/>
      <c r="S169" s="20">
        <f>IF($H169="","",IF($H169="C","본사(소재팀)",IF($H169="완","생산처","확인 필요")))</f>
        <v/>
      </c>
      <c r="T169" s="20" t="inlineStr">
        <is>
          <t>IKG</t>
        </is>
      </c>
      <c r="U169" s="20" t="inlineStr">
        <is>
          <t>인도네시아</t>
        </is>
      </c>
      <c r="V169" s="20" t="n"/>
      <c r="W169" s="26" t="n"/>
      <c r="X169" s="26" t="n"/>
      <c r="Y169" s="22" t="n"/>
      <c r="Z169" s="27" t="n">
        <v>7000</v>
      </c>
      <c r="AA169" s="27" t="n">
        <v>152810000</v>
      </c>
      <c r="AB169" s="27" t="n">
        <v>896000000</v>
      </c>
      <c r="AC169" s="20" t="n"/>
      <c r="AD169" s="20">
        <f>IF($J169="","출고일 미정",IF($P169="X","작지 미발행",IF($P169="부분","작지 일부 미발행",IF(AND($R169&lt;&gt;"",$R169&gt;$M169),"소재입고 마감("&amp;TEXT($M169,"MM/DD")&amp;") 초과",IF($P169="","발행여부 확인 필요",IF($R169="","소재 입고일정 확인 필요","정상"))))))</f>
        <v/>
      </c>
      <c r="AE169" s="19">
        <f>IF($J169="","",IF(OR(LEFT($AD169,2)="작지",LEFT($AD169,4)="소재입고"),IF(LEFT($G169,1)="A","★ 납기위험(A코드)","◆ 지연주의"),IF($AD169="정상","✓ 정상","? 확인필요")))</f>
        <v/>
      </c>
      <c r="AF169" s="21" t="n"/>
      <c r="AG169" s="28" t="n"/>
    </row>
    <row r="170">
      <c r="A170" s="19" t="n">
        <v>166</v>
      </c>
      <c r="B170" s="20" t="inlineStr">
        <is>
          <t>김준래</t>
        </is>
      </c>
      <c r="C170" s="20" t="inlineStr">
        <is>
          <t>정희영</t>
        </is>
      </c>
      <c r="D170" s="20" t="inlineStr">
        <is>
          <t>TLTBW27615</t>
        </is>
      </c>
      <c r="E170" s="20" t="inlineStr">
        <is>
          <t>남성 스트라이프 폴로 긴팔 티셔츠</t>
        </is>
      </c>
      <c r="F170" s="20" t="inlineStr">
        <is>
          <t>ASB/MID</t>
        </is>
      </c>
      <c r="G170" s="19">
        <f>IF($D170="","",IF(MID($D170,5,1)="A","A(가을)",IF(MID($D170,5,1)="W","W(겨울)",IF(MID($D170,5,1)="X","X(사계절)",MID($D170,5,1)))))</f>
        <v/>
      </c>
      <c r="H170" s="19" t="inlineStr">
        <is>
          <t>완</t>
        </is>
      </c>
      <c r="I170" s="21" t="inlineStr">
        <is>
          <t>8월4주</t>
        </is>
      </c>
      <c r="J170" s="22">
        <f>IF($I170="","",IFERROR(DATE(기준정보!$C$7,VALUE(LEFT($I170,FIND("월",$I170)-1)),1+7*(VALUE(SUBSTITUTE(MID($I170,FIND("월",$I170)+1,5),"주",""))-1)),""))</f>
        <v/>
      </c>
      <c r="K170" s="22">
        <f>IF($J170="","",IF(AND(ISNUMBER(SEARCH("미얀마",$U170)),$J170-기준정보!$C$5&gt;=기준정보!$C$8,$J170-기준정보!$C$5&lt;=기준정보!$C$9),기준정보!$C$8-1,IF(AND(ISNUMBER(SEARCH("인도네시아",$U170)),$J170-기준정보!$C$5&gt;=기준정보!$C$10,$J170-기준정보!$C$5&lt;=기준정보!$C$11),기준정보!$C$10-1,$J170-기준정보!$C$5)))</f>
        <v/>
      </c>
      <c r="L170" s="23">
        <f>IF($K170="","",IF(ISNUMBER(SEARCH("미얀마",$U170)),MAX(0,MIN($K170,기준정보!$C$9)-MAX($K170-기준정보!$C$6,기준정보!$C$8)+1),IF(ISNUMBER(SEARCH("인도네시아",$U170)),MAX(0,MIN($K170,기준정보!$C$11)-MAX($K170-기준정보!$C$6,기준정보!$C$10)+1),0)))</f>
        <v/>
      </c>
      <c r="M170" s="22">
        <f>IF($K170="","",$K170-기준정보!$C$6-$L170)</f>
        <v/>
      </c>
      <c r="N170" s="24">
        <f>IF($M170="","",$M170-기준정보!$C$4)</f>
        <v/>
      </c>
      <c r="O170" s="21" t="n"/>
      <c r="P170" s="21" t="n"/>
      <c r="Q170" s="21" t="n"/>
      <c r="R170" s="25" t="n"/>
      <c r="S170" s="20">
        <f>IF($H170="","",IF($H170="C","본사(소재팀)",IF($H170="완","생산처","확인 필요")))</f>
        <v/>
      </c>
      <c r="T170" s="20" t="inlineStr">
        <is>
          <t>장안</t>
        </is>
      </c>
      <c r="U170" s="20" t="inlineStr">
        <is>
          <t>베트남</t>
        </is>
      </c>
      <c r="V170" s="20" t="n"/>
      <c r="W170" s="26" t="n"/>
      <c r="X170" s="26" t="n"/>
      <c r="Y170" s="22" t="n"/>
      <c r="Z170" s="27" t="n">
        <v>4000</v>
      </c>
      <c r="AA170" s="27" t="n">
        <v>106272000</v>
      </c>
      <c r="AB170" s="27" t="n">
        <v>552000000</v>
      </c>
      <c r="AC170" s="20" t="n"/>
      <c r="AD170" s="20">
        <f>IF($J170="","출고일 미정",IF($P170="X","작지 미발행",IF($P170="부분","작지 일부 미발행",IF(AND($R170&lt;&gt;"",$R170&gt;$M170),"소재입고 마감("&amp;TEXT($M170,"MM/DD")&amp;") 초과",IF($P170="","발행여부 확인 필요",IF($R170="","소재 입고일정 확인 필요","정상"))))))</f>
        <v/>
      </c>
      <c r="AE170" s="19">
        <f>IF($J170="","",IF(OR(LEFT($AD170,2)="작지",LEFT($AD170,4)="소재입고"),IF(LEFT($G170,1)="A","★ 납기위험(A코드)","◆ 지연주의"),IF($AD170="정상","✓ 정상","? 확인필요")))</f>
        <v/>
      </c>
      <c r="AF170" s="21" t="n"/>
      <c r="AG170" s="28" t="n"/>
    </row>
    <row r="171">
      <c r="A171" s="19" t="n">
        <v>167</v>
      </c>
      <c r="B171" s="20" t="inlineStr">
        <is>
          <t>김준래</t>
        </is>
      </c>
      <c r="C171" s="20" t="inlineStr">
        <is>
          <t>정희영</t>
        </is>
      </c>
      <c r="D171" s="20" t="inlineStr">
        <is>
          <t>TLTBW27621</t>
        </is>
      </c>
      <c r="E171" s="20" t="inlineStr">
        <is>
          <t>남성 체크 집업 긴팔 티셔츠</t>
        </is>
      </c>
      <c r="F171" s="20" t="inlineStr">
        <is>
          <t>ABE/DNV/CHR</t>
        </is>
      </c>
      <c r="G171" s="19">
        <f>IF($D171="","",IF(MID($D171,5,1)="A","A(가을)",IF(MID($D171,5,1)="W","W(겨울)",IF(MID($D171,5,1)="X","X(사계절)",MID($D171,5,1)))))</f>
        <v/>
      </c>
      <c r="H171" s="19" t="inlineStr">
        <is>
          <t>완</t>
        </is>
      </c>
      <c r="I171" s="21" t="inlineStr">
        <is>
          <t>8월4주</t>
        </is>
      </c>
      <c r="J171" s="22">
        <f>IF($I171="","",IFERROR(DATE(기준정보!$C$7,VALUE(LEFT($I171,FIND("월",$I171)-1)),1+7*(VALUE(SUBSTITUTE(MID($I171,FIND("월",$I171)+1,5),"주",""))-1)),""))</f>
        <v/>
      </c>
      <c r="K171" s="22">
        <f>IF($J171="","",IF(AND(ISNUMBER(SEARCH("미얀마",$U171)),$J171-기준정보!$C$5&gt;=기준정보!$C$8,$J171-기준정보!$C$5&lt;=기준정보!$C$9),기준정보!$C$8-1,IF(AND(ISNUMBER(SEARCH("인도네시아",$U171)),$J171-기준정보!$C$5&gt;=기준정보!$C$10,$J171-기준정보!$C$5&lt;=기준정보!$C$11),기준정보!$C$10-1,$J171-기준정보!$C$5)))</f>
        <v/>
      </c>
      <c r="L171" s="23">
        <f>IF($K171="","",IF(ISNUMBER(SEARCH("미얀마",$U171)),MAX(0,MIN($K171,기준정보!$C$9)-MAX($K171-기준정보!$C$6,기준정보!$C$8)+1),IF(ISNUMBER(SEARCH("인도네시아",$U171)),MAX(0,MIN($K171,기준정보!$C$11)-MAX($K171-기준정보!$C$6,기준정보!$C$10)+1),0)))</f>
        <v/>
      </c>
      <c r="M171" s="22">
        <f>IF($K171="","",$K171-기준정보!$C$6-$L171)</f>
        <v/>
      </c>
      <c r="N171" s="24">
        <f>IF($M171="","",$M171-기준정보!$C$4)</f>
        <v/>
      </c>
      <c r="O171" s="21" t="n"/>
      <c r="P171" s="21" t="n"/>
      <c r="Q171" s="21" t="n"/>
      <c r="R171" s="25" t="n"/>
      <c r="S171" s="20">
        <f>IF($H171="","",IF($H171="C","본사(소재팀)",IF($H171="완","생산처","확인 필요")))</f>
        <v/>
      </c>
      <c r="T171" s="20" t="inlineStr">
        <is>
          <t>IKG</t>
        </is>
      </c>
      <c r="U171" s="20" t="inlineStr">
        <is>
          <t>베트남</t>
        </is>
      </c>
      <c r="V171" s="20" t="n"/>
      <c r="W171" s="26" t="n"/>
      <c r="X171" s="26" t="n"/>
      <c r="Y171" s="22" t="n"/>
      <c r="Z171" s="27" t="n">
        <v>5000</v>
      </c>
      <c r="AA171" s="27" t="n">
        <v>159715000</v>
      </c>
      <c r="AB171" s="27" t="n">
        <v>840000000</v>
      </c>
      <c r="AC171" s="20" t="n"/>
      <c r="AD171" s="20">
        <f>IF($J171="","출고일 미정",IF($P171="X","작지 미발행",IF($P171="부분","작지 일부 미발행",IF(AND($R171&lt;&gt;"",$R171&gt;$M171),"소재입고 마감("&amp;TEXT($M171,"MM/DD")&amp;") 초과",IF($P171="","발행여부 확인 필요",IF($R171="","소재 입고일정 확인 필요","정상"))))))</f>
        <v/>
      </c>
      <c r="AE171" s="19">
        <f>IF($J171="","",IF(OR(LEFT($AD171,2)="작지",LEFT($AD171,4)="소재입고"),IF(LEFT($G171,1)="A","★ 납기위험(A코드)","◆ 지연주의"),IF($AD171="정상","✓ 정상","? 확인필요")))</f>
        <v/>
      </c>
      <c r="AF171" s="21" t="n"/>
      <c r="AG171" s="28" t="n"/>
    </row>
    <row r="172">
      <c r="A172" s="19" t="n">
        <v>168</v>
      </c>
      <c r="B172" s="20" t="inlineStr">
        <is>
          <t>김준래</t>
        </is>
      </c>
      <c r="C172" s="20" t="inlineStr">
        <is>
          <t>정희영</t>
        </is>
      </c>
      <c r="D172" s="20" t="inlineStr">
        <is>
          <t>TLVAW27601</t>
        </is>
      </c>
      <c r="E172" s="20" t="inlineStr">
        <is>
          <t>남성 키퍼 퀼팅 하이넥 베스트</t>
        </is>
      </c>
      <c r="F172" s="20" t="inlineStr">
        <is>
          <t>MUD/MID</t>
        </is>
      </c>
      <c r="G172" s="19">
        <f>IF($D172="","",IF(MID($D172,5,1)="A","A(가을)",IF(MID($D172,5,1)="W","W(겨울)",IF(MID($D172,5,1)="X","X(사계절)",MID($D172,5,1)))))</f>
        <v/>
      </c>
      <c r="H172" s="19" t="inlineStr">
        <is>
          <t>완</t>
        </is>
      </c>
      <c r="I172" s="21" t="inlineStr">
        <is>
          <t>8월4주</t>
        </is>
      </c>
      <c r="J172" s="22">
        <f>IF($I172="","",IFERROR(DATE(기준정보!$C$7,VALUE(LEFT($I172,FIND("월",$I172)-1)),1+7*(VALUE(SUBSTITUTE(MID($I172,FIND("월",$I172)+1,5),"주",""))-1)),""))</f>
        <v/>
      </c>
      <c r="K172" s="22">
        <f>IF($J172="","",IF(AND(ISNUMBER(SEARCH("미얀마",$U172)),$J172-기준정보!$C$5&gt;=기준정보!$C$8,$J172-기준정보!$C$5&lt;=기준정보!$C$9),기준정보!$C$8-1,IF(AND(ISNUMBER(SEARCH("인도네시아",$U172)),$J172-기준정보!$C$5&gt;=기준정보!$C$10,$J172-기준정보!$C$5&lt;=기준정보!$C$11),기준정보!$C$10-1,$J172-기준정보!$C$5)))</f>
        <v/>
      </c>
      <c r="L172" s="23">
        <f>IF($K172="","",IF(ISNUMBER(SEARCH("미얀마",$U172)),MAX(0,MIN($K172,기준정보!$C$9)-MAX($K172-기준정보!$C$6,기준정보!$C$8)+1),IF(ISNUMBER(SEARCH("인도네시아",$U172)),MAX(0,MIN($K172,기준정보!$C$11)-MAX($K172-기준정보!$C$6,기준정보!$C$10)+1),0)))</f>
        <v/>
      </c>
      <c r="M172" s="22">
        <f>IF($K172="","",$K172-기준정보!$C$6-$L172)</f>
        <v/>
      </c>
      <c r="N172" s="24">
        <f>IF($M172="","",$M172-기준정보!$C$4)</f>
        <v/>
      </c>
      <c r="O172" s="21" t="n"/>
      <c r="P172" s="21" t="n"/>
      <c r="Q172" s="21" t="n"/>
      <c r="R172" s="25" t="n"/>
      <c r="S172" s="20">
        <f>IF($H172="","",IF($H172="C","본사(소재팀)",IF($H172="완","생산처","확인 필요")))</f>
        <v/>
      </c>
      <c r="T172" s="20" t="inlineStr">
        <is>
          <t>원전</t>
        </is>
      </c>
      <c r="U172" s="20" t="inlineStr">
        <is>
          <t>인도네시아</t>
        </is>
      </c>
      <c r="V172" s="20" t="n"/>
      <c r="W172" s="26" t="n"/>
      <c r="X172" s="26" t="n"/>
      <c r="Y172" s="22" t="n"/>
      <c r="Z172" s="27" t="n">
        <v>4000</v>
      </c>
      <c r="AA172" s="27" t="n">
        <v>150124000</v>
      </c>
      <c r="AB172" s="27" t="n">
        <v>792000000</v>
      </c>
      <c r="AC172" s="20" t="n"/>
      <c r="AD172" s="20">
        <f>IF($J172="","출고일 미정",IF($P172="X","작지 미발행",IF($P172="부분","작지 일부 미발행",IF(AND($R172&lt;&gt;"",$R172&gt;$M172),"소재입고 마감("&amp;TEXT($M172,"MM/DD")&amp;") 초과",IF($P172="","발행여부 확인 필요",IF($R172="","소재 입고일정 확인 필요","정상"))))))</f>
        <v/>
      </c>
      <c r="AE172" s="19">
        <f>IF($J172="","",IF(OR(LEFT($AD172,2)="작지",LEFT($AD172,4)="소재입고"),IF(LEFT($G172,1)="A","★ 납기위험(A코드)","◆ 지연주의"),IF($AD172="정상","✓ 정상","? 확인필요")))</f>
        <v/>
      </c>
      <c r="AF172" s="21" t="n"/>
      <c r="AG172" s="28" t="n"/>
    </row>
    <row r="173">
      <c r="A173" s="19" t="n">
        <v>169</v>
      </c>
      <c r="B173" s="20" t="inlineStr">
        <is>
          <t>김준래</t>
        </is>
      </c>
      <c r="C173" s="20" t="inlineStr">
        <is>
          <t>정희영</t>
        </is>
      </c>
      <c r="D173" s="20" t="inlineStr">
        <is>
          <t>TNTBW27613</t>
        </is>
      </c>
      <c r="E173" s="20" t="inlineStr">
        <is>
          <t>남녀공용 폴라텍 100 릴렉스핏 후디드 긴팔 아노락</t>
        </is>
      </c>
      <c r="F173" s="20" t="inlineStr">
        <is>
          <t>DEB/DPL</t>
        </is>
      </c>
      <c r="G173" s="19">
        <f>IF($D173="","",IF(MID($D173,5,1)="A","A(가을)",IF(MID($D173,5,1)="W","W(겨울)",IF(MID($D173,5,1)="X","X(사계절)",MID($D173,5,1)))))</f>
        <v/>
      </c>
      <c r="H173" s="19" t="inlineStr">
        <is>
          <t>완</t>
        </is>
      </c>
      <c r="I173" s="21" t="inlineStr">
        <is>
          <t>8월4주</t>
        </is>
      </c>
      <c r="J173" s="22">
        <f>IF($I173="","",IFERROR(DATE(기준정보!$C$7,VALUE(LEFT($I173,FIND("월",$I173)-1)),1+7*(VALUE(SUBSTITUTE(MID($I173,FIND("월",$I173)+1,5),"주",""))-1)),""))</f>
        <v/>
      </c>
      <c r="K173" s="22">
        <f>IF($J173="","",IF(AND(ISNUMBER(SEARCH("미얀마",$U173)),$J173-기준정보!$C$5&gt;=기준정보!$C$8,$J173-기준정보!$C$5&lt;=기준정보!$C$9),기준정보!$C$8-1,IF(AND(ISNUMBER(SEARCH("인도네시아",$U173)),$J173-기준정보!$C$5&gt;=기준정보!$C$10,$J173-기준정보!$C$5&lt;=기준정보!$C$11),기준정보!$C$10-1,$J173-기준정보!$C$5)))</f>
        <v/>
      </c>
      <c r="L173" s="23">
        <f>IF($K173="","",IF(ISNUMBER(SEARCH("미얀마",$U173)),MAX(0,MIN($K173,기준정보!$C$9)-MAX($K173-기준정보!$C$6,기준정보!$C$8)+1),IF(ISNUMBER(SEARCH("인도네시아",$U173)),MAX(0,MIN($K173,기준정보!$C$11)-MAX($K173-기준정보!$C$6,기준정보!$C$10)+1),0)))</f>
        <v/>
      </c>
      <c r="M173" s="22">
        <f>IF($K173="","",$K173-기준정보!$C$6-$L173)</f>
        <v/>
      </c>
      <c r="N173" s="24">
        <f>IF($M173="","",$M173-기준정보!$C$4)</f>
        <v/>
      </c>
      <c r="O173" s="21" t="n"/>
      <c r="P173" s="21" t="n"/>
      <c r="Q173" s="21" t="n"/>
      <c r="R173" s="25" t="n"/>
      <c r="S173" s="20">
        <f>IF($H173="","",IF($H173="C","본사(소재팀)",IF($H173="완","생산처","확인 필요")))</f>
        <v/>
      </c>
      <c r="T173" s="20" t="inlineStr">
        <is>
          <t>IKG</t>
        </is>
      </c>
      <c r="U173" s="20" t="inlineStr">
        <is>
          <t>베트남</t>
        </is>
      </c>
      <c r="V173" s="20" t="n"/>
      <c r="W173" s="26" t="n"/>
      <c r="X173" s="26" t="n"/>
      <c r="Y173" s="22" t="n"/>
      <c r="Z173" s="27" t="n">
        <v>2000</v>
      </c>
      <c r="AA173" s="27" t="n">
        <v>79970000</v>
      </c>
      <c r="AB173" s="27" t="n">
        <v>336000000</v>
      </c>
      <c r="AC173" s="20" t="n"/>
      <c r="AD173" s="20">
        <f>IF($J173="","출고일 미정",IF($P173="X","작지 미발행",IF($P173="부분","작지 일부 미발행",IF(AND($R173&lt;&gt;"",$R173&gt;$M173),"소재입고 마감("&amp;TEXT($M173,"MM/DD")&amp;") 초과",IF($P173="","발행여부 확인 필요",IF($R173="","소재 입고일정 확인 필요","정상"))))))</f>
        <v/>
      </c>
      <c r="AE173" s="19">
        <f>IF($J173="","",IF(OR(LEFT($AD173,2)="작지",LEFT($AD173,4)="소재입고"),IF(LEFT($G173,1)="A","★ 납기위험(A코드)","◆ 지연주의"),IF($AD173="정상","✓ 정상","? 확인필요")))</f>
        <v/>
      </c>
      <c r="AF173" s="21" t="n"/>
      <c r="AG173" s="28" t="n"/>
    </row>
    <row r="174">
      <c r="A174" s="19" t="n">
        <v>170</v>
      </c>
      <c r="B174" s="20" t="inlineStr">
        <is>
          <t>김준래</t>
        </is>
      </c>
      <c r="C174" s="20" t="inlineStr">
        <is>
          <t>정희영</t>
        </is>
      </c>
      <c r="D174" s="20" t="inlineStr">
        <is>
          <t>TNTBW27615</t>
        </is>
      </c>
      <c r="E174" s="20" t="inlineStr">
        <is>
          <t>남녀공용 폴라텍 100 릴렉스핏 스탠드넥 긴팔 아노락</t>
        </is>
      </c>
      <c r="F174" s="20" t="inlineStr">
        <is>
          <t>MML/DEB</t>
        </is>
      </c>
      <c r="G174" s="19">
        <f>IF($D174="","",IF(MID($D174,5,1)="A","A(가을)",IF(MID($D174,5,1)="W","W(겨울)",IF(MID($D174,5,1)="X","X(사계절)",MID($D174,5,1)))))</f>
        <v/>
      </c>
      <c r="H174" s="19" t="inlineStr">
        <is>
          <t>완</t>
        </is>
      </c>
      <c r="I174" s="21" t="inlineStr">
        <is>
          <t>8월4주</t>
        </is>
      </c>
      <c r="J174" s="22">
        <f>IF($I174="","",IFERROR(DATE(기준정보!$C$7,VALUE(LEFT($I174,FIND("월",$I174)-1)),1+7*(VALUE(SUBSTITUTE(MID($I174,FIND("월",$I174)+1,5),"주",""))-1)),""))</f>
        <v/>
      </c>
      <c r="K174" s="22">
        <f>IF($J174="","",IF(AND(ISNUMBER(SEARCH("미얀마",$U174)),$J174-기준정보!$C$5&gt;=기준정보!$C$8,$J174-기준정보!$C$5&lt;=기준정보!$C$9),기준정보!$C$8-1,IF(AND(ISNUMBER(SEARCH("인도네시아",$U174)),$J174-기준정보!$C$5&gt;=기준정보!$C$10,$J174-기준정보!$C$5&lt;=기준정보!$C$11),기준정보!$C$10-1,$J174-기준정보!$C$5)))</f>
        <v/>
      </c>
      <c r="L174" s="23">
        <f>IF($K174="","",IF(ISNUMBER(SEARCH("미얀마",$U174)),MAX(0,MIN($K174,기준정보!$C$9)-MAX($K174-기준정보!$C$6,기준정보!$C$8)+1),IF(ISNUMBER(SEARCH("인도네시아",$U174)),MAX(0,MIN($K174,기준정보!$C$11)-MAX($K174-기준정보!$C$6,기준정보!$C$10)+1),0)))</f>
        <v/>
      </c>
      <c r="M174" s="22">
        <f>IF($K174="","",$K174-기준정보!$C$6-$L174)</f>
        <v/>
      </c>
      <c r="N174" s="24">
        <f>IF($M174="","",$M174-기준정보!$C$4)</f>
        <v/>
      </c>
      <c r="O174" s="21" t="n"/>
      <c r="P174" s="21" t="n"/>
      <c r="Q174" s="21" t="n"/>
      <c r="R174" s="25" t="n"/>
      <c r="S174" s="20">
        <f>IF($H174="","",IF($H174="C","본사(소재팀)",IF($H174="완","생산처","확인 필요")))</f>
        <v/>
      </c>
      <c r="T174" s="20" t="inlineStr">
        <is>
          <t>IKG</t>
        </is>
      </c>
      <c r="U174" s="20" t="inlineStr">
        <is>
          <t>베트남</t>
        </is>
      </c>
      <c r="V174" s="20" t="n"/>
      <c r="W174" s="26" t="n"/>
      <c r="X174" s="26" t="n"/>
      <c r="Y174" s="22" t="n"/>
      <c r="Z174" s="27" t="n">
        <v>2000</v>
      </c>
      <c r="AA174" s="27" t="n">
        <v>72128000</v>
      </c>
      <c r="AB174" s="27" t="n">
        <v>336000000</v>
      </c>
      <c r="AC174" s="20" t="n"/>
      <c r="AD174" s="20">
        <f>IF($J174="","출고일 미정",IF($P174="X","작지 미발행",IF($P174="부분","작지 일부 미발행",IF(AND($R174&lt;&gt;"",$R174&gt;$M174),"소재입고 마감("&amp;TEXT($M174,"MM/DD")&amp;") 초과",IF($P174="","발행여부 확인 필요",IF($R174="","소재 입고일정 확인 필요","정상"))))))</f>
        <v/>
      </c>
      <c r="AE174" s="19">
        <f>IF($J174="","",IF(OR(LEFT($AD174,2)="작지",LEFT($AD174,4)="소재입고"),IF(LEFT($G174,1)="A","★ 납기위험(A코드)","◆ 지연주의"),IF($AD174="정상","✓ 정상","? 확인필요")))</f>
        <v/>
      </c>
      <c r="AF174" s="21" t="n"/>
      <c r="AG174" s="28" t="n"/>
    </row>
    <row r="175">
      <c r="A175" s="19" t="n">
        <v>171</v>
      </c>
      <c r="B175" s="20" t="inlineStr">
        <is>
          <t>정영준</t>
        </is>
      </c>
      <c r="C175" s="20" t="inlineStr">
        <is>
          <t>서은미</t>
        </is>
      </c>
      <c r="D175" s="20" t="inlineStr">
        <is>
          <t>TVJJW27602</t>
        </is>
      </c>
      <c r="E175" s="20" t="inlineStr">
        <is>
          <t>여성 키퍼 패딩 넥리스 인슐레이션 재킷</t>
        </is>
      </c>
      <c r="F175" s="20" t="inlineStr">
        <is>
          <t>CO1/CO2</t>
        </is>
      </c>
      <c r="G175" s="19">
        <f>IF($D175="","",IF(MID($D175,5,1)="A","A(가을)",IF(MID($D175,5,1)="W","W(겨울)",IF(MID($D175,5,1)="X","X(사계절)",MID($D175,5,1)))))</f>
        <v/>
      </c>
      <c r="H175" s="19" t="n"/>
      <c r="I175" s="21" t="inlineStr">
        <is>
          <t>8월4주</t>
        </is>
      </c>
      <c r="J175" s="22">
        <f>IF($I175="","",IFERROR(DATE(기준정보!$C$7,VALUE(LEFT($I175,FIND("월",$I175)-1)),1+7*(VALUE(SUBSTITUTE(MID($I175,FIND("월",$I175)+1,5),"주",""))-1)),""))</f>
        <v/>
      </c>
      <c r="K175" s="22">
        <f>IF($J175="","",IF(AND(ISNUMBER(SEARCH("미얀마",$U175)),$J175-기준정보!$C$5&gt;=기준정보!$C$8,$J175-기준정보!$C$5&lt;=기준정보!$C$9),기준정보!$C$8-1,IF(AND(ISNUMBER(SEARCH("인도네시아",$U175)),$J175-기준정보!$C$5&gt;=기준정보!$C$10,$J175-기준정보!$C$5&lt;=기준정보!$C$11),기준정보!$C$10-1,$J175-기준정보!$C$5)))</f>
        <v/>
      </c>
      <c r="L175" s="23">
        <f>IF($K175="","",IF(ISNUMBER(SEARCH("미얀마",$U175)),MAX(0,MIN($K175,기준정보!$C$9)-MAX($K175-기준정보!$C$6,기준정보!$C$8)+1),IF(ISNUMBER(SEARCH("인도네시아",$U175)),MAX(0,MIN($K175,기준정보!$C$11)-MAX($K175-기준정보!$C$6,기준정보!$C$10)+1),0)))</f>
        <v/>
      </c>
      <c r="M175" s="22">
        <f>IF($K175="","",$K175-기준정보!$C$6-$L175)</f>
        <v/>
      </c>
      <c r="N175" s="24">
        <f>IF($M175="","",$M175-기준정보!$C$4)</f>
        <v/>
      </c>
      <c r="O175" s="21" t="n"/>
      <c r="P175" s="21" t="n"/>
      <c r="Q175" s="21" t="n"/>
      <c r="R175" s="25" t="n"/>
      <c r="S175" s="20">
        <f>IF($H175="","",IF($H175="C","본사(소재팀)",IF($H175="완","생산처","확인 필요")))</f>
        <v/>
      </c>
      <c r="T175" s="20" t="inlineStr">
        <is>
          <t>아이블</t>
        </is>
      </c>
      <c r="U175" s="20" t="inlineStr">
        <is>
          <t>베트남</t>
        </is>
      </c>
      <c r="V175" s="20" t="n"/>
      <c r="W175" s="26" t="n"/>
      <c r="X175" s="26" t="n"/>
      <c r="Y175" s="22" t="n"/>
      <c r="Z175" s="27" t="n">
        <v>3000</v>
      </c>
      <c r="AA175" s="27" t="n">
        <v>135000000</v>
      </c>
      <c r="AB175" s="27" t="n">
        <v>750000000</v>
      </c>
      <c r="AC175" s="20" t="n"/>
      <c r="AD175" s="20">
        <f>IF($J175="","출고일 미정",IF($P175="X","작지 미발행",IF($P175="부분","작지 일부 미발행",IF(AND($R175&lt;&gt;"",$R175&gt;$M175),"소재입고 마감("&amp;TEXT($M175,"MM/DD")&amp;") 초과",IF($P175="","발행여부 확인 필요",IF($R175="","소재 입고일정 확인 필요","정상"))))))</f>
        <v/>
      </c>
      <c r="AE175" s="19">
        <f>IF($J175="","",IF(OR(LEFT($AD175,2)="작지",LEFT($AD175,4)="소재입고"),IF(LEFT($G175,1)="A","★ 납기위험(A코드)","◆ 지연주의"),IF($AD175="정상","✓ 정상","? 확인필요")))</f>
        <v/>
      </c>
      <c r="AF175" s="21" t="n"/>
      <c r="AG175" s="28" t="n"/>
    </row>
    <row r="176">
      <c r="A176" s="19" t="n">
        <v>172</v>
      </c>
      <c r="B176" s="20" t="inlineStr">
        <is>
          <t>정영준</t>
        </is>
      </c>
      <c r="C176" s="20" t="inlineStr">
        <is>
          <t>서은미</t>
        </is>
      </c>
      <c r="D176" s="20" t="inlineStr">
        <is>
          <t>TVJJW27604</t>
        </is>
      </c>
      <c r="E176" s="20" t="inlineStr">
        <is>
          <t>여성 키퍼 중기장 스탠드넥 인슐레이션 재킷</t>
        </is>
      </c>
      <c r="F176" s="20" t="inlineStr">
        <is>
          <t>CO1/CO2</t>
        </is>
      </c>
      <c r="G176" s="19">
        <f>IF($D176="","",IF(MID($D176,5,1)="A","A(가을)",IF(MID($D176,5,1)="W","W(겨울)",IF(MID($D176,5,1)="X","X(사계절)",MID($D176,5,1)))))</f>
        <v/>
      </c>
      <c r="H176" s="19" t="n"/>
      <c r="I176" s="21" t="inlineStr">
        <is>
          <t>8월4주</t>
        </is>
      </c>
      <c r="J176" s="22">
        <f>IF($I176="","",IFERROR(DATE(기준정보!$C$7,VALUE(LEFT($I176,FIND("월",$I176)-1)),1+7*(VALUE(SUBSTITUTE(MID($I176,FIND("월",$I176)+1,5),"주",""))-1)),""))</f>
        <v/>
      </c>
      <c r="K176" s="22">
        <f>IF($J176="","",IF(AND(ISNUMBER(SEARCH("미얀마",$U176)),$J176-기준정보!$C$5&gt;=기준정보!$C$8,$J176-기준정보!$C$5&lt;=기준정보!$C$9),기준정보!$C$8-1,IF(AND(ISNUMBER(SEARCH("인도네시아",$U176)),$J176-기준정보!$C$5&gt;=기준정보!$C$10,$J176-기준정보!$C$5&lt;=기준정보!$C$11),기준정보!$C$10-1,$J176-기준정보!$C$5)))</f>
        <v/>
      </c>
      <c r="L176" s="23">
        <f>IF($K176="","",IF(ISNUMBER(SEARCH("미얀마",$U176)),MAX(0,MIN($K176,기준정보!$C$9)-MAX($K176-기준정보!$C$6,기준정보!$C$8)+1),IF(ISNUMBER(SEARCH("인도네시아",$U176)),MAX(0,MIN($K176,기준정보!$C$11)-MAX($K176-기준정보!$C$6,기준정보!$C$10)+1),0)))</f>
        <v/>
      </c>
      <c r="M176" s="22">
        <f>IF($K176="","",$K176-기준정보!$C$6-$L176)</f>
        <v/>
      </c>
      <c r="N176" s="24">
        <f>IF($M176="","",$M176-기준정보!$C$4)</f>
        <v/>
      </c>
      <c r="O176" s="21" t="n"/>
      <c r="P176" s="21" t="n"/>
      <c r="Q176" s="21" t="n"/>
      <c r="R176" s="25" t="n"/>
      <c r="S176" s="20">
        <f>IF($H176="","",IF($H176="C","본사(소재팀)",IF($H176="완","생산처","확인 필요")))</f>
        <v/>
      </c>
      <c r="T176" s="20" t="inlineStr">
        <is>
          <t>아이블</t>
        </is>
      </c>
      <c r="U176" s="20" t="inlineStr">
        <is>
          <t>베트남</t>
        </is>
      </c>
      <c r="V176" s="20" t="n"/>
      <c r="W176" s="26" t="n"/>
      <c r="X176" s="26" t="n"/>
      <c r="Y176" s="22" t="n"/>
      <c r="Z176" s="27" t="n">
        <v>4000</v>
      </c>
      <c r="AA176" s="27" t="n">
        <v>200000000</v>
      </c>
      <c r="AB176" s="27" t="n">
        <v>1160000000</v>
      </c>
      <c r="AC176" s="20" t="n"/>
      <c r="AD176" s="20">
        <f>IF($J176="","출고일 미정",IF($P176="X","작지 미발행",IF($P176="부분","작지 일부 미발행",IF(AND($R176&lt;&gt;"",$R176&gt;$M176),"소재입고 마감("&amp;TEXT($M176,"MM/DD")&amp;") 초과",IF($P176="","발행여부 확인 필요",IF($R176="","소재 입고일정 확인 필요","정상"))))))</f>
        <v/>
      </c>
      <c r="AE176" s="19">
        <f>IF($J176="","",IF(OR(LEFT($AD176,2)="작지",LEFT($AD176,4)="소재입고"),IF(LEFT($G176,1)="A","★ 납기위험(A코드)","◆ 지연주의"),IF($AD176="정상","✓ 정상","? 확인필요")))</f>
        <v/>
      </c>
      <c r="AF176" s="21" t="n"/>
      <c r="AG176" s="28" t="n"/>
    </row>
    <row r="177">
      <c r="A177" s="19" t="n">
        <v>173</v>
      </c>
      <c r="B177" s="20" t="inlineStr">
        <is>
          <t>정영준</t>
        </is>
      </c>
      <c r="C177" s="20" t="inlineStr">
        <is>
          <t>서은미</t>
        </is>
      </c>
      <c r="D177" s="20" t="inlineStr">
        <is>
          <t>TVJJW27652</t>
        </is>
      </c>
      <c r="E177" s="20" t="inlineStr">
        <is>
          <t>여성 패딩 넥리스 인슐레이션 재킷</t>
        </is>
      </c>
      <c r="F177" s="20" t="inlineStr">
        <is>
          <t>CO1/CO2</t>
        </is>
      </c>
      <c r="G177" s="19">
        <f>IF($D177="","",IF(MID($D177,5,1)="A","A(가을)",IF(MID($D177,5,1)="W","W(겨울)",IF(MID($D177,5,1)="X","X(사계절)",MID($D177,5,1)))))</f>
        <v/>
      </c>
      <c r="H177" s="19" t="n"/>
      <c r="I177" s="21" t="inlineStr">
        <is>
          <t>8월4주</t>
        </is>
      </c>
      <c r="J177" s="22">
        <f>IF($I177="","",IFERROR(DATE(기준정보!$C$7,VALUE(LEFT($I177,FIND("월",$I177)-1)),1+7*(VALUE(SUBSTITUTE(MID($I177,FIND("월",$I177)+1,5),"주",""))-1)),""))</f>
        <v/>
      </c>
      <c r="K177" s="22">
        <f>IF($J177="","",IF(AND(ISNUMBER(SEARCH("미얀마",$U177)),$J177-기준정보!$C$5&gt;=기준정보!$C$8,$J177-기준정보!$C$5&lt;=기준정보!$C$9),기준정보!$C$8-1,IF(AND(ISNUMBER(SEARCH("인도네시아",$U177)),$J177-기준정보!$C$5&gt;=기준정보!$C$10,$J177-기준정보!$C$5&lt;=기준정보!$C$11),기준정보!$C$10-1,$J177-기준정보!$C$5)))</f>
        <v/>
      </c>
      <c r="L177" s="23">
        <f>IF($K177="","",IF(ISNUMBER(SEARCH("미얀마",$U177)),MAX(0,MIN($K177,기준정보!$C$9)-MAX($K177-기준정보!$C$6,기준정보!$C$8)+1),IF(ISNUMBER(SEARCH("인도네시아",$U177)),MAX(0,MIN($K177,기준정보!$C$11)-MAX($K177-기준정보!$C$6,기준정보!$C$10)+1),0)))</f>
        <v/>
      </c>
      <c r="M177" s="22">
        <f>IF($K177="","",$K177-기준정보!$C$6-$L177)</f>
        <v/>
      </c>
      <c r="N177" s="24">
        <f>IF($M177="","",$M177-기준정보!$C$4)</f>
        <v/>
      </c>
      <c r="O177" s="21" t="n"/>
      <c r="P177" s="21" t="n"/>
      <c r="Q177" s="21" t="n"/>
      <c r="R177" s="25" t="n"/>
      <c r="S177" s="20">
        <f>IF($H177="","",IF($H177="C","본사(소재팀)",IF($H177="완","생산처","확인 필요")))</f>
        <v/>
      </c>
      <c r="T177" s="20" t="inlineStr">
        <is>
          <t>원전</t>
        </is>
      </c>
      <c r="U177" s="20" t="inlineStr">
        <is>
          <t>인도네시아</t>
        </is>
      </c>
      <c r="V177" s="20" t="n"/>
      <c r="W177" s="26" t="n"/>
      <c r="X177" s="26" t="n"/>
      <c r="Y177" s="22" t="n"/>
      <c r="Z177" s="27" t="n">
        <v>2000</v>
      </c>
      <c r="AA177" s="27" t="n">
        <v>86000000</v>
      </c>
      <c r="AB177" s="27" t="n">
        <v>440000000</v>
      </c>
      <c r="AC177" s="20" t="n"/>
      <c r="AD177" s="20">
        <f>IF($J177="","출고일 미정",IF($P177="X","작지 미발행",IF($P177="부분","작지 일부 미발행",IF(AND($R177&lt;&gt;"",$R177&gt;$M177),"소재입고 마감("&amp;TEXT($M177,"MM/DD")&amp;") 초과",IF($P177="","발행여부 확인 필요",IF($R177="","소재 입고일정 확인 필요","정상"))))))</f>
        <v/>
      </c>
      <c r="AE177" s="19">
        <f>IF($J177="","",IF(OR(LEFT($AD177,2)="작지",LEFT($AD177,4)="소재입고"),IF(LEFT($G177,1)="A","★ 납기위험(A코드)","◆ 지연주의"),IF($AD177="정상","✓ 정상","? 확인필요")))</f>
        <v/>
      </c>
      <c r="AF177" s="21" t="n"/>
      <c r="AG177" s="28" t="n"/>
    </row>
    <row r="178">
      <c r="A178" s="19" t="n">
        <v>174</v>
      </c>
      <c r="B178" s="20" t="inlineStr">
        <is>
          <t>문도혁</t>
        </is>
      </c>
      <c r="C178" s="20" t="inlineStr">
        <is>
          <t>서은미</t>
        </is>
      </c>
      <c r="D178" s="20" t="inlineStr">
        <is>
          <t>TVPNW27624</t>
        </is>
      </c>
      <c r="E178" s="20" t="inlineStr">
        <is>
          <t>여성 스트레이트 팬츠</t>
        </is>
      </c>
      <c r="F178" s="20" t="inlineStr">
        <is>
          <t>CHR/DEB</t>
        </is>
      </c>
      <c r="G178" s="19">
        <f>IF($D178="","",IF(MID($D178,5,1)="A","A(가을)",IF(MID($D178,5,1)="W","W(겨울)",IF(MID($D178,5,1)="X","X(사계절)",MID($D178,5,1)))))</f>
        <v/>
      </c>
      <c r="H178" s="19" t="inlineStr">
        <is>
          <t>C</t>
        </is>
      </c>
      <c r="I178" s="21" t="inlineStr">
        <is>
          <t>8월4주</t>
        </is>
      </c>
      <c r="J178" s="22">
        <f>IF($I178="","",IFERROR(DATE(기준정보!$C$7,VALUE(LEFT($I178,FIND("월",$I178)-1)),1+7*(VALUE(SUBSTITUTE(MID($I178,FIND("월",$I178)+1,5),"주",""))-1)),""))</f>
        <v/>
      </c>
      <c r="K178" s="22">
        <f>IF($J178="","",IF(AND(ISNUMBER(SEARCH("미얀마",$U178)),$J178-기준정보!$C$5&gt;=기준정보!$C$8,$J178-기준정보!$C$5&lt;=기준정보!$C$9),기준정보!$C$8-1,IF(AND(ISNUMBER(SEARCH("인도네시아",$U178)),$J178-기준정보!$C$5&gt;=기준정보!$C$10,$J178-기준정보!$C$5&lt;=기준정보!$C$11),기준정보!$C$10-1,$J178-기준정보!$C$5)))</f>
        <v/>
      </c>
      <c r="L178" s="23">
        <f>IF($K178="","",IF(ISNUMBER(SEARCH("미얀마",$U178)),MAX(0,MIN($K178,기준정보!$C$9)-MAX($K178-기준정보!$C$6,기준정보!$C$8)+1),IF(ISNUMBER(SEARCH("인도네시아",$U178)),MAX(0,MIN($K178,기준정보!$C$11)-MAX($K178-기준정보!$C$6,기준정보!$C$10)+1),0)))</f>
        <v/>
      </c>
      <c r="M178" s="22">
        <f>IF($K178="","",$K178-기준정보!$C$6-$L178)</f>
        <v/>
      </c>
      <c r="N178" s="24">
        <f>IF($M178="","",$M178-기준정보!$C$4)</f>
        <v/>
      </c>
      <c r="O178" s="21" t="n"/>
      <c r="P178" s="21" t="n"/>
      <c r="Q178" s="21" t="n"/>
      <c r="R178" s="25" t="n"/>
      <c r="S178" s="20">
        <f>IF($H178="","",IF($H178="C","본사(소재팀)",IF($H178="완","생산처","확인 필요")))</f>
        <v/>
      </c>
      <c r="T178" s="20" t="inlineStr">
        <is>
          <t>TBO</t>
        </is>
      </c>
      <c r="U178" s="20" t="inlineStr">
        <is>
          <t>베트남</t>
        </is>
      </c>
      <c r="V178" s="20" t="n"/>
      <c r="W178" s="26" t="n"/>
      <c r="X178" s="26" t="n"/>
      <c r="Y178" s="22" t="n"/>
      <c r="Z178" s="27" t="n">
        <v>3500</v>
      </c>
      <c r="AA178" s="27" t="n">
        <v>97482000</v>
      </c>
      <c r="AB178" s="27" t="n">
        <v>658000000</v>
      </c>
      <c r="AC178" s="20" t="n"/>
      <c r="AD178" s="20">
        <f>IF($J178="","출고일 미정",IF($P178="X","작지 미발행",IF($P178="부분","작지 일부 미발행",IF(AND($R178&lt;&gt;"",$R178&gt;$M178),"소재입고 마감("&amp;TEXT($M178,"MM/DD")&amp;") 초과",IF($P178="","발행여부 확인 필요",IF($R178="","소재 입고일정 확인 필요","정상"))))))</f>
        <v/>
      </c>
      <c r="AE178" s="19">
        <f>IF($J178="","",IF(OR(LEFT($AD178,2)="작지",LEFT($AD178,4)="소재입고"),IF(LEFT($G178,1)="A","★ 납기위험(A코드)","◆ 지연주의"),IF($AD178="정상","✓ 정상","? 확인필요")))</f>
        <v/>
      </c>
      <c r="AF178" s="21" t="n"/>
      <c r="AG178" s="28" t="n"/>
    </row>
    <row r="179">
      <c r="A179" s="19" t="n">
        <v>175</v>
      </c>
      <c r="B179" s="20" t="inlineStr">
        <is>
          <t>김준래</t>
        </is>
      </c>
      <c r="C179" s="20" t="inlineStr">
        <is>
          <t>서은미</t>
        </is>
      </c>
      <c r="D179" s="20" t="inlineStr">
        <is>
          <t>TVVAW27602</t>
        </is>
      </c>
      <c r="E179" s="20" t="inlineStr">
        <is>
          <t>여성 키퍼 크롭핏 하이넥 베스트</t>
        </is>
      </c>
      <c r="F179" s="20" t="inlineStr">
        <is>
          <t>OAT/DNV</t>
        </is>
      </c>
      <c r="G179" s="19">
        <f>IF($D179="","",IF(MID($D179,5,1)="A","A(가을)",IF(MID($D179,5,1)="W","W(겨울)",IF(MID($D179,5,1)="X","X(사계절)",MID($D179,5,1)))))</f>
        <v/>
      </c>
      <c r="H179" s="19" t="inlineStr">
        <is>
          <t>완</t>
        </is>
      </c>
      <c r="I179" s="21" t="inlineStr">
        <is>
          <t>8월4주</t>
        </is>
      </c>
      <c r="J179" s="22">
        <f>IF($I179="","",IFERROR(DATE(기준정보!$C$7,VALUE(LEFT($I179,FIND("월",$I179)-1)),1+7*(VALUE(SUBSTITUTE(MID($I179,FIND("월",$I179)+1,5),"주",""))-1)),""))</f>
        <v/>
      </c>
      <c r="K179" s="22">
        <f>IF($J179="","",IF(AND(ISNUMBER(SEARCH("미얀마",$U179)),$J179-기준정보!$C$5&gt;=기준정보!$C$8,$J179-기준정보!$C$5&lt;=기준정보!$C$9),기준정보!$C$8-1,IF(AND(ISNUMBER(SEARCH("인도네시아",$U179)),$J179-기준정보!$C$5&gt;=기준정보!$C$10,$J179-기준정보!$C$5&lt;=기준정보!$C$11),기준정보!$C$10-1,$J179-기준정보!$C$5)))</f>
        <v/>
      </c>
      <c r="L179" s="23">
        <f>IF($K179="","",IF(ISNUMBER(SEARCH("미얀마",$U179)),MAX(0,MIN($K179,기준정보!$C$9)-MAX($K179-기준정보!$C$6,기준정보!$C$8)+1),IF(ISNUMBER(SEARCH("인도네시아",$U179)),MAX(0,MIN($K179,기준정보!$C$11)-MAX($K179-기준정보!$C$6,기준정보!$C$10)+1),0)))</f>
        <v/>
      </c>
      <c r="M179" s="22">
        <f>IF($K179="","",$K179-기준정보!$C$6-$L179)</f>
        <v/>
      </c>
      <c r="N179" s="24">
        <f>IF($M179="","",$M179-기준정보!$C$4)</f>
        <v/>
      </c>
      <c r="O179" s="21" t="n"/>
      <c r="P179" s="21" t="n"/>
      <c r="Q179" s="21" t="n"/>
      <c r="R179" s="25" t="n"/>
      <c r="S179" s="20">
        <f>IF($H179="","",IF($H179="C","본사(소재팀)",IF($H179="완","생산처","확인 필요")))</f>
        <v/>
      </c>
      <c r="T179" s="20" t="inlineStr">
        <is>
          <t>아이블</t>
        </is>
      </c>
      <c r="U179" s="20" t="inlineStr">
        <is>
          <t>베트남</t>
        </is>
      </c>
      <c r="V179" s="20" t="n"/>
      <c r="W179" s="26" t="n"/>
      <c r="X179" s="26" t="n"/>
      <c r="Y179" s="22" t="n"/>
      <c r="Z179" s="27" t="n">
        <v>2500</v>
      </c>
      <c r="AA179" s="27" t="n">
        <v>83030000</v>
      </c>
      <c r="AB179" s="27" t="n">
        <v>495000000</v>
      </c>
      <c r="AC179" s="20" t="n"/>
      <c r="AD179" s="20">
        <f>IF($J179="","출고일 미정",IF($P179="X","작지 미발행",IF($P179="부분","작지 일부 미발행",IF(AND($R179&lt;&gt;"",$R179&gt;$M179),"소재입고 마감("&amp;TEXT($M179,"MM/DD")&amp;") 초과",IF($P179="","발행여부 확인 필요",IF($R179="","소재 입고일정 확인 필요","정상"))))))</f>
        <v/>
      </c>
      <c r="AE179" s="19">
        <f>IF($J179="","",IF(OR(LEFT($AD179,2)="작지",LEFT($AD179,4)="소재입고"),IF(LEFT($G179,1)="A","★ 납기위험(A코드)","◆ 지연주의"),IF($AD179="정상","✓ 정상","? 확인필요")))</f>
        <v/>
      </c>
      <c r="AF179" s="21" t="n"/>
      <c r="AG179" s="28" t="n"/>
    </row>
    <row r="180">
      <c r="A180" s="19" t="n">
        <v>176</v>
      </c>
      <c r="B180" s="20" t="inlineStr">
        <is>
          <t>김준래</t>
        </is>
      </c>
      <c r="C180" s="20" t="inlineStr">
        <is>
          <t>서은미</t>
        </is>
      </c>
      <c r="D180" s="20" t="inlineStr">
        <is>
          <t>TVVAW27604</t>
        </is>
      </c>
      <c r="E180" s="20" t="inlineStr">
        <is>
          <t>여성 플리스 하이넥 베스트</t>
        </is>
      </c>
      <c r="F180" s="20" t="inlineStr">
        <is>
          <t>OAT/DNV</t>
        </is>
      </c>
      <c r="G180" s="19">
        <f>IF($D180="","",IF(MID($D180,5,1)="A","A(가을)",IF(MID($D180,5,1)="W","W(겨울)",IF(MID($D180,5,1)="X","X(사계절)",MID($D180,5,1)))))</f>
        <v/>
      </c>
      <c r="H180" s="19" t="inlineStr">
        <is>
          <t>완</t>
        </is>
      </c>
      <c r="I180" s="21" t="inlineStr">
        <is>
          <t>8월4주</t>
        </is>
      </c>
      <c r="J180" s="22">
        <f>IF($I180="","",IFERROR(DATE(기준정보!$C$7,VALUE(LEFT($I180,FIND("월",$I180)-1)),1+7*(VALUE(SUBSTITUTE(MID($I180,FIND("월",$I180)+1,5),"주",""))-1)),""))</f>
        <v/>
      </c>
      <c r="K180" s="22">
        <f>IF($J180="","",IF(AND(ISNUMBER(SEARCH("미얀마",$U180)),$J180-기준정보!$C$5&gt;=기준정보!$C$8,$J180-기준정보!$C$5&lt;=기준정보!$C$9),기준정보!$C$8-1,IF(AND(ISNUMBER(SEARCH("인도네시아",$U180)),$J180-기준정보!$C$5&gt;=기준정보!$C$10,$J180-기준정보!$C$5&lt;=기준정보!$C$11),기준정보!$C$10-1,$J180-기준정보!$C$5)))</f>
        <v/>
      </c>
      <c r="L180" s="23">
        <f>IF($K180="","",IF(ISNUMBER(SEARCH("미얀마",$U180)),MAX(0,MIN($K180,기준정보!$C$9)-MAX($K180-기준정보!$C$6,기준정보!$C$8)+1),IF(ISNUMBER(SEARCH("인도네시아",$U180)),MAX(0,MIN($K180,기준정보!$C$11)-MAX($K180-기준정보!$C$6,기준정보!$C$10)+1),0)))</f>
        <v/>
      </c>
      <c r="M180" s="22">
        <f>IF($K180="","",$K180-기준정보!$C$6-$L180)</f>
        <v/>
      </c>
      <c r="N180" s="24">
        <f>IF($M180="","",$M180-기준정보!$C$4)</f>
        <v/>
      </c>
      <c r="O180" s="21" t="n"/>
      <c r="P180" s="21" t="n"/>
      <c r="Q180" s="21" t="n"/>
      <c r="R180" s="25" t="n"/>
      <c r="S180" s="20">
        <f>IF($H180="","",IF($H180="C","본사(소재팀)",IF($H180="완","생산처","확인 필요")))</f>
        <v/>
      </c>
      <c r="T180" s="20" t="inlineStr">
        <is>
          <t>아이블</t>
        </is>
      </c>
      <c r="U180" s="20" t="inlineStr">
        <is>
          <t>인도네시아</t>
        </is>
      </c>
      <c r="V180" s="20" t="n"/>
      <c r="W180" s="26" t="n"/>
      <c r="X180" s="26" t="n"/>
      <c r="Y180" s="22" t="n"/>
      <c r="Z180" s="27" t="n">
        <v>2000</v>
      </c>
      <c r="AA180" s="27" t="n">
        <v>86676000</v>
      </c>
      <c r="AB180" s="27" t="n">
        <v>440000000</v>
      </c>
      <c r="AC180" s="20" t="n"/>
      <c r="AD180" s="20">
        <f>IF($J180="","출고일 미정",IF($P180="X","작지 미발행",IF($P180="부분","작지 일부 미발행",IF(AND($R180&lt;&gt;"",$R180&gt;$M180),"소재입고 마감("&amp;TEXT($M180,"MM/DD")&amp;") 초과",IF($P180="","발행여부 확인 필요",IF($R180="","소재 입고일정 확인 필요","정상"))))))</f>
        <v/>
      </c>
      <c r="AE180" s="19">
        <f>IF($J180="","",IF(OR(LEFT($AD180,2)="작지",LEFT($AD180,4)="소재입고"),IF(LEFT($G180,1)="A","★ 납기위험(A코드)","◆ 지연주의"),IF($AD180="정상","✓ 정상","? 확인필요")))</f>
        <v/>
      </c>
      <c r="AF180" s="21" t="n"/>
      <c r="AG180" s="28" t="n"/>
    </row>
    <row r="181">
      <c r="A181" s="19" t="n">
        <v>177</v>
      </c>
      <c r="B181" s="20" t="inlineStr">
        <is>
          <t>이재헌</t>
        </is>
      </c>
      <c r="C181" s="20" t="inlineStr">
        <is>
          <t>나영길</t>
        </is>
      </c>
      <c r="D181" s="20" t="inlineStr">
        <is>
          <t>JKJDW27452</t>
        </is>
      </c>
      <c r="E181" s="20" t="inlineStr">
        <is>
          <t>여성 경량 스탠드넥 다운 재킷</t>
        </is>
      </c>
      <c r="F181" s="20" t="inlineStr">
        <is>
          <t>CO1/CO2</t>
        </is>
      </c>
      <c r="G181" s="19">
        <f>IF($D181="","",IF(MID($D181,5,1)="A","A(가을)",IF(MID($D181,5,1)="W","W(겨울)",IF(MID($D181,5,1)="X","X(사계절)",MID($D181,5,1)))))</f>
        <v/>
      </c>
      <c r="H181" s="19" t="n"/>
      <c r="I181" s="21" t="inlineStr">
        <is>
          <t>9월1주</t>
        </is>
      </c>
      <c r="J181" s="22">
        <f>IF($I181="","",IFERROR(DATE(기준정보!$C$7,VALUE(LEFT($I181,FIND("월",$I181)-1)),1+7*(VALUE(SUBSTITUTE(MID($I181,FIND("월",$I181)+1,5),"주",""))-1)),""))</f>
        <v/>
      </c>
      <c r="K181" s="22">
        <f>IF($J181="","",IF(AND(ISNUMBER(SEARCH("미얀마",$U181)),$J181-기준정보!$C$5&gt;=기준정보!$C$8,$J181-기준정보!$C$5&lt;=기준정보!$C$9),기준정보!$C$8-1,IF(AND(ISNUMBER(SEARCH("인도네시아",$U181)),$J181-기준정보!$C$5&gt;=기준정보!$C$10,$J181-기준정보!$C$5&lt;=기준정보!$C$11),기준정보!$C$10-1,$J181-기준정보!$C$5)))</f>
        <v/>
      </c>
      <c r="L181" s="23">
        <f>IF($K181="","",IF(ISNUMBER(SEARCH("미얀마",$U181)),MAX(0,MIN($K181,기준정보!$C$9)-MAX($K181-기준정보!$C$6,기준정보!$C$8)+1),IF(ISNUMBER(SEARCH("인도네시아",$U181)),MAX(0,MIN($K181,기준정보!$C$11)-MAX($K181-기준정보!$C$6,기준정보!$C$10)+1),0)))</f>
        <v/>
      </c>
      <c r="M181" s="22">
        <f>IF($K181="","",$K181-기준정보!$C$6-$L181)</f>
        <v/>
      </c>
      <c r="N181" s="24">
        <f>IF($M181="","",$M181-기준정보!$C$4)</f>
        <v/>
      </c>
      <c r="O181" s="21" t="n"/>
      <c r="P181" s="21" t="n"/>
      <c r="Q181" s="21" t="n"/>
      <c r="R181" s="25" t="n"/>
      <c r="S181" s="20">
        <f>IF($H181="","",IF($H181="C","본사(소재팀)",IF($H181="완","생산처","확인 필요")))</f>
        <v/>
      </c>
      <c r="T181" s="20" t="inlineStr">
        <is>
          <t>원전</t>
        </is>
      </c>
      <c r="U181" s="20" t="inlineStr">
        <is>
          <t>인도네시아</t>
        </is>
      </c>
      <c r="V181" s="20" t="n"/>
      <c r="W181" s="26" t="n"/>
      <c r="X181" s="26" t="n"/>
      <c r="Y181" s="22" t="n"/>
      <c r="Z181" s="27" t="n">
        <v>500</v>
      </c>
      <c r="AA181" s="27" t="n">
        <v>50000000</v>
      </c>
      <c r="AB181" s="27" t="n">
        <v>225000000</v>
      </c>
      <c r="AC181" s="20" t="n"/>
      <c r="AD181" s="20">
        <f>IF($J181="","출고일 미정",IF($P181="X","작지 미발행",IF($P181="부분","작지 일부 미발행",IF(AND($R181&lt;&gt;"",$R181&gt;$M181),"소재입고 마감("&amp;TEXT($M181,"MM/DD")&amp;") 초과",IF($P181="","발행여부 확인 필요",IF($R181="","소재 입고일정 확인 필요","정상"))))))</f>
        <v/>
      </c>
      <c r="AE181" s="19">
        <f>IF($J181="","",IF(OR(LEFT($AD181,2)="작지",LEFT($AD181,4)="소재입고"),IF(LEFT($G181,1)="A","★ 납기위험(A코드)","◆ 지연주의"),IF($AD181="정상","✓ 정상","? 확인필요")))</f>
        <v/>
      </c>
      <c r="AF181" s="21" t="n"/>
      <c r="AG181" s="28" t="n"/>
    </row>
    <row r="182">
      <c r="A182" s="19" t="n">
        <v>178</v>
      </c>
      <c r="B182" s="20" t="inlineStr">
        <is>
          <t>정영준</t>
        </is>
      </c>
      <c r="C182" s="20" t="inlineStr">
        <is>
          <t>강기환</t>
        </is>
      </c>
      <c r="D182" s="20" t="inlineStr">
        <is>
          <t>JKJDW27604</t>
        </is>
      </c>
      <c r="E182" s="20" t="inlineStr">
        <is>
          <t>여성 마조테크 3L 스탠드넥 다운</t>
        </is>
      </c>
      <c r="F182" s="20" t="inlineStr">
        <is>
          <t>CO1</t>
        </is>
      </c>
      <c r="G182" s="19">
        <f>IF($D182="","",IF(MID($D182,5,1)="A","A(가을)",IF(MID($D182,5,1)="W","W(겨울)",IF(MID($D182,5,1)="X","X(사계절)",MID($D182,5,1)))))</f>
        <v/>
      </c>
      <c r="H182" s="19" t="n"/>
      <c r="I182" s="21" t="inlineStr">
        <is>
          <t>9월1주</t>
        </is>
      </c>
      <c r="J182" s="22">
        <f>IF($I182="","",IFERROR(DATE(기준정보!$C$7,VALUE(LEFT($I182,FIND("월",$I182)-1)),1+7*(VALUE(SUBSTITUTE(MID($I182,FIND("월",$I182)+1,5),"주",""))-1)),""))</f>
        <v/>
      </c>
      <c r="K182" s="22">
        <f>IF($J182="","",IF(AND(ISNUMBER(SEARCH("미얀마",$U182)),$J182-기준정보!$C$5&gt;=기준정보!$C$8,$J182-기준정보!$C$5&lt;=기준정보!$C$9),기준정보!$C$8-1,IF(AND(ISNUMBER(SEARCH("인도네시아",$U182)),$J182-기준정보!$C$5&gt;=기준정보!$C$10,$J182-기준정보!$C$5&lt;=기준정보!$C$11),기준정보!$C$10-1,$J182-기준정보!$C$5)))</f>
        <v/>
      </c>
      <c r="L182" s="23">
        <f>IF($K182="","",IF(ISNUMBER(SEARCH("미얀마",$U182)),MAX(0,MIN($K182,기준정보!$C$9)-MAX($K182-기준정보!$C$6,기준정보!$C$8)+1),IF(ISNUMBER(SEARCH("인도네시아",$U182)),MAX(0,MIN($K182,기준정보!$C$11)-MAX($K182-기준정보!$C$6,기준정보!$C$10)+1),0)))</f>
        <v/>
      </c>
      <c r="M182" s="22">
        <f>IF($K182="","",$K182-기준정보!$C$6-$L182)</f>
        <v/>
      </c>
      <c r="N182" s="24">
        <f>IF($M182="","",$M182-기준정보!$C$4)</f>
        <v/>
      </c>
      <c r="O182" s="21" t="n"/>
      <c r="P182" s="21" t="n"/>
      <c r="Q182" s="21" t="n"/>
      <c r="R182" s="25" t="n"/>
      <c r="S182" s="20">
        <f>IF($H182="","",IF($H182="C","본사(소재팀)",IF($H182="완","생산처","확인 필요")))</f>
        <v/>
      </c>
      <c r="T182" s="20" t="inlineStr">
        <is>
          <t>포마트</t>
        </is>
      </c>
      <c r="U182" s="20" t="inlineStr">
        <is>
          <t>베트남</t>
        </is>
      </c>
      <c r="V182" s="20" t="n"/>
      <c r="W182" s="26" t="n"/>
      <c r="X182" s="26" t="n"/>
      <c r="Y182" s="22" t="n"/>
      <c r="Z182" s="27" t="n">
        <v>50</v>
      </c>
      <c r="AA182" s="27" t="n">
        <v>7000000</v>
      </c>
      <c r="AB182" s="27" t="n">
        <v>33500000</v>
      </c>
      <c r="AC182" s="20" t="n"/>
      <c r="AD182" s="20">
        <f>IF($J182="","출고일 미정",IF($P182="X","작지 미발행",IF($P182="부분","작지 일부 미발행",IF(AND($R182&lt;&gt;"",$R182&gt;$M182),"소재입고 마감("&amp;TEXT($M182,"MM/DD")&amp;") 초과",IF($P182="","발행여부 확인 필요",IF($R182="","소재 입고일정 확인 필요","정상"))))))</f>
        <v/>
      </c>
      <c r="AE182" s="19">
        <f>IF($J182="","",IF(OR(LEFT($AD182,2)="작지",LEFT($AD182,4)="소재입고"),IF(LEFT($G182,1)="A","★ 납기위험(A코드)","◆ 지연주의"),IF($AD182="정상","✓ 정상","? 확인필요")))</f>
        <v/>
      </c>
      <c r="AF182" s="21" t="n"/>
      <c r="AG182" s="28" t="n"/>
    </row>
    <row r="183">
      <c r="A183" s="19" t="n">
        <v>179</v>
      </c>
      <c r="B183" s="20" t="inlineStr">
        <is>
          <t>이재헌</t>
        </is>
      </c>
      <c r="C183" s="20" t="inlineStr">
        <is>
          <t>나영길</t>
        </is>
      </c>
      <c r="D183" s="20" t="inlineStr">
        <is>
          <t>JKJJW27432</t>
        </is>
      </c>
      <c r="E183" s="20" t="inlineStr">
        <is>
          <t>여성 프리마로프트 골드 후디드 헤비 인슐레이션 재킷</t>
        </is>
      </c>
      <c r="F183" s="20" t="inlineStr">
        <is>
          <t>ASB/DEB</t>
        </is>
      </c>
      <c r="G183" s="19">
        <f>IF($D183="","",IF(MID($D183,5,1)="A","A(가을)",IF(MID($D183,5,1)="W","W(겨울)",IF(MID($D183,5,1)="X","X(사계절)",MID($D183,5,1)))))</f>
        <v/>
      </c>
      <c r="H183" s="19" t="n"/>
      <c r="I183" s="21" t="inlineStr">
        <is>
          <t>9월1주</t>
        </is>
      </c>
      <c r="J183" s="22">
        <f>IF($I183="","",IFERROR(DATE(기준정보!$C$7,VALUE(LEFT($I183,FIND("월",$I183)-1)),1+7*(VALUE(SUBSTITUTE(MID($I183,FIND("월",$I183)+1,5),"주",""))-1)),""))</f>
        <v/>
      </c>
      <c r="K183" s="22">
        <f>IF($J183="","",IF(AND(ISNUMBER(SEARCH("미얀마",$U183)),$J183-기준정보!$C$5&gt;=기준정보!$C$8,$J183-기준정보!$C$5&lt;=기준정보!$C$9),기준정보!$C$8-1,IF(AND(ISNUMBER(SEARCH("인도네시아",$U183)),$J183-기준정보!$C$5&gt;=기준정보!$C$10,$J183-기준정보!$C$5&lt;=기준정보!$C$11),기준정보!$C$10-1,$J183-기준정보!$C$5)))</f>
        <v/>
      </c>
      <c r="L183" s="23">
        <f>IF($K183="","",IF(ISNUMBER(SEARCH("미얀마",$U183)),MAX(0,MIN($K183,기준정보!$C$9)-MAX($K183-기준정보!$C$6,기준정보!$C$8)+1),IF(ISNUMBER(SEARCH("인도네시아",$U183)),MAX(0,MIN($K183,기준정보!$C$11)-MAX($K183-기준정보!$C$6,기준정보!$C$10)+1),0)))</f>
        <v/>
      </c>
      <c r="M183" s="22">
        <f>IF($K183="","",$K183-기준정보!$C$6-$L183)</f>
        <v/>
      </c>
      <c r="N183" s="24">
        <f>IF($M183="","",$M183-기준정보!$C$4)</f>
        <v/>
      </c>
      <c r="O183" s="21" t="n"/>
      <c r="P183" s="21" t="n"/>
      <c r="Q183" s="21" t="n"/>
      <c r="R183" s="25" t="n"/>
      <c r="S183" s="20">
        <f>IF($H183="","",IF($H183="C","본사(소재팀)",IF($H183="완","생산처","확인 필요")))</f>
        <v/>
      </c>
      <c r="T183" s="20" t="inlineStr">
        <is>
          <t>아이블</t>
        </is>
      </c>
      <c r="U183" s="20" t="inlineStr">
        <is>
          <t>베트남</t>
        </is>
      </c>
      <c r="V183" s="20" t="n"/>
      <c r="W183" s="26" t="n"/>
      <c r="X183" s="26" t="n"/>
      <c r="Y183" s="22" t="n"/>
      <c r="Z183" s="27" t="n">
        <v>350</v>
      </c>
      <c r="AA183" s="27" t="n">
        <v>36120350</v>
      </c>
      <c r="AB183" s="27" t="n">
        <v>157500000</v>
      </c>
      <c r="AC183" s="20" t="n"/>
      <c r="AD183" s="20">
        <f>IF($J183="","출고일 미정",IF($P183="X","작지 미발행",IF($P183="부분","작지 일부 미발행",IF(AND($R183&lt;&gt;"",$R183&gt;$M183),"소재입고 마감("&amp;TEXT($M183,"MM/DD")&amp;") 초과",IF($P183="","발행여부 확인 필요",IF($R183="","소재 입고일정 확인 필요","정상"))))))</f>
        <v/>
      </c>
      <c r="AE183" s="19">
        <f>IF($J183="","",IF(OR(LEFT($AD183,2)="작지",LEFT($AD183,4)="소재입고"),IF(LEFT($G183,1)="A","★ 납기위험(A코드)","◆ 지연주의"),IF($AD183="정상","✓ 정상","? 확인필요")))</f>
        <v/>
      </c>
      <c r="AF183" s="21" t="n"/>
      <c r="AG183" s="28" t="n"/>
    </row>
    <row r="184">
      <c r="A184" s="19" t="n">
        <v>180</v>
      </c>
      <c r="B184" s="20" t="inlineStr">
        <is>
          <t>박진아</t>
        </is>
      </c>
      <c r="C184" s="20" t="inlineStr">
        <is>
          <t>김지원</t>
        </is>
      </c>
      <c r="D184" s="20" t="inlineStr">
        <is>
          <t>JKPNW27408</t>
        </is>
      </c>
      <c r="E184" s="20" t="inlineStr">
        <is>
          <t>여성 기모 이중직 하이킹 팬츠</t>
        </is>
      </c>
      <c r="F184" s="20" t="inlineStr">
        <is>
          <t>ABE/CHR</t>
        </is>
      </c>
      <c r="G184" s="19">
        <f>IF($D184="","",IF(MID($D184,5,1)="A","A(가을)",IF(MID($D184,5,1)="W","W(겨울)",IF(MID($D184,5,1)="X","X(사계절)",MID($D184,5,1)))))</f>
        <v/>
      </c>
      <c r="H184" s="19" t="n"/>
      <c r="I184" s="21" t="inlineStr">
        <is>
          <t>9월1주</t>
        </is>
      </c>
      <c r="J184" s="22">
        <f>IF($I184="","",IFERROR(DATE(기준정보!$C$7,VALUE(LEFT($I184,FIND("월",$I184)-1)),1+7*(VALUE(SUBSTITUTE(MID($I184,FIND("월",$I184)+1,5),"주",""))-1)),""))</f>
        <v/>
      </c>
      <c r="K184" s="22">
        <f>IF($J184="","",IF(AND(ISNUMBER(SEARCH("미얀마",$U184)),$J184-기준정보!$C$5&gt;=기준정보!$C$8,$J184-기준정보!$C$5&lt;=기준정보!$C$9),기준정보!$C$8-1,IF(AND(ISNUMBER(SEARCH("인도네시아",$U184)),$J184-기준정보!$C$5&gt;=기준정보!$C$10,$J184-기준정보!$C$5&lt;=기준정보!$C$11),기준정보!$C$10-1,$J184-기준정보!$C$5)))</f>
        <v/>
      </c>
      <c r="L184" s="23">
        <f>IF($K184="","",IF(ISNUMBER(SEARCH("미얀마",$U184)),MAX(0,MIN($K184,기준정보!$C$9)-MAX($K184-기준정보!$C$6,기준정보!$C$8)+1),IF(ISNUMBER(SEARCH("인도네시아",$U184)),MAX(0,MIN($K184,기준정보!$C$11)-MAX($K184-기준정보!$C$6,기준정보!$C$10)+1),0)))</f>
        <v/>
      </c>
      <c r="M184" s="22">
        <f>IF($K184="","",$K184-기준정보!$C$6-$L184)</f>
        <v/>
      </c>
      <c r="N184" s="24">
        <f>IF($M184="","",$M184-기준정보!$C$4)</f>
        <v/>
      </c>
      <c r="O184" s="21" t="n"/>
      <c r="P184" s="21" t="n"/>
      <c r="Q184" s="21" t="n"/>
      <c r="R184" s="25" t="n"/>
      <c r="S184" s="20">
        <f>IF($H184="","",IF($H184="C","본사(소재팀)",IF($H184="완","생산처","확인 필요")))</f>
        <v/>
      </c>
      <c r="T184" s="20" t="inlineStr">
        <is>
          <t>거림</t>
        </is>
      </c>
      <c r="U184" s="20" t="inlineStr">
        <is>
          <t>베트남</t>
        </is>
      </c>
      <c r="V184" s="20" t="n"/>
      <c r="W184" s="26" t="n"/>
      <c r="X184" s="26" t="n"/>
      <c r="Y184" s="22" t="n"/>
      <c r="Z184" s="27" t="n">
        <v>500</v>
      </c>
      <c r="AA184" s="27" t="n">
        <v>33645500</v>
      </c>
      <c r="AB184" s="27" t="n">
        <v>110000000</v>
      </c>
      <c r="AC184" s="20" t="n"/>
      <c r="AD184" s="20">
        <f>IF($J184="","출고일 미정",IF($P184="X","작지 미발행",IF($P184="부분","작지 일부 미발행",IF(AND($R184&lt;&gt;"",$R184&gt;$M184),"소재입고 마감("&amp;TEXT($M184,"MM/DD")&amp;") 초과",IF($P184="","발행여부 확인 필요",IF($R184="","소재 입고일정 확인 필요","정상"))))))</f>
        <v/>
      </c>
      <c r="AE184" s="19">
        <f>IF($J184="","",IF(OR(LEFT($AD184,2)="작지",LEFT($AD184,4)="소재입고"),IF(LEFT($G184,1)="A","★ 납기위험(A코드)","◆ 지연주의"),IF($AD184="정상","✓ 정상","? 확인필요")))</f>
        <v/>
      </c>
      <c r="AF184" s="21" t="n"/>
      <c r="AG184" s="28" t="n"/>
    </row>
    <row r="185">
      <c r="A185" s="19" t="n">
        <v>181</v>
      </c>
      <c r="B185" s="20" t="inlineStr">
        <is>
          <t>문도혁</t>
        </is>
      </c>
      <c r="C185" s="20" t="inlineStr">
        <is>
          <t>엄창용</t>
        </is>
      </c>
      <c r="D185" s="20" t="inlineStr">
        <is>
          <t>JKPNW27616</t>
        </is>
      </c>
      <c r="E185" s="20" t="inlineStr">
        <is>
          <t>여성 와이드핏 원턱 팬츠</t>
        </is>
      </c>
      <c r="F185" s="20" t="inlineStr">
        <is>
          <t>CHA/ABE</t>
        </is>
      </c>
      <c r="G185" s="19">
        <f>IF($D185="","",IF(MID($D185,5,1)="A","A(가을)",IF(MID($D185,5,1)="W","W(겨울)",IF(MID($D185,5,1)="X","X(사계절)",MID($D185,5,1)))))</f>
        <v/>
      </c>
      <c r="H185" s="19" t="n"/>
      <c r="I185" s="21" t="inlineStr">
        <is>
          <t>9월1주</t>
        </is>
      </c>
      <c r="J185" s="22">
        <f>IF($I185="","",IFERROR(DATE(기준정보!$C$7,VALUE(LEFT($I185,FIND("월",$I185)-1)),1+7*(VALUE(SUBSTITUTE(MID($I185,FIND("월",$I185)+1,5),"주",""))-1)),""))</f>
        <v/>
      </c>
      <c r="K185" s="22">
        <f>IF($J185="","",IF(AND(ISNUMBER(SEARCH("미얀마",$U185)),$J185-기준정보!$C$5&gt;=기준정보!$C$8,$J185-기준정보!$C$5&lt;=기준정보!$C$9),기준정보!$C$8-1,IF(AND(ISNUMBER(SEARCH("인도네시아",$U185)),$J185-기준정보!$C$5&gt;=기준정보!$C$10,$J185-기준정보!$C$5&lt;=기준정보!$C$11),기준정보!$C$10-1,$J185-기준정보!$C$5)))</f>
        <v/>
      </c>
      <c r="L185" s="23">
        <f>IF($K185="","",IF(ISNUMBER(SEARCH("미얀마",$U185)),MAX(0,MIN($K185,기준정보!$C$9)-MAX($K185-기준정보!$C$6,기준정보!$C$8)+1),IF(ISNUMBER(SEARCH("인도네시아",$U185)),MAX(0,MIN($K185,기준정보!$C$11)-MAX($K185-기준정보!$C$6,기준정보!$C$10)+1),0)))</f>
        <v/>
      </c>
      <c r="M185" s="22">
        <f>IF($K185="","",$K185-기준정보!$C$6-$L185)</f>
        <v/>
      </c>
      <c r="N185" s="24">
        <f>IF($M185="","",$M185-기준정보!$C$4)</f>
        <v/>
      </c>
      <c r="O185" s="21" t="n"/>
      <c r="P185" s="21" t="n"/>
      <c r="Q185" s="21" t="n"/>
      <c r="R185" s="25" t="n"/>
      <c r="S185" s="20">
        <f>IF($H185="","",IF($H185="C","본사(소재팀)",IF($H185="완","생산처","확인 필요")))</f>
        <v/>
      </c>
      <c r="T185" s="20" t="inlineStr">
        <is>
          <t>TBO</t>
        </is>
      </c>
      <c r="U185" s="20" t="inlineStr">
        <is>
          <t>베트남</t>
        </is>
      </c>
      <c r="V185" s="20" t="n"/>
      <c r="W185" s="26" t="n"/>
      <c r="X185" s="26" t="n"/>
      <c r="Y185" s="22" t="n"/>
      <c r="Z185" s="27" t="n">
        <v>400</v>
      </c>
      <c r="AA185" s="27" t="n">
        <v>17600000</v>
      </c>
      <c r="AB185" s="27" t="n">
        <v>88000000</v>
      </c>
      <c r="AC185" s="20" t="n"/>
      <c r="AD185" s="20">
        <f>IF($J185="","출고일 미정",IF($P185="X","작지 미발행",IF($P185="부분","작지 일부 미발행",IF(AND($R185&lt;&gt;"",$R185&gt;$M185),"소재입고 마감("&amp;TEXT($M185,"MM/DD")&amp;") 초과",IF($P185="","발행여부 확인 필요",IF($R185="","소재 입고일정 확인 필요","정상"))))))</f>
        <v/>
      </c>
      <c r="AE185" s="19">
        <f>IF($J185="","",IF(OR(LEFT($AD185,2)="작지",LEFT($AD185,4)="소재입고"),IF(LEFT($G185,1)="A","★ 납기위험(A코드)","◆ 지연주의"),IF($AD185="정상","✓ 정상","? 확인필요")))</f>
        <v/>
      </c>
      <c r="AF185" s="21" t="n"/>
      <c r="AG185" s="28" t="n"/>
    </row>
    <row r="186">
      <c r="A186" s="19" t="n">
        <v>182</v>
      </c>
      <c r="B186" s="20" t="inlineStr">
        <is>
          <t>문도혁</t>
        </is>
      </c>
      <c r="C186" s="20" t="inlineStr">
        <is>
          <t>강기환</t>
        </is>
      </c>
      <c r="D186" s="20" t="inlineStr">
        <is>
          <t>JKPNW27632</t>
        </is>
      </c>
      <c r="E186" s="20" t="inlineStr">
        <is>
          <t>여성 소프트쉘 팬츠</t>
        </is>
      </c>
      <c r="F186" s="20" t="inlineStr">
        <is>
          <t>RBW/DEB</t>
        </is>
      </c>
      <c r="G186" s="19">
        <f>IF($D186="","",IF(MID($D186,5,1)="A","A(가을)",IF(MID($D186,5,1)="W","W(겨울)",IF(MID($D186,5,1)="X","X(사계절)",MID($D186,5,1)))))</f>
        <v/>
      </c>
      <c r="H186" s="19" t="n"/>
      <c r="I186" s="21" t="inlineStr">
        <is>
          <t>9월1주</t>
        </is>
      </c>
      <c r="J186" s="22">
        <f>IF($I186="","",IFERROR(DATE(기준정보!$C$7,VALUE(LEFT($I186,FIND("월",$I186)-1)),1+7*(VALUE(SUBSTITUTE(MID($I186,FIND("월",$I186)+1,5),"주",""))-1)),""))</f>
        <v/>
      </c>
      <c r="K186" s="22">
        <f>IF($J186="","",IF(AND(ISNUMBER(SEARCH("미얀마",$U186)),$J186-기준정보!$C$5&gt;=기준정보!$C$8,$J186-기준정보!$C$5&lt;=기준정보!$C$9),기준정보!$C$8-1,IF(AND(ISNUMBER(SEARCH("인도네시아",$U186)),$J186-기준정보!$C$5&gt;=기준정보!$C$10,$J186-기준정보!$C$5&lt;=기준정보!$C$11),기준정보!$C$10-1,$J186-기준정보!$C$5)))</f>
        <v/>
      </c>
      <c r="L186" s="23">
        <f>IF($K186="","",IF(ISNUMBER(SEARCH("미얀마",$U186)),MAX(0,MIN($K186,기준정보!$C$9)-MAX($K186-기준정보!$C$6,기준정보!$C$8)+1),IF(ISNUMBER(SEARCH("인도네시아",$U186)),MAX(0,MIN($K186,기준정보!$C$11)-MAX($K186-기준정보!$C$6,기준정보!$C$10)+1),0)))</f>
        <v/>
      </c>
      <c r="M186" s="22">
        <f>IF($K186="","",$K186-기준정보!$C$6-$L186)</f>
        <v/>
      </c>
      <c r="N186" s="24">
        <f>IF($M186="","",$M186-기준정보!$C$4)</f>
        <v/>
      </c>
      <c r="O186" s="21" t="n"/>
      <c r="P186" s="21" t="n"/>
      <c r="Q186" s="21" t="n"/>
      <c r="R186" s="25" t="n"/>
      <c r="S186" s="20">
        <f>IF($H186="","",IF($H186="C","본사(소재팀)",IF($H186="완","생산처","확인 필요")))</f>
        <v/>
      </c>
      <c r="T186" s="20" t="inlineStr">
        <is>
          <t>거림</t>
        </is>
      </c>
      <c r="U186" s="20" t="inlineStr">
        <is>
          <t>베트남</t>
        </is>
      </c>
      <c r="V186" s="20" t="n"/>
      <c r="W186" s="26" t="n"/>
      <c r="X186" s="26" t="n"/>
      <c r="Y186" s="22" t="n"/>
      <c r="Z186" s="27" t="n">
        <v>500</v>
      </c>
      <c r="AA186" s="27" t="n">
        <v>27500000</v>
      </c>
      <c r="AB186" s="27" t="n">
        <v>125000000</v>
      </c>
      <c r="AC186" s="20" t="n"/>
      <c r="AD186" s="20">
        <f>IF($J186="","출고일 미정",IF($P186="X","작지 미발행",IF($P186="부분","작지 일부 미발행",IF(AND($R186&lt;&gt;"",$R186&gt;$M186),"소재입고 마감("&amp;TEXT($M186,"MM/DD")&amp;") 초과",IF($P186="","발행여부 확인 필요",IF($R186="","소재 입고일정 확인 필요","정상"))))))</f>
        <v/>
      </c>
      <c r="AE186" s="19">
        <f>IF($J186="","",IF(OR(LEFT($AD186,2)="작지",LEFT($AD186,4)="소재입고"),IF(LEFT($G186,1)="A","★ 납기위험(A코드)","◆ 지연주의"),IF($AD186="정상","✓ 정상","? 확인필요")))</f>
        <v/>
      </c>
      <c r="AF186" s="21" t="n"/>
      <c r="AG186" s="28" t="n"/>
    </row>
    <row r="187">
      <c r="A187" s="19" t="n">
        <v>183</v>
      </c>
      <c r="B187" s="20" t="inlineStr">
        <is>
          <t>박진아</t>
        </is>
      </c>
      <c r="C187" s="20" t="inlineStr">
        <is>
          <t>김지원</t>
        </is>
      </c>
      <c r="D187" s="20" t="inlineStr">
        <is>
          <t>JKTBW27406</t>
        </is>
      </c>
      <c r="E187" s="20" t="inlineStr">
        <is>
          <t>여성 파워그리드 라운드티</t>
        </is>
      </c>
      <c r="F187" s="20" t="inlineStr">
        <is>
          <t>ASB/ABE</t>
        </is>
      </c>
      <c r="G187" s="19">
        <f>IF($D187="","",IF(MID($D187,5,1)="A","A(가을)",IF(MID($D187,5,1)="W","W(겨울)",IF(MID($D187,5,1)="X","X(사계절)",MID($D187,5,1)))))</f>
        <v/>
      </c>
      <c r="H187" s="19" t="n"/>
      <c r="I187" s="21" t="inlineStr">
        <is>
          <t>9월1주</t>
        </is>
      </c>
      <c r="J187" s="22">
        <f>IF($I187="","",IFERROR(DATE(기준정보!$C$7,VALUE(LEFT($I187,FIND("월",$I187)-1)),1+7*(VALUE(SUBSTITUTE(MID($I187,FIND("월",$I187)+1,5),"주",""))-1)),""))</f>
        <v/>
      </c>
      <c r="K187" s="22">
        <f>IF($J187="","",IF(AND(ISNUMBER(SEARCH("미얀마",$U187)),$J187-기준정보!$C$5&gt;=기준정보!$C$8,$J187-기준정보!$C$5&lt;=기준정보!$C$9),기준정보!$C$8-1,IF(AND(ISNUMBER(SEARCH("인도네시아",$U187)),$J187-기준정보!$C$5&gt;=기준정보!$C$10,$J187-기준정보!$C$5&lt;=기준정보!$C$11),기준정보!$C$10-1,$J187-기준정보!$C$5)))</f>
        <v/>
      </c>
      <c r="L187" s="23">
        <f>IF($K187="","",IF(ISNUMBER(SEARCH("미얀마",$U187)),MAX(0,MIN($K187,기준정보!$C$9)-MAX($K187-기준정보!$C$6,기준정보!$C$8)+1),IF(ISNUMBER(SEARCH("인도네시아",$U187)),MAX(0,MIN($K187,기준정보!$C$11)-MAX($K187-기준정보!$C$6,기준정보!$C$10)+1),0)))</f>
        <v/>
      </c>
      <c r="M187" s="22">
        <f>IF($K187="","",$K187-기준정보!$C$6-$L187)</f>
        <v/>
      </c>
      <c r="N187" s="24">
        <f>IF($M187="","",$M187-기준정보!$C$4)</f>
        <v/>
      </c>
      <c r="O187" s="21" t="n"/>
      <c r="P187" s="21" t="n"/>
      <c r="Q187" s="21" t="n"/>
      <c r="R187" s="25" t="n"/>
      <c r="S187" s="20">
        <f>IF($H187="","",IF($H187="C","본사(소재팀)",IF($H187="완","생산처","확인 필요")))</f>
        <v/>
      </c>
      <c r="T187" s="20" t="inlineStr">
        <is>
          <t>장안</t>
        </is>
      </c>
      <c r="U187" s="20" t="inlineStr">
        <is>
          <t>베트남</t>
        </is>
      </c>
      <c r="V187" s="20" t="n"/>
      <c r="W187" s="26" t="n"/>
      <c r="X187" s="26" t="n"/>
      <c r="Y187" s="22" t="n"/>
      <c r="Z187" s="27" t="n">
        <v>400</v>
      </c>
      <c r="AA187" s="27" t="n">
        <v>11035600</v>
      </c>
      <c r="AB187" s="27" t="n">
        <v>55200000</v>
      </c>
      <c r="AC187" s="20" t="n"/>
      <c r="AD187" s="20">
        <f>IF($J187="","출고일 미정",IF($P187="X","작지 미발행",IF($P187="부분","작지 일부 미발행",IF(AND($R187&lt;&gt;"",$R187&gt;$M187),"소재입고 마감("&amp;TEXT($M187,"MM/DD")&amp;") 초과",IF($P187="","발행여부 확인 필요",IF($R187="","소재 입고일정 확인 필요","정상"))))))</f>
        <v/>
      </c>
      <c r="AE187" s="19">
        <f>IF($J187="","",IF(OR(LEFT($AD187,2)="작지",LEFT($AD187,4)="소재입고"),IF(LEFT($G187,1)="A","★ 납기위험(A코드)","◆ 지연주의"),IF($AD187="정상","✓ 정상","? 확인필요")))</f>
        <v/>
      </c>
      <c r="AF187" s="21" t="n"/>
      <c r="AG187" s="28" t="n"/>
    </row>
    <row r="188">
      <c r="A188" s="19" t="n">
        <v>184</v>
      </c>
      <c r="B188" s="20" t="inlineStr">
        <is>
          <t>박진아</t>
        </is>
      </c>
      <c r="C188" s="20" t="inlineStr">
        <is>
          <t>김지원</t>
        </is>
      </c>
      <c r="D188" s="20" t="inlineStr">
        <is>
          <t>JKTBW27408</t>
        </is>
      </c>
      <c r="E188" s="20" t="inlineStr">
        <is>
          <t>여성 파워 스트레치 집업티</t>
        </is>
      </c>
      <c r="F188" s="20" t="inlineStr">
        <is>
          <t>ABU/CHR</t>
        </is>
      </c>
      <c r="G188" s="19">
        <f>IF($D188="","",IF(MID($D188,5,1)="A","A(가을)",IF(MID($D188,5,1)="W","W(겨울)",IF(MID($D188,5,1)="X","X(사계절)",MID($D188,5,1)))))</f>
        <v/>
      </c>
      <c r="H188" s="19" t="n"/>
      <c r="I188" s="21" t="inlineStr">
        <is>
          <t>9월1주</t>
        </is>
      </c>
      <c r="J188" s="22">
        <f>IF($I188="","",IFERROR(DATE(기준정보!$C$7,VALUE(LEFT($I188,FIND("월",$I188)-1)),1+7*(VALUE(SUBSTITUTE(MID($I188,FIND("월",$I188)+1,5),"주",""))-1)),""))</f>
        <v/>
      </c>
      <c r="K188" s="22">
        <f>IF($J188="","",IF(AND(ISNUMBER(SEARCH("미얀마",$U188)),$J188-기준정보!$C$5&gt;=기준정보!$C$8,$J188-기준정보!$C$5&lt;=기준정보!$C$9),기준정보!$C$8-1,IF(AND(ISNUMBER(SEARCH("인도네시아",$U188)),$J188-기준정보!$C$5&gt;=기준정보!$C$10,$J188-기준정보!$C$5&lt;=기준정보!$C$11),기준정보!$C$10-1,$J188-기준정보!$C$5)))</f>
        <v/>
      </c>
      <c r="L188" s="23">
        <f>IF($K188="","",IF(ISNUMBER(SEARCH("미얀마",$U188)),MAX(0,MIN($K188,기준정보!$C$9)-MAX($K188-기준정보!$C$6,기준정보!$C$8)+1),IF(ISNUMBER(SEARCH("인도네시아",$U188)),MAX(0,MIN($K188,기준정보!$C$11)-MAX($K188-기준정보!$C$6,기준정보!$C$10)+1),0)))</f>
        <v/>
      </c>
      <c r="M188" s="22">
        <f>IF($K188="","",$K188-기준정보!$C$6-$L188)</f>
        <v/>
      </c>
      <c r="N188" s="24">
        <f>IF($M188="","",$M188-기준정보!$C$4)</f>
        <v/>
      </c>
      <c r="O188" s="21" t="n"/>
      <c r="P188" s="21" t="n"/>
      <c r="Q188" s="21" t="n"/>
      <c r="R188" s="25" t="n"/>
      <c r="S188" s="20">
        <f>IF($H188="","",IF($H188="C","본사(소재팀)",IF($H188="완","생산처","확인 필요")))</f>
        <v/>
      </c>
      <c r="T188" s="20" t="inlineStr">
        <is>
          <t>장안</t>
        </is>
      </c>
      <c r="U188" s="20" t="inlineStr">
        <is>
          <t>베트남</t>
        </is>
      </c>
      <c r="V188" s="20" t="n"/>
      <c r="W188" s="26" t="n"/>
      <c r="X188" s="26" t="n"/>
      <c r="Y188" s="22" t="n"/>
      <c r="Z188" s="27" t="n">
        <v>1300</v>
      </c>
      <c r="AA188" s="27" t="n">
        <v>69019600</v>
      </c>
      <c r="AB188" s="27" t="n">
        <v>205400000</v>
      </c>
      <c r="AC188" s="20" t="n"/>
      <c r="AD188" s="20">
        <f>IF($J188="","출고일 미정",IF($P188="X","작지 미발행",IF($P188="부분","작지 일부 미발행",IF(AND($R188&lt;&gt;"",$R188&gt;$M188),"소재입고 마감("&amp;TEXT($M188,"MM/DD")&amp;") 초과",IF($P188="","발행여부 확인 필요",IF($R188="","소재 입고일정 확인 필요","정상"))))))</f>
        <v/>
      </c>
      <c r="AE188" s="19">
        <f>IF($J188="","",IF(OR(LEFT($AD188,2)="작지",LEFT($AD188,4)="소재입고"),IF(LEFT($G188,1)="A","★ 납기위험(A코드)","◆ 지연주의"),IF($AD188="정상","✓ 정상","? 확인필요")))</f>
        <v/>
      </c>
      <c r="AF188" s="21" t="n"/>
      <c r="AG188" s="28" t="n"/>
    </row>
    <row r="189">
      <c r="A189" s="19" t="n">
        <v>185</v>
      </c>
      <c r="B189" s="20" t="inlineStr">
        <is>
          <t>정영준</t>
        </is>
      </c>
      <c r="C189" s="20" t="inlineStr">
        <is>
          <t>강기환</t>
        </is>
      </c>
      <c r="D189" s="20" t="inlineStr">
        <is>
          <t>JKTBW27622</t>
        </is>
      </c>
      <c r="E189" s="20" t="inlineStr">
        <is>
          <t>여성 캐시미어 반집업 후드</t>
        </is>
      </c>
      <c r="F189" s="20" t="inlineStr">
        <is>
          <t>MML/DPL</t>
        </is>
      </c>
      <c r="G189" s="19">
        <f>IF($D189="","",IF(MID($D189,5,1)="A","A(가을)",IF(MID($D189,5,1)="W","W(겨울)",IF(MID($D189,5,1)="X","X(사계절)",MID($D189,5,1)))))</f>
        <v/>
      </c>
      <c r="H189" s="19" t="n"/>
      <c r="I189" s="21" t="inlineStr">
        <is>
          <t>9월1주</t>
        </is>
      </c>
      <c r="J189" s="22">
        <f>IF($I189="","",IFERROR(DATE(기준정보!$C$7,VALUE(LEFT($I189,FIND("월",$I189)-1)),1+7*(VALUE(SUBSTITUTE(MID($I189,FIND("월",$I189)+1,5),"주",""))-1)),""))</f>
        <v/>
      </c>
      <c r="K189" s="22">
        <f>IF($J189="","",IF(AND(ISNUMBER(SEARCH("미얀마",$U189)),$J189-기준정보!$C$5&gt;=기준정보!$C$8,$J189-기준정보!$C$5&lt;=기준정보!$C$9),기준정보!$C$8-1,IF(AND(ISNUMBER(SEARCH("인도네시아",$U189)),$J189-기준정보!$C$5&gt;=기준정보!$C$10,$J189-기준정보!$C$5&lt;=기준정보!$C$11),기준정보!$C$10-1,$J189-기준정보!$C$5)))</f>
        <v/>
      </c>
      <c r="L189" s="23">
        <f>IF($K189="","",IF(ISNUMBER(SEARCH("미얀마",$U189)),MAX(0,MIN($K189,기준정보!$C$9)-MAX($K189-기준정보!$C$6,기준정보!$C$8)+1),IF(ISNUMBER(SEARCH("인도네시아",$U189)),MAX(0,MIN($K189,기준정보!$C$11)-MAX($K189-기준정보!$C$6,기준정보!$C$10)+1),0)))</f>
        <v/>
      </c>
      <c r="M189" s="22">
        <f>IF($K189="","",$K189-기준정보!$C$6-$L189)</f>
        <v/>
      </c>
      <c r="N189" s="24">
        <f>IF($M189="","",$M189-기준정보!$C$4)</f>
        <v/>
      </c>
      <c r="O189" s="21" t="n"/>
      <c r="P189" s="21" t="n"/>
      <c r="Q189" s="21" t="n"/>
      <c r="R189" s="25" t="n"/>
      <c r="S189" s="20">
        <f>IF($H189="","",IF($H189="C","본사(소재팀)",IF($H189="완","생산처","확인 필요")))</f>
        <v/>
      </c>
      <c r="T189" s="20" t="inlineStr">
        <is>
          <t>장안</t>
        </is>
      </c>
      <c r="U189" s="20" t="inlineStr">
        <is>
          <t>베트남</t>
        </is>
      </c>
      <c r="V189" s="20" t="n"/>
      <c r="W189" s="26" t="n"/>
      <c r="X189" s="26" t="n"/>
      <c r="Y189" s="22" t="n"/>
      <c r="Z189" s="27" t="n">
        <v>180</v>
      </c>
      <c r="AA189" s="27" t="n">
        <v>7560000</v>
      </c>
      <c r="AB189" s="27" t="n">
        <v>35640000</v>
      </c>
      <c r="AC189" s="20" t="n"/>
      <c r="AD189" s="20">
        <f>IF($J189="","출고일 미정",IF($P189="X","작지 미발행",IF($P189="부분","작지 일부 미발행",IF(AND($R189&lt;&gt;"",$R189&gt;$M189),"소재입고 마감("&amp;TEXT($M189,"MM/DD")&amp;") 초과",IF($P189="","발행여부 확인 필요",IF($R189="","소재 입고일정 확인 필요","정상"))))))</f>
        <v/>
      </c>
      <c r="AE189" s="19">
        <f>IF($J189="","",IF(OR(LEFT($AD189,2)="작지",LEFT($AD189,4)="소재입고"),IF(LEFT($G189,1)="A","★ 납기위험(A코드)","◆ 지연주의"),IF($AD189="정상","✓ 정상","? 확인필요")))</f>
        <v/>
      </c>
      <c r="AF189" s="21" t="n"/>
      <c r="AG189" s="28" t="n"/>
    </row>
    <row r="190">
      <c r="A190" s="19" t="n">
        <v>186</v>
      </c>
      <c r="B190" s="20" t="inlineStr">
        <is>
          <t>김준래</t>
        </is>
      </c>
      <c r="C190" s="20" t="inlineStr">
        <is>
          <t>강기환</t>
        </is>
      </c>
      <c r="D190" s="20" t="inlineStr">
        <is>
          <t>JKTBW27634</t>
        </is>
      </c>
      <c r="E190" s="20" t="inlineStr">
        <is>
          <t>여성 하이파일 긴팔 풀집업</t>
        </is>
      </c>
      <c r="F190" s="20" t="inlineStr">
        <is>
          <t>CO1/CO2</t>
        </is>
      </c>
      <c r="G190" s="19">
        <f>IF($D190="","",IF(MID($D190,5,1)="A","A(가을)",IF(MID($D190,5,1)="W","W(겨울)",IF(MID($D190,5,1)="X","X(사계절)",MID($D190,5,1)))))</f>
        <v/>
      </c>
      <c r="H190" s="19" t="inlineStr">
        <is>
          <t>완</t>
        </is>
      </c>
      <c r="I190" s="21" t="inlineStr">
        <is>
          <t>9월1주</t>
        </is>
      </c>
      <c r="J190" s="22">
        <f>IF($I190="","",IFERROR(DATE(기준정보!$C$7,VALUE(LEFT($I190,FIND("월",$I190)-1)),1+7*(VALUE(SUBSTITUTE(MID($I190,FIND("월",$I190)+1,5),"주",""))-1)),""))</f>
        <v/>
      </c>
      <c r="K190" s="22">
        <f>IF($J190="","",IF(AND(ISNUMBER(SEARCH("미얀마",$U190)),$J190-기준정보!$C$5&gt;=기준정보!$C$8,$J190-기준정보!$C$5&lt;=기준정보!$C$9),기준정보!$C$8-1,IF(AND(ISNUMBER(SEARCH("인도네시아",$U190)),$J190-기준정보!$C$5&gt;=기준정보!$C$10,$J190-기준정보!$C$5&lt;=기준정보!$C$11),기준정보!$C$10-1,$J190-기준정보!$C$5)))</f>
        <v/>
      </c>
      <c r="L190" s="23">
        <f>IF($K190="","",IF(ISNUMBER(SEARCH("미얀마",$U190)),MAX(0,MIN($K190,기준정보!$C$9)-MAX($K190-기준정보!$C$6,기준정보!$C$8)+1),IF(ISNUMBER(SEARCH("인도네시아",$U190)),MAX(0,MIN($K190,기준정보!$C$11)-MAX($K190-기준정보!$C$6,기준정보!$C$10)+1),0)))</f>
        <v/>
      </c>
      <c r="M190" s="22">
        <f>IF($K190="","",$K190-기준정보!$C$6-$L190)</f>
        <v/>
      </c>
      <c r="N190" s="24">
        <f>IF($M190="","",$M190-기준정보!$C$4)</f>
        <v/>
      </c>
      <c r="O190" s="21" t="n"/>
      <c r="P190" s="21" t="n"/>
      <c r="Q190" s="21" t="n"/>
      <c r="R190" s="25" t="n"/>
      <c r="S190" s="20">
        <f>IF($H190="","",IF($H190="C","본사(소재팀)",IF($H190="완","생산처","확인 필요")))</f>
        <v/>
      </c>
      <c r="T190" s="20" t="inlineStr">
        <is>
          <t>TEIJIN</t>
        </is>
      </c>
      <c r="U190" s="20" t="inlineStr">
        <is>
          <t>중국</t>
        </is>
      </c>
      <c r="V190" s="20" t="n"/>
      <c r="W190" s="26" t="n"/>
      <c r="X190" s="26" t="n"/>
      <c r="Y190" s="22" t="n"/>
      <c r="Z190" s="27" t="n">
        <v>600</v>
      </c>
      <c r="AA190" s="27" t="n">
        <v>41003400</v>
      </c>
      <c r="AB190" s="27" t="n">
        <v>192000000</v>
      </c>
      <c r="AC190" s="20" t="n"/>
      <c r="AD190" s="20">
        <f>IF($J190="","출고일 미정",IF($P190="X","작지 미발행",IF($P190="부분","작지 일부 미발행",IF(AND($R190&lt;&gt;"",$R190&gt;$M190),"소재입고 마감("&amp;TEXT($M190,"MM/DD")&amp;") 초과",IF($P190="","발행여부 확인 필요",IF($R190="","소재 입고일정 확인 필요","정상"))))))</f>
        <v/>
      </c>
      <c r="AE190" s="19">
        <f>IF($J190="","",IF(OR(LEFT($AD190,2)="작지",LEFT($AD190,4)="소재입고"),IF(LEFT($G190,1)="A","★ 납기위험(A코드)","◆ 지연주의"),IF($AD190="정상","✓ 정상","? 확인필요")))</f>
        <v/>
      </c>
      <c r="AF190" s="21" t="n"/>
      <c r="AG190" s="28" t="n"/>
    </row>
    <row r="191">
      <c r="A191" s="19" t="n">
        <v>187</v>
      </c>
      <c r="B191" s="20" t="inlineStr">
        <is>
          <t>이재헌</t>
        </is>
      </c>
      <c r="C191" s="20" t="inlineStr">
        <is>
          <t>나영길</t>
        </is>
      </c>
      <c r="D191" s="20" t="inlineStr">
        <is>
          <t>JKVAW27422</t>
        </is>
      </c>
      <c r="E191" s="20" t="inlineStr">
        <is>
          <t>여성 프리마로프트 골드 스탠드넥 경량 인슐레이션 베스트</t>
        </is>
      </c>
      <c r="F191" s="20" t="inlineStr">
        <is>
          <t>ABE/CHR/DEB</t>
        </is>
      </c>
      <c r="G191" s="19">
        <f>IF($D191="","",IF(MID($D191,5,1)="A","A(가을)",IF(MID($D191,5,1)="W","W(겨울)",IF(MID($D191,5,1)="X","X(사계절)",MID($D191,5,1)))))</f>
        <v/>
      </c>
      <c r="H191" s="19" t="n"/>
      <c r="I191" s="21" t="inlineStr">
        <is>
          <t>9월1주</t>
        </is>
      </c>
      <c r="J191" s="22">
        <f>IF($I191="","",IFERROR(DATE(기준정보!$C$7,VALUE(LEFT($I191,FIND("월",$I191)-1)),1+7*(VALUE(SUBSTITUTE(MID($I191,FIND("월",$I191)+1,5),"주",""))-1)),""))</f>
        <v/>
      </c>
      <c r="K191" s="22">
        <f>IF($J191="","",IF(AND(ISNUMBER(SEARCH("미얀마",$U191)),$J191-기준정보!$C$5&gt;=기준정보!$C$8,$J191-기준정보!$C$5&lt;=기준정보!$C$9),기준정보!$C$8-1,IF(AND(ISNUMBER(SEARCH("인도네시아",$U191)),$J191-기준정보!$C$5&gt;=기준정보!$C$10,$J191-기준정보!$C$5&lt;=기준정보!$C$11),기준정보!$C$10-1,$J191-기준정보!$C$5)))</f>
        <v/>
      </c>
      <c r="L191" s="23">
        <f>IF($K191="","",IF(ISNUMBER(SEARCH("미얀마",$U191)),MAX(0,MIN($K191,기준정보!$C$9)-MAX($K191-기준정보!$C$6,기준정보!$C$8)+1),IF(ISNUMBER(SEARCH("인도네시아",$U191)),MAX(0,MIN($K191,기준정보!$C$11)-MAX($K191-기준정보!$C$6,기준정보!$C$10)+1),0)))</f>
        <v/>
      </c>
      <c r="M191" s="22">
        <f>IF($K191="","",$K191-기준정보!$C$6-$L191)</f>
        <v/>
      </c>
      <c r="N191" s="24">
        <f>IF($M191="","",$M191-기준정보!$C$4)</f>
        <v/>
      </c>
      <c r="O191" s="21" t="n"/>
      <c r="P191" s="21" t="n"/>
      <c r="Q191" s="21" t="n"/>
      <c r="R191" s="25" t="n"/>
      <c r="S191" s="20">
        <f>IF($H191="","",IF($H191="C","본사(소재팀)",IF($H191="완","생산처","확인 필요")))</f>
        <v/>
      </c>
      <c r="T191" s="20" t="inlineStr">
        <is>
          <t>아이블</t>
        </is>
      </c>
      <c r="U191" s="20" t="inlineStr">
        <is>
          <t>베트남</t>
        </is>
      </c>
      <c r="V191" s="20" t="n"/>
      <c r="W191" s="26" t="n"/>
      <c r="X191" s="26" t="n"/>
      <c r="Y191" s="22" t="n"/>
      <c r="Z191" s="27" t="n">
        <v>300</v>
      </c>
      <c r="AA191" s="27" t="n">
        <v>34701300</v>
      </c>
      <c r="AB191" s="27" t="n">
        <v>87000000</v>
      </c>
      <c r="AC191" s="20" t="n"/>
      <c r="AD191" s="20">
        <f>IF($J191="","출고일 미정",IF($P191="X","작지 미발행",IF($P191="부분","작지 일부 미발행",IF(AND($R191&lt;&gt;"",$R191&gt;$M191),"소재입고 마감("&amp;TEXT($M191,"MM/DD")&amp;") 초과",IF($P191="","발행여부 확인 필요",IF($R191="","소재 입고일정 확인 필요","정상"))))))</f>
        <v/>
      </c>
      <c r="AE191" s="19">
        <f>IF($J191="","",IF(OR(LEFT($AD191,2)="작지",LEFT($AD191,4)="소재입고"),IF(LEFT($G191,1)="A","★ 납기위험(A코드)","◆ 지연주의"),IF($AD191="정상","✓ 정상","? 확인필요")))</f>
        <v/>
      </c>
      <c r="AF191" s="21" t="n"/>
      <c r="AG191" s="28" t="n"/>
    </row>
    <row r="192">
      <c r="A192" s="19" t="n">
        <v>188</v>
      </c>
      <c r="B192" s="20" t="inlineStr">
        <is>
          <t>김준래</t>
        </is>
      </c>
      <c r="C192" s="20" t="inlineStr">
        <is>
          <t>강기환</t>
        </is>
      </c>
      <c r="D192" s="20" t="inlineStr">
        <is>
          <t>JNTBW27634</t>
        </is>
      </c>
      <c r="E192" s="20" t="inlineStr">
        <is>
          <t>남녀공용 하이파일 긴팔 집업 후드티</t>
        </is>
      </c>
      <c r="F192" s="20" t="inlineStr">
        <is>
          <t>CO1/CO2</t>
        </is>
      </c>
      <c r="G192" s="19">
        <f>IF($D192="","",IF(MID($D192,5,1)="A","A(가을)",IF(MID($D192,5,1)="W","W(겨울)",IF(MID($D192,5,1)="X","X(사계절)",MID($D192,5,1)))))</f>
        <v/>
      </c>
      <c r="H192" s="19" t="inlineStr">
        <is>
          <t>완</t>
        </is>
      </c>
      <c r="I192" s="21" t="inlineStr">
        <is>
          <t>9월1주</t>
        </is>
      </c>
      <c r="J192" s="22">
        <f>IF($I192="","",IFERROR(DATE(기준정보!$C$7,VALUE(LEFT($I192,FIND("월",$I192)-1)),1+7*(VALUE(SUBSTITUTE(MID($I192,FIND("월",$I192)+1,5),"주",""))-1)),""))</f>
        <v/>
      </c>
      <c r="K192" s="22">
        <f>IF($J192="","",IF(AND(ISNUMBER(SEARCH("미얀마",$U192)),$J192-기준정보!$C$5&gt;=기준정보!$C$8,$J192-기준정보!$C$5&lt;=기준정보!$C$9),기준정보!$C$8-1,IF(AND(ISNUMBER(SEARCH("인도네시아",$U192)),$J192-기준정보!$C$5&gt;=기준정보!$C$10,$J192-기준정보!$C$5&lt;=기준정보!$C$11),기준정보!$C$10-1,$J192-기준정보!$C$5)))</f>
        <v/>
      </c>
      <c r="L192" s="23">
        <f>IF($K192="","",IF(ISNUMBER(SEARCH("미얀마",$U192)),MAX(0,MIN($K192,기준정보!$C$9)-MAX($K192-기준정보!$C$6,기준정보!$C$8)+1),IF(ISNUMBER(SEARCH("인도네시아",$U192)),MAX(0,MIN($K192,기준정보!$C$11)-MAX($K192-기준정보!$C$6,기준정보!$C$10)+1),0)))</f>
        <v/>
      </c>
      <c r="M192" s="22">
        <f>IF($K192="","",$K192-기준정보!$C$6-$L192)</f>
        <v/>
      </c>
      <c r="N192" s="24">
        <f>IF($M192="","",$M192-기준정보!$C$4)</f>
        <v/>
      </c>
      <c r="O192" s="21" t="n"/>
      <c r="P192" s="21" t="n"/>
      <c r="Q192" s="21" t="n"/>
      <c r="R192" s="25" t="n"/>
      <c r="S192" s="20">
        <f>IF($H192="","",IF($H192="C","본사(소재팀)",IF($H192="완","생산처","확인 필요")))</f>
        <v/>
      </c>
      <c r="T192" s="20" t="inlineStr">
        <is>
          <t>TEIJIN</t>
        </is>
      </c>
      <c r="U192" s="20" t="inlineStr">
        <is>
          <t>중국</t>
        </is>
      </c>
      <c r="V192" s="20" t="n"/>
      <c r="W192" s="26" t="n"/>
      <c r="X192" s="26" t="n"/>
      <c r="Y192" s="22" t="n"/>
      <c r="Z192" s="27" t="n">
        <v>600</v>
      </c>
      <c r="AA192" s="27" t="n">
        <v>49572600</v>
      </c>
      <c r="AB192" s="27" t="n">
        <v>192000000</v>
      </c>
      <c r="AC192" s="20" t="n"/>
      <c r="AD192" s="20">
        <f>IF($J192="","출고일 미정",IF($P192="X","작지 미발행",IF($P192="부분","작지 일부 미발행",IF(AND($R192&lt;&gt;"",$R192&gt;$M192),"소재입고 마감("&amp;TEXT($M192,"MM/DD")&amp;") 초과",IF($P192="","발행여부 확인 필요",IF($R192="","소재 입고일정 확인 필요","정상"))))))</f>
        <v/>
      </c>
      <c r="AE192" s="19">
        <f>IF($J192="","",IF(OR(LEFT($AD192,2)="작지",LEFT($AD192,4)="소재입고"),IF(LEFT($G192,1)="A","★ 납기위험(A코드)","◆ 지연주의"),IF($AD192="정상","✓ 정상","? 확인필요")))</f>
        <v/>
      </c>
      <c r="AF192" s="21" t="n"/>
      <c r="AG192" s="28" t="n"/>
    </row>
    <row r="193">
      <c r="A193" s="19" t="n">
        <v>189</v>
      </c>
      <c r="B193" s="20" t="inlineStr">
        <is>
          <t>이재헌</t>
        </is>
      </c>
      <c r="C193" s="20" t="inlineStr">
        <is>
          <t>나영길</t>
        </is>
      </c>
      <c r="D193" s="20" t="inlineStr">
        <is>
          <t>JWJDW27451</t>
        </is>
      </c>
      <c r="E193" s="20" t="inlineStr">
        <is>
          <t>남성 경량 스탠드넥 다운 재킷</t>
        </is>
      </c>
      <c r="F193" s="20" t="inlineStr">
        <is>
          <t>CO1/CO2</t>
        </is>
      </c>
      <c r="G193" s="19">
        <f>IF($D193="","",IF(MID($D193,5,1)="A","A(가을)",IF(MID($D193,5,1)="W","W(겨울)",IF(MID($D193,5,1)="X","X(사계절)",MID($D193,5,1)))))</f>
        <v/>
      </c>
      <c r="H193" s="19" t="n"/>
      <c r="I193" s="21" t="inlineStr">
        <is>
          <t>9월1주</t>
        </is>
      </c>
      <c r="J193" s="22">
        <f>IF($I193="","",IFERROR(DATE(기준정보!$C$7,VALUE(LEFT($I193,FIND("월",$I193)-1)),1+7*(VALUE(SUBSTITUTE(MID($I193,FIND("월",$I193)+1,5),"주",""))-1)),""))</f>
        <v/>
      </c>
      <c r="K193" s="22">
        <f>IF($J193="","",IF(AND(ISNUMBER(SEARCH("미얀마",$U193)),$J193-기준정보!$C$5&gt;=기준정보!$C$8,$J193-기준정보!$C$5&lt;=기준정보!$C$9),기준정보!$C$8-1,IF(AND(ISNUMBER(SEARCH("인도네시아",$U193)),$J193-기준정보!$C$5&gt;=기준정보!$C$10,$J193-기준정보!$C$5&lt;=기준정보!$C$11),기준정보!$C$10-1,$J193-기준정보!$C$5)))</f>
        <v/>
      </c>
      <c r="L193" s="23">
        <f>IF($K193="","",IF(ISNUMBER(SEARCH("미얀마",$U193)),MAX(0,MIN($K193,기준정보!$C$9)-MAX($K193-기준정보!$C$6,기준정보!$C$8)+1),IF(ISNUMBER(SEARCH("인도네시아",$U193)),MAX(0,MIN($K193,기준정보!$C$11)-MAX($K193-기준정보!$C$6,기준정보!$C$10)+1),0)))</f>
        <v/>
      </c>
      <c r="M193" s="22">
        <f>IF($K193="","",$K193-기준정보!$C$6-$L193)</f>
        <v/>
      </c>
      <c r="N193" s="24">
        <f>IF($M193="","",$M193-기준정보!$C$4)</f>
        <v/>
      </c>
      <c r="O193" s="21" t="n"/>
      <c r="P193" s="21" t="n"/>
      <c r="Q193" s="21" t="n"/>
      <c r="R193" s="25" t="n"/>
      <c r="S193" s="20">
        <f>IF($H193="","",IF($H193="C","본사(소재팀)",IF($H193="완","생산처","확인 필요")))</f>
        <v/>
      </c>
      <c r="T193" s="20" t="inlineStr">
        <is>
          <t>원전</t>
        </is>
      </c>
      <c r="U193" s="20" t="inlineStr">
        <is>
          <t>인도네시아</t>
        </is>
      </c>
      <c r="V193" s="20" t="n"/>
      <c r="W193" s="26" t="n"/>
      <c r="X193" s="26" t="n"/>
      <c r="Y193" s="22" t="n"/>
      <c r="Z193" s="27" t="n">
        <v>800</v>
      </c>
      <c r="AA193" s="27" t="n">
        <v>80000000</v>
      </c>
      <c r="AB193" s="27" t="n">
        <v>360000000</v>
      </c>
      <c r="AC193" s="20" t="n"/>
      <c r="AD193" s="20">
        <f>IF($J193="","출고일 미정",IF($P193="X","작지 미발행",IF($P193="부분","작지 일부 미발행",IF(AND($R193&lt;&gt;"",$R193&gt;$M193),"소재입고 마감("&amp;TEXT($M193,"MM/DD")&amp;") 초과",IF($P193="","발행여부 확인 필요",IF($R193="","소재 입고일정 확인 필요","정상"))))))</f>
        <v/>
      </c>
      <c r="AE193" s="19">
        <f>IF($J193="","",IF(OR(LEFT($AD193,2)="작지",LEFT($AD193,4)="소재입고"),IF(LEFT($G193,1)="A","★ 납기위험(A코드)","◆ 지연주의"),IF($AD193="정상","✓ 정상","? 확인필요")))</f>
        <v/>
      </c>
      <c r="AF193" s="21" t="n"/>
      <c r="AG193" s="28" t="n"/>
    </row>
    <row r="194">
      <c r="A194" s="19" t="n">
        <v>190</v>
      </c>
      <c r="B194" s="20" t="inlineStr">
        <is>
          <t>이재헌</t>
        </is>
      </c>
      <c r="C194" s="20" t="inlineStr">
        <is>
          <t>나영길</t>
        </is>
      </c>
      <c r="D194" s="20" t="inlineStr">
        <is>
          <t>JWJJW27431</t>
        </is>
      </c>
      <c r="E194" s="20" t="inlineStr">
        <is>
          <t>남성 프리마로프트 골드 후디드 헤비 인슐레이션 재킷</t>
        </is>
      </c>
      <c r="F194" s="20" t="inlineStr">
        <is>
          <t>PEG/DEB</t>
        </is>
      </c>
      <c r="G194" s="19">
        <f>IF($D194="","",IF(MID($D194,5,1)="A","A(가을)",IF(MID($D194,5,1)="W","W(겨울)",IF(MID($D194,5,1)="X","X(사계절)",MID($D194,5,1)))))</f>
        <v/>
      </c>
      <c r="H194" s="19" t="n"/>
      <c r="I194" s="21" t="inlineStr">
        <is>
          <t>9월1주</t>
        </is>
      </c>
      <c r="J194" s="22">
        <f>IF($I194="","",IFERROR(DATE(기준정보!$C$7,VALUE(LEFT($I194,FIND("월",$I194)-1)),1+7*(VALUE(SUBSTITUTE(MID($I194,FIND("월",$I194)+1,5),"주",""))-1)),""))</f>
        <v/>
      </c>
      <c r="K194" s="22">
        <f>IF($J194="","",IF(AND(ISNUMBER(SEARCH("미얀마",$U194)),$J194-기준정보!$C$5&gt;=기준정보!$C$8,$J194-기준정보!$C$5&lt;=기준정보!$C$9),기준정보!$C$8-1,IF(AND(ISNUMBER(SEARCH("인도네시아",$U194)),$J194-기준정보!$C$5&gt;=기준정보!$C$10,$J194-기준정보!$C$5&lt;=기준정보!$C$11),기준정보!$C$10-1,$J194-기준정보!$C$5)))</f>
        <v/>
      </c>
      <c r="L194" s="23">
        <f>IF($K194="","",IF(ISNUMBER(SEARCH("미얀마",$U194)),MAX(0,MIN($K194,기준정보!$C$9)-MAX($K194-기준정보!$C$6,기준정보!$C$8)+1),IF(ISNUMBER(SEARCH("인도네시아",$U194)),MAX(0,MIN($K194,기준정보!$C$11)-MAX($K194-기준정보!$C$6,기준정보!$C$10)+1),0)))</f>
        <v/>
      </c>
      <c r="M194" s="22">
        <f>IF($K194="","",$K194-기준정보!$C$6-$L194)</f>
        <v/>
      </c>
      <c r="N194" s="24">
        <f>IF($M194="","",$M194-기준정보!$C$4)</f>
        <v/>
      </c>
      <c r="O194" s="21" t="n"/>
      <c r="P194" s="21" t="n"/>
      <c r="Q194" s="21" t="n"/>
      <c r="R194" s="25" t="n"/>
      <c r="S194" s="20">
        <f>IF($H194="","",IF($H194="C","본사(소재팀)",IF($H194="완","생산처","확인 필요")))</f>
        <v/>
      </c>
      <c r="T194" s="20" t="inlineStr">
        <is>
          <t>아이블</t>
        </is>
      </c>
      <c r="U194" s="20" t="inlineStr">
        <is>
          <t>베트남</t>
        </is>
      </c>
      <c r="V194" s="20" t="n"/>
      <c r="W194" s="26" t="n"/>
      <c r="X194" s="26" t="n"/>
      <c r="Y194" s="22" t="n"/>
      <c r="Z194" s="27" t="n">
        <v>500</v>
      </c>
      <c r="AA194" s="27" t="n">
        <v>47371000</v>
      </c>
      <c r="AB194" s="27" t="n">
        <v>225000000</v>
      </c>
      <c r="AC194" s="20" t="n"/>
      <c r="AD194" s="20">
        <f>IF($J194="","출고일 미정",IF($P194="X","작지 미발행",IF($P194="부분","작지 일부 미발행",IF(AND($R194&lt;&gt;"",$R194&gt;$M194),"소재입고 마감("&amp;TEXT($M194,"MM/DD")&amp;") 초과",IF($P194="","발행여부 확인 필요",IF($R194="","소재 입고일정 확인 필요","정상"))))))</f>
        <v/>
      </c>
      <c r="AE194" s="19">
        <f>IF($J194="","",IF(OR(LEFT($AD194,2)="작지",LEFT($AD194,4)="소재입고"),IF(LEFT($G194,1)="A","★ 납기위험(A코드)","◆ 지연주의"),IF($AD194="정상","✓ 정상","? 확인필요")))</f>
        <v/>
      </c>
      <c r="AF194" s="21" t="n"/>
      <c r="AG194" s="28" t="n"/>
    </row>
    <row r="195">
      <c r="A195" s="19" t="n">
        <v>191</v>
      </c>
      <c r="B195" s="20" t="inlineStr">
        <is>
          <t>박진아</t>
        </is>
      </c>
      <c r="C195" s="20" t="inlineStr">
        <is>
          <t>김지원</t>
        </is>
      </c>
      <c r="D195" s="20" t="inlineStr">
        <is>
          <t>JWPNW27407</t>
        </is>
      </c>
      <c r="E195" s="20" t="inlineStr">
        <is>
          <t>남성 기모 이중직 하이킹 팬츠</t>
        </is>
      </c>
      <c r="F195" s="20" t="inlineStr">
        <is>
          <t>SKA/CHR</t>
        </is>
      </c>
      <c r="G195" s="19">
        <f>IF($D195="","",IF(MID($D195,5,1)="A","A(가을)",IF(MID($D195,5,1)="W","W(겨울)",IF(MID($D195,5,1)="X","X(사계절)",MID($D195,5,1)))))</f>
        <v/>
      </c>
      <c r="H195" s="19" t="n"/>
      <c r="I195" s="21" t="inlineStr">
        <is>
          <t>9월1주</t>
        </is>
      </c>
      <c r="J195" s="22">
        <f>IF($I195="","",IFERROR(DATE(기준정보!$C$7,VALUE(LEFT($I195,FIND("월",$I195)-1)),1+7*(VALUE(SUBSTITUTE(MID($I195,FIND("월",$I195)+1,5),"주",""))-1)),""))</f>
        <v/>
      </c>
      <c r="K195" s="22">
        <f>IF($J195="","",IF(AND(ISNUMBER(SEARCH("미얀마",$U195)),$J195-기준정보!$C$5&gt;=기준정보!$C$8,$J195-기준정보!$C$5&lt;=기준정보!$C$9),기준정보!$C$8-1,IF(AND(ISNUMBER(SEARCH("인도네시아",$U195)),$J195-기준정보!$C$5&gt;=기준정보!$C$10,$J195-기준정보!$C$5&lt;=기준정보!$C$11),기준정보!$C$10-1,$J195-기준정보!$C$5)))</f>
        <v/>
      </c>
      <c r="L195" s="23">
        <f>IF($K195="","",IF(ISNUMBER(SEARCH("미얀마",$U195)),MAX(0,MIN($K195,기준정보!$C$9)-MAX($K195-기준정보!$C$6,기준정보!$C$8)+1),IF(ISNUMBER(SEARCH("인도네시아",$U195)),MAX(0,MIN($K195,기준정보!$C$11)-MAX($K195-기준정보!$C$6,기준정보!$C$10)+1),0)))</f>
        <v/>
      </c>
      <c r="M195" s="22">
        <f>IF($K195="","",$K195-기준정보!$C$6-$L195)</f>
        <v/>
      </c>
      <c r="N195" s="24">
        <f>IF($M195="","",$M195-기준정보!$C$4)</f>
        <v/>
      </c>
      <c r="O195" s="21" t="n"/>
      <c r="P195" s="21" t="n"/>
      <c r="Q195" s="21" t="n"/>
      <c r="R195" s="25" t="n"/>
      <c r="S195" s="20">
        <f>IF($H195="","",IF($H195="C","본사(소재팀)",IF($H195="완","생산처","확인 필요")))</f>
        <v/>
      </c>
      <c r="T195" s="20" t="inlineStr">
        <is>
          <t>거림</t>
        </is>
      </c>
      <c r="U195" s="20" t="inlineStr">
        <is>
          <t>베트남</t>
        </is>
      </c>
      <c r="V195" s="20" t="n"/>
      <c r="W195" s="26" t="n"/>
      <c r="X195" s="26" t="n"/>
      <c r="Y195" s="22" t="n"/>
      <c r="Z195" s="27" t="n">
        <v>800</v>
      </c>
      <c r="AA195" s="27" t="n">
        <v>53747200</v>
      </c>
      <c r="AB195" s="27" t="n">
        <v>176000000</v>
      </c>
      <c r="AC195" s="20" t="n"/>
      <c r="AD195" s="20">
        <f>IF($J195="","출고일 미정",IF($P195="X","작지 미발행",IF($P195="부분","작지 일부 미발행",IF(AND($R195&lt;&gt;"",$R195&gt;$M195),"소재입고 마감("&amp;TEXT($M195,"MM/DD")&amp;") 초과",IF($P195="","발행여부 확인 필요",IF($R195="","소재 입고일정 확인 필요","정상"))))))</f>
        <v/>
      </c>
      <c r="AE195" s="19">
        <f>IF($J195="","",IF(OR(LEFT($AD195,2)="작지",LEFT($AD195,4)="소재입고"),IF(LEFT($G195,1)="A","★ 납기위험(A코드)","◆ 지연주의"),IF($AD195="정상","✓ 정상","? 확인필요")))</f>
        <v/>
      </c>
      <c r="AF195" s="21" t="n"/>
      <c r="AG195" s="28" t="n"/>
    </row>
    <row r="196">
      <c r="A196" s="19" t="n">
        <v>192</v>
      </c>
      <c r="B196" s="20" t="inlineStr">
        <is>
          <t>김준래</t>
        </is>
      </c>
      <c r="C196" s="20" t="inlineStr">
        <is>
          <t>강기환</t>
        </is>
      </c>
      <c r="D196" s="20" t="inlineStr">
        <is>
          <t>JWPNW27631</t>
        </is>
      </c>
      <c r="E196" s="20" t="inlineStr">
        <is>
          <t>남성 소프트쉘 팬츠</t>
        </is>
      </c>
      <c r="F196" s="20" t="inlineStr">
        <is>
          <t>CHR/RBW/DEB</t>
        </is>
      </c>
      <c r="G196" s="19">
        <f>IF($D196="","",IF(MID($D196,5,1)="A","A(가을)",IF(MID($D196,5,1)="W","W(겨울)",IF(MID($D196,5,1)="X","X(사계절)",MID($D196,5,1)))))</f>
        <v/>
      </c>
      <c r="H196" s="19" t="inlineStr">
        <is>
          <t>완</t>
        </is>
      </c>
      <c r="I196" s="21" t="inlineStr">
        <is>
          <t>9월1주</t>
        </is>
      </c>
      <c r="J196" s="22">
        <f>IF($I196="","",IFERROR(DATE(기준정보!$C$7,VALUE(LEFT($I196,FIND("월",$I196)-1)),1+7*(VALUE(SUBSTITUTE(MID($I196,FIND("월",$I196)+1,5),"주",""))-1)),""))</f>
        <v/>
      </c>
      <c r="K196" s="22">
        <f>IF($J196="","",IF(AND(ISNUMBER(SEARCH("미얀마",$U196)),$J196-기준정보!$C$5&gt;=기준정보!$C$8,$J196-기준정보!$C$5&lt;=기준정보!$C$9),기준정보!$C$8-1,IF(AND(ISNUMBER(SEARCH("인도네시아",$U196)),$J196-기준정보!$C$5&gt;=기준정보!$C$10,$J196-기준정보!$C$5&lt;=기준정보!$C$11),기준정보!$C$10-1,$J196-기준정보!$C$5)))</f>
        <v/>
      </c>
      <c r="L196" s="23">
        <f>IF($K196="","",IF(ISNUMBER(SEARCH("미얀마",$U196)),MAX(0,MIN($K196,기준정보!$C$9)-MAX($K196-기준정보!$C$6,기준정보!$C$8)+1),IF(ISNUMBER(SEARCH("인도네시아",$U196)),MAX(0,MIN($K196,기준정보!$C$11)-MAX($K196-기준정보!$C$6,기준정보!$C$10)+1),0)))</f>
        <v/>
      </c>
      <c r="M196" s="22">
        <f>IF($K196="","",$K196-기준정보!$C$6-$L196)</f>
        <v/>
      </c>
      <c r="N196" s="24">
        <f>IF($M196="","",$M196-기준정보!$C$4)</f>
        <v/>
      </c>
      <c r="O196" s="21" t="n"/>
      <c r="P196" s="21" t="n"/>
      <c r="Q196" s="21" t="n"/>
      <c r="R196" s="25" t="n"/>
      <c r="S196" s="20">
        <f>IF($H196="","",IF($H196="C","본사(소재팀)",IF($H196="완","생산처","확인 필요")))</f>
        <v/>
      </c>
      <c r="T196" s="20" t="inlineStr">
        <is>
          <t>YIC</t>
        </is>
      </c>
      <c r="U196" s="20" t="inlineStr">
        <is>
          <t>베트남</t>
        </is>
      </c>
      <c r="V196" s="20" t="n"/>
      <c r="W196" s="26" t="n"/>
      <c r="X196" s="26" t="n"/>
      <c r="Y196" s="22" t="n"/>
      <c r="Z196" s="27" t="n">
        <v>800</v>
      </c>
      <c r="AA196" s="27" t="n">
        <v>64130400</v>
      </c>
      <c r="AB196" s="27" t="n">
        <v>232000000</v>
      </c>
      <c r="AC196" s="20" t="n"/>
      <c r="AD196" s="20">
        <f>IF($J196="","출고일 미정",IF($P196="X","작지 미발행",IF($P196="부분","작지 일부 미발행",IF(AND($R196&lt;&gt;"",$R196&gt;$M196),"소재입고 마감("&amp;TEXT($M196,"MM/DD")&amp;") 초과",IF($P196="","발행여부 확인 필요",IF($R196="","소재 입고일정 확인 필요","정상"))))))</f>
        <v/>
      </c>
      <c r="AE196" s="19">
        <f>IF($J196="","",IF(OR(LEFT($AD196,2)="작지",LEFT($AD196,4)="소재입고"),IF(LEFT($G196,1)="A","★ 납기위험(A코드)","◆ 지연주의"),IF($AD196="정상","✓ 정상","? 확인필요")))</f>
        <v/>
      </c>
      <c r="AF196" s="21" t="n"/>
      <c r="AG196" s="28" t="n"/>
    </row>
    <row r="197">
      <c r="A197" s="19" t="n">
        <v>193</v>
      </c>
      <c r="B197" s="20" t="inlineStr">
        <is>
          <t>김준래</t>
        </is>
      </c>
      <c r="C197" s="20" t="inlineStr">
        <is>
          <t>엄창용</t>
        </is>
      </c>
      <c r="D197" s="20" t="inlineStr">
        <is>
          <t>JWPNW27643</t>
        </is>
      </c>
      <c r="E197" s="20" t="inlineStr">
        <is>
          <t>남성 파라슈트 팬츠</t>
        </is>
      </c>
      <c r="F197" s="20" t="inlineStr">
        <is>
          <t>CO1/CO2</t>
        </is>
      </c>
      <c r="G197" s="19">
        <f>IF($D197="","",IF(MID($D197,5,1)="A","A(가을)",IF(MID($D197,5,1)="W","W(겨울)",IF(MID($D197,5,1)="X","X(사계절)",MID($D197,5,1)))))</f>
        <v/>
      </c>
      <c r="H197" s="19" t="inlineStr">
        <is>
          <t>완</t>
        </is>
      </c>
      <c r="I197" s="21" t="inlineStr">
        <is>
          <t>9월1주</t>
        </is>
      </c>
      <c r="J197" s="22">
        <f>IF($I197="","",IFERROR(DATE(기준정보!$C$7,VALUE(LEFT($I197,FIND("월",$I197)-1)),1+7*(VALUE(SUBSTITUTE(MID($I197,FIND("월",$I197)+1,5),"주",""))-1)),""))</f>
        <v/>
      </c>
      <c r="K197" s="22">
        <f>IF($J197="","",IF(AND(ISNUMBER(SEARCH("미얀마",$U197)),$J197-기준정보!$C$5&gt;=기준정보!$C$8,$J197-기준정보!$C$5&lt;=기준정보!$C$9),기준정보!$C$8-1,IF(AND(ISNUMBER(SEARCH("인도네시아",$U197)),$J197-기준정보!$C$5&gt;=기준정보!$C$10,$J197-기준정보!$C$5&lt;=기준정보!$C$11),기준정보!$C$10-1,$J197-기준정보!$C$5)))</f>
        <v/>
      </c>
      <c r="L197" s="23">
        <f>IF($K197="","",IF(ISNUMBER(SEARCH("미얀마",$U197)),MAX(0,MIN($K197,기준정보!$C$9)-MAX($K197-기준정보!$C$6,기준정보!$C$8)+1),IF(ISNUMBER(SEARCH("인도네시아",$U197)),MAX(0,MIN($K197,기준정보!$C$11)-MAX($K197-기준정보!$C$6,기준정보!$C$10)+1),0)))</f>
        <v/>
      </c>
      <c r="M197" s="22">
        <f>IF($K197="","",$K197-기준정보!$C$6-$L197)</f>
        <v/>
      </c>
      <c r="N197" s="24">
        <f>IF($M197="","",$M197-기준정보!$C$4)</f>
        <v/>
      </c>
      <c r="O197" s="21" t="n"/>
      <c r="P197" s="21" t="n"/>
      <c r="Q197" s="21" t="n"/>
      <c r="R197" s="25" t="n"/>
      <c r="S197" s="20">
        <f>IF($H197="","",IF($H197="C","본사(소재팀)",IF($H197="완","생산처","확인 필요")))</f>
        <v/>
      </c>
      <c r="T197" s="20" t="inlineStr">
        <is>
          <t>거림</t>
        </is>
      </c>
      <c r="U197" s="20" t="inlineStr">
        <is>
          <t>베트남</t>
        </is>
      </c>
      <c r="V197" s="20" t="n"/>
      <c r="W197" s="26" t="n"/>
      <c r="X197" s="26" t="n"/>
      <c r="Y197" s="22" t="n"/>
      <c r="Z197" s="27" t="n">
        <v>400</v>
      </c>
      <c r="AA197" s="27" t="n">
        <v>19220800</v>
      </c>
      <c r="AB197" s="27" t="n">
        <v>88000000</v>
      </c>
      <c r="AC197" s="20" t="n"/>
      <c r="AD197" s="20">
        <f>IF($J197="","출고일 미정",IF($P197="X","작지 미발행",IF($P197="부분","작지 일부 미발행",IF(AND($R197&lt;&gt;"",$R197&gt;$M197),"소재입고 마감("&amp;TEXT($M197,"MM/DD")&amp;") 초과",IF($P197="","발행여부 확인 필요",IF($R197="","소재 입고일정 확인 필요","정상"))))))</f>
        <v/>
      </c>
      <c r="AE197" s="19">
        <f>IF($J197="","",IF(OR(LEFT($AD197,2)="작지",LEFT($AD197,4)="소재입고"),IF(LEFT($G197,1)="A","★ 납기위험(A코드)","◆ 지연주의"),IF($AD197="정상","✓ 정상","? 확인필요")))</f>
        <v/>
      </c>
      <c r="AF197" s="21" t="n"/>
      <c r="AG197" s="28" t="n"/>
    </row>
    <row r="198">
      <c r="A198" s="19" t="n">
        <v>194</v>
      </c>
      <c r="B198" s="20" t="inlineStr">
        <is>
          <t>박진아</t>
        </is>
      </c>
      <c r="C198" s="20" t="inlineStr">
        <is>
          <t>김지원</t>
        </is>
      </c>
      <c r="D198" s="20" t="inlineStr">
        <is>
          <t>JWTBW27405</t>
        </is>
      </c>
      <c r="E198" s="20" t="inlineStr">
        <is>
          <t>남성 파워그리드 라운드티</t>
        </is>
      </c>
      <c r="F198" s="20" t="inlineStr">
        <is>
          <t>ABE/ASB</t>
        </is>
      </c>
      <c r="G198" s="19">
        <f>IF($D198="","",IF(MID($D198,5,1)="A","A(가을)",IF(MID($D198,5,1)="W","W(겨울)",IF(MID($D198,5,1)="X","X(사계절)",MID($D198,5,1)))))</f>
        <v/>
      </c>
      <c r="H198" s="19" t="n"/>
      <c r="I198" s="21" t="inlineStr">
        <is>
          <t>9월1주</t>
        </is>
      </c>
      <c r="J198" s="22">
        <f>IF($I198="","",IFERROR(DATE(기준정보!$C$7,VALUE(LEFT($I198,FIND("월",$I198)-1)),1+7*(VALUE(SUBSTITUTE(MID($I198,FIND("월",$I198)+1,5),"주",""))-1)),""))</f>
        <v/>
      </c>
      <c r="K198" s="22">
        <f>IF($J198="","",IF(AND(ISNUMBER(SEARCH("미얀마",$U198)),$J198-기준정보!$C$5&gt;=기준정보!$C$8,$J198-기준정보!$C$5&lt;=기준정보!$C$9),기준정보!$C$8-1,IF(AND(ISNUMBER(SEARCH("인도네시아",$U198)),$J198-기준정보!$C$5&gt;=기준정보!$C$10,$J198-기준정보!$C$5&lt;=기준정보!$C$11),기준정보!$C$10-1,$J198-기준정보!$C$5)))</f>
        <v/>
      </c>
      <c r="L198" s="23">
        <f>IF($K198="","",IF(ISNUMBER(SEARCH("미얀마",$U198)),MAX(0,MIN($K198,기준정보!$C$9)-MAX($K198-기준정보!$C$6,기준정보!$C$8)+1),IF(ISNUMBER(SEARCH("인도네시아",$U198)),MAX(0,MIN($K198,기준정보!$C$11)-MAX($K198-기준정보!$C$6,기준정보!$C$10)+1),0)))</f>
        <v/>
      </c>
      <c r="M198" s="22">
        <f>IF($K198="","",$K198-기준정보!$C$6-$L198)</f>
        <v/>
      </c>
      <c r="N198" s="24">
        <f>IF($M198="","",$M198-기준정보!$C$4)</f>
        <v/>
      </c>
      <c r="O198" s="21" t="n"/>
      <c r="P198" s="21" t="n"/>
      <c r="Q198" s="21" t="n"/>
      <c r="R198" s="25" t="n"/>
      <c r="S198" s="20">
        <f>IF($H198="","",IF($H198="C","본사(소재팀)",IF($H198="완","생산처","확인 필요")))</f>
        <v/>
      </c>
      <c r="T198" s="20" t="inlineStr">
        <is>
          <t>장안</t>
        </is>
      </c>
      <c r="U198" s="20" t="inlineStr">
        <is>
          <t>베트남</t>
        </is>
      </c>
      <c r="V198" s="20" t="n"/>
      <c r="W198" s="26" t="n"/>
      <c r="X198" s="26" t="n"/>
      <c r="Y198" s="22" t="n"/>
      <c r="Z198" s="27" t="n">
        <v>600</v>
      </c>
      <c r="AA198" s="27" t="n">
        <v>28809600</v>
      </c>
      <c r="AB198" s="27" t="n">
        <v>82800000</v>
      </c>
      <c r="AC198" s="20" t="n"/>
      <c r="AD198" s="20">
        <f>IF($J198="","출고일 미정",IF($P198="X","작지 미발행",IF($P198="부분","작지 일부 미발행",IF(AND($R198&lt;&gt;"",$R198&gt;$M198),"소재입고 마감("&amp;TEXT($M198,"MM/DD")&amp;") 초과",IF($P198="","발행여부 확인 필요",IF($R198="","소재 입고일정 확인 필요","정상"))))))</f>
        <v/>
      </c>
      <c r="AE198" s="19">
        <f>IF($J198="","",IF(OR(LEFT($AD198,2)="작지",LEFT($AD198,4)="소재입고"),IF(LEFT($G198,1)="A","★ 납기위험(A코드)","◆ 지연주의"),IF($AD198="정상","✓ 정상","? 확인필요")))</f>
        <v/>
      </c>
      <c r="AF198" s="21" t="n"/>
      <c r="AG198" s="28" t="n"/>
    </row>
    <row r="199">
      <c r="A199" s="19" t="n">
        <v>195</v>
      </c>
      <c r="B199" s="20" t="inlineStr">
        <is>
          <t>박진아</t>
        </is>
      </c>
      <c r="C199" s="20" t="inlineStr">
        <is>
          <t>김지원</t>
        </is>
      </c>
      <c r="D199" s="20" t="inlineStr">
        <is>
          <t>JWTBW27407</t>
        </is>
      </c>
      <c r="E199" s="20" t="inlineStr">
        <is>
          <t>남성 파워 스트레치 집업티</t>
        </is>
      </c>
      <c r="F199" s="20" t="inlineStr">
        <is>
          <t>DOE/CHR</t>
        </is>
      </c>
      <c r="G199" s="19">
        <f>IF($D199="","",IF(MID($D199,5,1)="A","A(가을)",IF(MID($D199,5,1)="W","W(겨울)",IF(MID($D199,5,1)="X","X(사계절)",MID($D199,5,1)))))</f>
        <v/>
      </c>
      <c r="H199" s="19" t="n"/>
      <c r="I199" s="21" t="inlineStr">
        <is>
          <t>9월1주</t>
        </is>
      </c>
      <c r="J199" s="22">
        <f>IF($I199="","",IFERROR(DATE(기준정보!$C$7,VALUE(LEFT($I199,FIND("월",$I199)-1)),1+7*(VALUE(SUBSTITUTE(MID($I199,FIND("월",$I199)+1,5),"주",""))-1)),""))</f>
        <v/>
      </c>
      <c r="K199" s="22">
        <f>IF($J199="","",IF(AND(ISNUMBER(SEARCH("미얀마",$U199)),$J199-기준정보!$C$5&gt;=기준정보!$C$8,$J199-기준정보!$C$5&lt;=기준정보!$C$9),기준정보!$C$8-1,IF(AND(ISNUMBER(SEARCH("인도네시아",$U199)),$J199-기준정보!$C$5&gt;=기준정보!$C$10,$J199-기준정보!$C$5&lt;=기준정보!$C$11),기준정보!$C$10-1,$J199-기준정보!$C$5)))</f>
        <v/>
      </c>
      <c r="L199" s="23">
        <f>IF($K199="","",IF(ISNUMBER(SEARCH("미얀마",$U199)),MAX(0,MIN($K199,기준정보!$C$9)-MAX($K199-기준정보!$C$6,기준정보!$C$8)+1),IF(ISNUMBER(SEARCH("인도네시아",$U199)),MAX(0,MIN($K199,기준정보!$C$11)-MAX($K199-기준정보!$C$6,기준정보!$C$10)+1),0)))</f>
        <v/>
      </c>
      <c r="M199" s="22">
        <f>IF($K199="","",$K199-기준정보!$C$6-$L199)</f>
        <v/>
      </c>
      <c r="N199" s="24">
        <f>IF($M199="","",$M199-기준정보!$C$4)</f>
        <v/>
      </c>
      <c r="O199" s="21" t="n"/>
      <c r="P199" s="21" t="n"/>
      <c r="Q199" s="21" t="n"/>
      <c r="R199" s="25" t="n"/>
      <c r="S199" s="20">
        <f>IF($H199="","",IF($H199="C","본사(소재팀)",IF($H199="완","생산처","확인 필요")))</f>
        <v/>
      </c>
      <c r="T199" s="20" t="inlineStr">
        <is>
          <t>장안</t>
        </is>
      </c>
      <c r="U199" s="20" t="inlineStr">
        <is>
          <t>베트남</t>
        </is>
      </c>
      <c r="V199" s="20" t="n"/>
      <c r="W199" s="26" t="n"/>
      <c r="X199" s="26" t="n"/>
      <c r="Y199" s="22" t="n"/>
      <c r="Z199" s="27" t="n">
        <v>1300</v>
      </c>
      <c r="AA199" s="27" t="n">
        <v>88138700</v>
      </c>
      <c r="AB199" s="27" t="n">
        <v>205400000</v>
      </c>
      <c r="AC199" s="20" t="n"/>
      <c r="AD199" s="20">
        <f>IF($J199="","출고일 미정",IF($P199="X","작지 미발행",IF($P199="부분","작지 일부 미발행",IF(AND($R199&lt;&gt;"",$R199&gt;$M199),"소재입고 마감("&amp;TEXT($M199,"MM/DD")&amp;") 초과",IF($P199="","발행여부 확인 필요",IF($R199="","소재 입고일정 확인 필요","정상"))))))</f>
        <v/>
      </c>
      <c r="AE199" s="19">
        <f>IF($J199="","",IF(OR(LEFT($AD199,2)="작지",LEFT($AD199,4)="소재입고"),IF(LEFT($G199,1)="A","★ 납기위험(A코드)","◆ 지연주의"),IF($AD199="정상","✓ 정상","? 확인필요")))</f>
        <v/>
      </c>
      <c r="AF199" s="21" t="n"/>
      <c r="AG199" s="28" t="n"/>
    </row>
    <row r="200">
      <c r="A200" s="19" t="n">
        <v>196</v>
      </c>
      <c r="B200" s="20" t="inlineStr">
        <is>
          <t>김준래</t>
        </is>
      </c>
      <c r="C200" s="20" t="inlineStr">
        <is>
          <t>강기환</t>
        </is>
      </c>
      <c r="D200" s="20" t="inlineStr">
        <is>
          <t>JWTBW27631</t>
        </is>
      </c>
      <c r="E200" s="20" t="inlineStr">
        <is>
          <t>남성 하이파일 긴팔 폴로</t>
        </is>
      </c>
      <c r="F200" s="20" t="inlineStr">
        <is>
          <t>CO1/CO2/CO3/CO4</t>
        </is>
      </c>
      <c r="G200" s="19">
        <f>IF($D200="","",IF(MID($D200,5,1)="A","A(가을)",IF(MID($D200,5,1)="W","W(겨울)",IF(MID($D200,5,1)="X","X(사계절)",MID($D200,5,1)))))</f>
        <v/>
      </c>
      <c r="H200" s="19" t="inlineStr">
        <is>
          <t>완</t>
        </is>
      </c>
      <c r="I200" s="21" t="inlineStr">
        <is>
          <t>9월1주</t>
        </is>
      </c>
      <c r="J200" s="22">
        <f>IF($I200="","",IFERROR(DATE(기준정보!$C$7,VALUE(LEFT($I200,FIND("월",$I200)-1)),1+7*(VALUE(SUBSTITUTE(MID($I200,FIND("월",$I200)+1,5),"주",""))-1)),""))</f>
        <v/>
      </c>
      <c r="K200" s="22">
        <f>IF($J200="","",IF(AND(ISNUMBER(SEARCH("미얀마",$U200)),$J200-기준정보!$C$5&gt;=기준정보!$C$8,$J200-기준정보!$C$5&lt;=기준정보!$C$9),기준정보!$C$8-1,IF(AND(ISNUMBER(SEARCH("인도네시아",$U200)),$J200-기준정보!$C$5&gt;=기준정보!$C$10,$J200-기준정보!$C$5&lt;=기준정보!$C$11),기준정보!$C$10-1,$J200-기준정보!$C$5)))</f>
        <v/>
      </c>
      <c r="L200" s="23">
        <f>IF($K200="","",IF(ISNUMBER(SEARCH("미얀마",$U200)),MAX(0,MIN($K200,기준정보!$C$9)-MAX($K200-기준정보!$C$6,기준정보!$C$8)+1),IF(ISNUMBER(SEARCH("인도네시아",$U200)),MAX(0,MIN($K200,기준정보!$C$11)-MAX($K200-기준정보!$C$6,기준정보!$C$10)+1),0)))</f>
        <v/>
      </c>
      <c r="M200" s="22">
        <f>IF($K200="","",$K200-기준정보!$C$6-$L200)</f>
        <v/>
      </c>
      <c r="N200" s="24">
        <f>IF($M200="","",$M200-기준정보!$C$4)</f>
        <v/>
      </c>
      <c r="O200" s="21" t="n"/>
      <c r="P200" s="21" t="n"/>
      <c r="Q200" s="21" t="n"/>
      <c r="R200" s="25" t="n"/>
      <c r="S200" s="20">
        <f>IF($H200="","",IF($H200="C","본사(소재팀)",IF($H200="완","생산처","확인 필요")))</f>
        <v/>
      </c>
      <c r="T200" s="20" t="inlineStr">
        <is>
          <t>TEIJIN</t>
        </is>
      </c>
      <c r="U200" s="20" t="inlineStr">
        <is>
          <t>중국</t>
        </is>
      </c>
      <c r="V200" s="20" t="n"/>
      <c r="W200" s="26" t="n"/>
      <c r="X200" s="26" t="n"/>
      <c r="Y200" s="22" t="n"/>
      <c r="Z200" s="27" t="n">
        <v>600</v>
      </c>
      <c r="AA200" s="27" t="n">
        <v>41277000</v>
      </c>
      <c r="AB200" s="27" t="n">
        <v>174000000</v>
      </c>
      <c r="AC200" s="20" t="n"/>
      <c r="AD200" s="20">
        <f>IF($J200="","출고일 미정",IF($P200="X","작지 미발행",IF($P200="부분","작지 일부 미발행",IF(AND($R200&lt;&gt;"",$R200&gt;$M200),"소재입고 마감("&amp;TEXT($M200,"MM/DD")&amp;") 초과",IF($P200="","발행여부 확인 필요",IF($R200="","소재 입고일정 확인 필요","정상"))))))</f>
        <v/>
      </c>
      <c r="AE200" s="19">
        <f>IF($J200="","",IF(OR(LEFT($AD200,2)="작지",LEFT($AD200,4)="소재입고"),IF(LEFT($G200,1)="A","★ 납기위험(A코드)","◆ 지연주의"),IF($AD200="정상","✓ 정상","? 확인필요")))</f>
        <v/>
      </c>
      <c r="AF200" s="21" t="n"/>
      <c r="AG200" s="28" t="n"/>
    </row>
    <row r="201">
      <c r="A201" s="19" t="n">
        <v>197</v>
      </c>
      <c r="B201" s="20" t="inlineStr">
        <is>
          <t>김준래</t>
        </is>
      </c>
      <c r="C201" s="20" t="inlineStr">
        <is>
          <t>강기환</t>
        </is>
      </c>
      <c r="D201" s="20" t="inlineStr">
        <is>
          <t>JWTBW27633</t>
        </is>
      </c>
      <c r="E201" s="20" t="inlineStr">
        <is>
          <t>남성 하이파일 긴팔 라운드 니트</t>
        </is>
      </c>
      <c r="F201" s="20" t="inlineStr">
        <is>
          <t>CO1/CO2</t>
        </is>
      </c>
      <c r="G201" s="19">
        <f>IF($D201="","",IF(MID($D201,5,1)="A","A(가을)",IF(MID($D201,5,1)="W","W(겨울)",IF(MID($D201,5,1)="X","X(사계절)",MID($D201,5,1)))))</f>
        <v/>
      </c>
      <c r="H201" s="19" t="inlineStr">
        <is>
          <t>완</t>
        </is>
      </c>
      <c r="I201" s="21" t="inlineStr">
        <is>
          <t>9월1주</t>
        </is>
      </c>
      <c r="J201" s="22">
        <f>IF($I201="","",IFERROR(DATE(기준정보!$C$7,VALUE(LEFT($I201,FIND("월",$I201)-1)),1+7*(VALUE(SUBSTITUTE(MID($I201,FIND("월",$I201)+1,5),"주",""))-1)),""))</f>
        <v/>
      </c>
      <c r="K201" s="22">
        <f>IF($J201="","",IF(AND(ISNUMBER(SEARCH("미얀마",$U201)),$J201-기준정보!$C$5&gt;=기준정보!$C$8,$J201-기준정보!$C$5&lt;=기준정보!$C$9),기준정보!$C$8-1,IF(AND(ISNUMBER(SEARCH("인도네시아",$U201)),$J201-기준정보!$C$5&gt;=기준정보!$C$10,$J201-기준정보!$C$5&lt;=기준정보!$C$11),기준정보!$C$10-1,$J201-기준정보!$C$5)))</f>
        <v/>
      </c>
      <c r="L201" s="23">
        <f>IF($K201="","",IF(ISNUMBER(SEARCH("미얀마",$U201)),MAX(0,MIN($K201,기준정보!$C$9)-MAX($K201-기준정보!$C$6,기준정보!$C$8)+1),IF(ISNUMBER(SEARCH("인도네시아",$U201)),MAX(0,MIN($K201,기준정보!$C$11)-MAX($K201-기준정보!$C$6,기준정보!$C$10)+1),0)))</f>
        <v/>
      </c>
      <c r="M201" s="22">
        <f>IF($K201="","",$K201-기준정보!$C$6-$L201)</f>
        <v/>
      </c>
      <c r="N201" s="24">
        <f>IF($M201="","",$M201-기준정보!$C$4)</f>
        <v/>
      </c>
      <c r="O201" s="21" t="n"/>
      <c r="P201" s="21" t="n"/>
      <c r="Q201" s="21" t="n"/>
      <c r="R201" s="25" t="n"/>
      <c r="S201" s="20">
        <f>IF($H201="","",IF($H201="C","본사(소재팀)",IF($H201="완","생산처","확인 필요")))</f>
        <v/>
      </c>
      <c r="T201" s="20" t="inlineStr">
        <is>
          <t>TEIJIN</t>
        </is>
      </c>
      <c r="U201" s="20" t="inlineStr">
        <is>
          <t>중국</t>
        </is>
      </c>
      <c r="V201" s="20" t="n"/>
      <c r="W201" s="26" t="n"/>
      <c r="X201" s="26" t="n"/>
      <c r="Y201" s="22" t="n"/>
      <c r="Z201" s="27" t="n">
        <v>600</v>
      </c>
      <c r="AA201" s="27" t="n">
        <v>40450200</v>
      </c>
      <c r="AB201" s="27" t="n">
        <v>150000000</v>
      </c>
      <c r="AC201" s="20" t="n"/>
      <c r="AD201" s="20">
        <f>IF($J201="","출고일 미정",IF($P201="X","작지 미발행",IF($P201="부분","작지 일부 미발행",IF(AND($R201&lt;&gt;"",$R201&gt;$M201),"소재입고 마감("&amp;TEXT($M201,"MM/DD")&amp;") 초과",IF($P201="","발행여부 확인 필요",IF($R201="","소재 입고일정 확인 필요","정상"))))))</f>
        <v/>
      </c>
      <c r="AE201" s="19">
        <f>IF($J201="","",IF(OR(LEFT($AD201,2)="작지",LEFT($AD201,4)="소재입고"),IF(LEFT($G201,1)="A","★ 납기위험(A코드)","◆ 지연주의"),IF($AD201="정상","✓ 정상","? 확인필요")))</f>
        <v/>
      </c>
      <c r="AF201" s="21" t="n"/>
      <c r="AG201" s="28" t="n"/>
    </row>
    <row r="202">
      <c r="A202" s="19" t="n">
        <v>198</v>
      </c>
      <c r="B202" s="20" t="inlineStr">
        <is>
          <t>이재헌</t>
        </is>
      </c>
      <c r="C202" s="20" t="inlineStr">
        <is>
          <t>나영길</t>
        </is>
      </c>
      <c r="D202" s="20" t="inlineStr">
        <is>
          <t>JWVAW27421</t>
        </is>
      </c>
      <c r="E202" s="20" t="inlineStr">
        <is>
          <t>남성 프리마로프트 골드 스탠드넥 경량 인슐레이션 베스트</t>
        </is>
      </c>
      <c r="F202" s="20" t="inlineStr">
        <is>
          <t>CTP/CHR/DEB</t>
        </is>
      </c>
      <c r="G202" s="19">
        <f>IF($D202="","",IF(MID($D202,5,1)="A","A(가을)",IF(MID($D202,5,1)="W","W(겨울)",IF(MID($D202,5,1)="X","X(사계절)",MID($D202,5,1)))))</f>
        <v/>
      </c>
      <c r="H202" s="19" t="n"/>
      <c r="I202" s="21" t="inlineStr">
        <is>
          <t>9월1주</t>
        </is>
      </c>
      <c r="J202" s="22">
        <f>IF($I202="","",IFERROR(DATE(기준정보!$C$7,VALUE(LEFT($I202,FIND("월",$I202)-1)),1+7*(VALUE(SUBSTITUTE(MID($I202,FIND("월",$I202)+1,5),"주",""))-1)),""))</f>
        <v/>
      </c>
      <c r="K202" s="22">
        <f>IF($J202="","",IF(AND(ISNUMBER(SEARCH("미얀마",$U202)),$J202-기준정보!$C$5&gt;=기준정보!$C$8,$J202-기준정보!$C$5&lt;=기준정보!$C$9),기준정보!$C$8-1,IF(AND(ISNUMBER(SEARCH("인도네시아",$U202)),$J202-기준정보!$C$5&gt;=기준정보!$C$10,$J202-기준정보!$C$5&lt;=기준정보!$C$11),기준정보!$C$10-1,$J202-기준정보!$C$5)))</f>
        <v/>
      </c>
      <c r="L202" s="23">
        <f>IF($K202="","",IF(ISNUMBER(SEARCH("미얀마",$U202)),MAX(0,MIN($K202,기준정보!$C$9)-MAX($K202-기준정보!$C$6,기준정보!$C$8)+1),IF(ISNUMBER(SEARCH("인도네시아",$U202)),MAX(0,MIN($K202,기준정보!$C$11)-MAX($K202-기준정보!$C$6,기준정보!$C$10)+1),0)))</f>
        <v/>
      </c>
      <c r="M202" s="22">
        <f>IF($K202="","",$K202-기준정보!$C$6-$L202)</f>
        <v/>
      </c>
      <c r="N202" s="24">
        <f>IF($M202="","",$M202-기준정보!$C$4)</f>
        <v/>
      </c>
      <c r="O202" s="21" t="n"/>
      <c r="P202" s="21" t="n"/>
      <c r="Q202" s="21" t="n"/>
      <c r="R202" s="25" t="n"/>
      <c r="S202" s="20">
        <f>IF($H202="","",IF($H202="C","본사(소재팀)",IF($H202="완","생산처","확인 필요")))</f>
        <v/>
      </c>
      <c r="T202" s="20" t="inlineStr">
        <is>
          <t>아이블</t>
        </is>
      </c>
      <c r="U202" s="20" t="inlineStr">
        <is>
          <t>베트남</t>
        </is>
      </c>
      <c r="V202" s="20" t="n"/>
      <c r="W202" s="26" t="n"/>
      <c r="X202" s="26" t="n"/>
      <c r="Y202" s="22" t="n"/>
      <c r="Z202" s="27" t="n">
        <v>350</v>
      </c>
      <c r="AA202" s="27" t="n">
        <v>28403900</v>
      </c>
      <c r="AB202" s="27" t="n">
        <v>101500000</v>
      </c>
      <c r="AC202" s="20" t="n"/>
      <c r="AD202" s="20">
        <f>IF($J202="","출고일 미정",IF($P202="X","작지 미발행",IF($P202="부분","작지 일부 미발행",IF(AND($R202&lt;&gt;"",$R202&gt;$M202),"소재입고 마감("&amp;TEXT($M202,"MM/DD")&amp;") 초과",IF($P202="","발행여부 확인 필요",IF($R202="","소재 입고일정 확인 필요","정상"))))))</f>
        <v/>
      </c>
      <c r="AE202" s="19">
        <f>IF($J202="","",IF(OR(LEFT($AD202,2)="작지",LEFT($AD202,4)="소재입고"),IF(LEFT($G202,1)="A","★ 납기위험(A코드)","◆ 지연주의"),IF($AD202="정상","✓ 정상","? 확인필요")))</f>
        <v/>
      </c>
      <c r="AF202" s="21" t="n"/>
      <c r="AG202" s="28" t="n"/>
    </row>
    <row r="203">
      <c r="A203" s="19" t="n">
        <v>199</v>
      </c>
      <c r="B203" s="20" t="inlineStr">
        <is>
          <t>최지희</t>
        </is>
      </c>
      <c r="C203" s="20" t="inlineStr">
        <is>
          <t>조은선</t>
        </is>
      </c>
      <c r="D203" s="20" t="inlineStr">
        <is>
          <t>QEHFW27401</t>
        </is>
      </c>
      <c r="E203" s="20" t="inlineStr">
        <is>
          <t>남녀공용 폴라텍 파워스트레치 장갑</t>
        </is>
      </c>
      <c r="F203" s="20" t="inlineStr">
        <is>
          <t>DEB/NEG</t>
        </is>
      </c>
      <c r="G203" s="19">
        <f>IF($D203="","",IF(MID($D203,5,1)="A","A(가을)",IF(MID($D203,5,1)="W","W(겨울)",IF(MID($D203,5,1)="X","X(사계절)",MID($D203,5,1)))))</f>
        <v/>
      </c>
      <c r="H203" s="19" t="n"/>
      <c r="I203" s="21" t="inlineStr">
        <is>
          <t>9월1주</t>
        </is>
      </c>
      <c r="J203" s="22">
        <f>IF($I203="","",IFERROR(DATE(기준정보!$C$7,VALUE(LEFT($I203,FIND("월",$I203)-1)),1+7*(VALUE(SUBSTITUTE(MID($I203,FIND("월",$I203)+1,5),"주",""))-1)),""))</f>
        <v/>
      </c>
      <c r="K203" s="22">
        <f>IF($J203="","",IF(AND(ISNUMBER(SEARCH("미얀마",$U203)),$J203-기준정보!$C$5&gt;=기준정보!$C$8,$J203-기준정보!$C$5&lt;=기준정보!$C$9),기준정보!$C$8-1,IF(AND(ISNUMBER(SEARCH("인도네시아",$U203)),$J203-기준정보!$C$5&gt;=기준정보!$C$10,$J203-기준정보!$C$5&lt;=기준정보!$C$11),기준정보!$C$10-1,$J203-기준정보!$C$5)))</f>
        <v/>
      </c>
      <c r="L203" s="23">
        <f>IF($K203="","",IF(ISNUMBER(SEARCH("미얀마",$U203)),MAX(0,MIN($K203,기준정보!$C$9)-MAX($K203-기준정보!$C$6,기준정보!$C$8)+1),IF(ISNUMBER(SEARCH("인도네시아",$U203)),MAX(0,MIN($K203,기준정보!$C$11)-MAX($K203-기준정보!$C$6,기준정보!$C$10)+1),0)))</f>
        <v/>
      </c>
      <c r="M203" s="22">
        <f>IF($K203="","",$K203-기준정보!$C$6-$L203)</f>
        <v/>
      </c>
      <c r="N203" s="24">
        <f>IF($M203="","",$M203-기준정보!$C$4)</f>
        <v/>
      </c>
      <c r="O203" s="21" t="n"/>
      <c r="P203" s="21" t="n"/>
      <c r="Q203" s="21" t="n"/>
      <c r="R203" s="25" t="n"/>
      <c r="S203" s="20">
        <f>IF($H203="","",IF($H203="C","본사(소재팀)",IF($H203="완","생산처","확인 필요")))</f>
        <v/>
      </c>
      <c r="T203" s="20" t="inlineStr">
        <is>
          <t>시즈글로벌</t>
        </is>
      </c>
      <c r="U203" s="20" t="inlineStr">
        <is>
          <t>베트남</t>
        </is>
      </c>
      <c r="V203" s="20" t="n"/>
      <c r="W203" s="26" t="n"/>
      <c r="X203" s="26" t="n"/>
      <c r="Y203" s="22" t="n"/>
      <c r="Z203" s="27" t="n">
        <v>2000</v>
      </c>
      <c r="AA203" s="27" t="n">
        <v>24038000</v>
      </c>
      <c r="AB203" s="27" t="n">
        <v>140000000</v>
      </c>
      <c r="AC203" s="20" t="n"/>
      <c r="AD203" s="20">
        <f>IF($J203="","출고일 미정",IF($P203="X","작지 미발행",IF($P203="부분","작지 일부 미발행",IF(AND($R203&lt;&gt;"",$R203&gt;$M203),"소재입고 마감("&amp;TEXT($M203,"MM/DD")&amp;") 초과",IF($P203="","발행여부 확인 필요",IF($R203="","소재 입고일정 확인 필요","정상"))))))</f>
        <v/>
      </c>
      <c r="AE203" s="19">
        <f>IF($J203="","",IF(OR(LEFT($AD203,2)="작지",LEFT($AD203,4)="소재입고"),IF(LEFT($G203,1)="A","★ 납기위험(A코드)","◆ 지연주의"),IF($AD203="정상","✓ 정상","? 확인필요")))</f>
        <v/>
      </c>
      <c r="AF203" s="21" t="n"/>
      <c r="AG203" s="28" t="n"/>
    </row>
    <row r="204">
      <c r="A204" s="19" t="n">
        <v>200</v>
      </c>
      <c r="B204" s="20" t="inlineStr">
        <is>
          <t>최지희</t>
        </is>
      </c>
      <c r="C204" s="20" t="inlineStr">
        <is>
          <t>조은선</t>
        </is>
      </c>
      <c r="D204" s="20" t="inlineStr">
        <is>
          <t>QELAW27401</t>
        </is>
      </c>
      <c r="E204" s="20" t="inlineStr">
        <is>
          <t>남녀공용 스마트 메리노울 하이 삭스</t>
        </is>
      </c>
      <c r="F204" s="20" t="inlineStr">
        <is>
          <t>DEB/CO2</t>
        </is>
      </c>
      <c r="G204" s="19">
        <f>IF($D204="","",IF(MID($D204,5,1)="A","A(가을)",IF(MID($D204,5,1)="W","W(겨울)",IF(MID($D204,5,1)="X","X(사계절)",MID($D204,5,1)))))</f>
        <v/>
      </c>
      <c r="H204" s="19" t="n"/>
      <c r="I204" s="21" t="inlineStr">
        <is>
          <t>9월1주</t>
        </is>
      </c>
      <c r="J204" s="22">
        <f>IF($I204="","",IFERROR(DATE(기준정보!$C$7,VALUE(LEFT($I204,FIND("월",$I204)-1)),1+7*(VALUE(SUBSTITUTE(MID($I204,FIND("월",$I204)+1,5),"주",""))-1)),""))</f>
        <v/>
      </c>
      <c r="K204" s="22">
        <f>IF($J204="","",IF(AND(ISNUMBER(SEARCH("미얀마",$U204)),$J204-기준정보!$C$5&gt;=기준정보!$C$8,$J204-기준정보!$C$5&lt;=기준정보!$C$9),기준정보!$C$8-1,IF(AND(ISNUMBER(SEARCH("인도네시아",$U204)),$J204-기준정보!$C$5&gt;=기준정보!$C$10,$J204-기준정보!$C$5&lt;=기준정보!$C$11),기준정보!$C$10-1,$J204-기준정보!$C$5)))</f>
        <v/>
      </c>
      <c r="L204" s="23">
        <f>IF($K204="","",IF(ISNUMBER(SEARCH("미얀마",$U204)),MAX(0,MIN($K204,기준정보!$C$9)-MAX($K204-기준정보!$C$6,기준정보!$C$8)+1),IF(ISNUMBER(SEARCH("인도네시아",$U204)),MAX(0,MIN($K204,기준정보!$C$11)-MAX($K204-기준정보!$C$6,기준정보!$C$10)+1),0)))</f>
        <v/>
      </c>
      <c r="M204" s="22">
        <f>IF($K204="","",$K204-기준정보!$C$6-$L204)</f>
        <v/>
      </c>
      <c r="N204" s="24">
        <f>IF($M204="","",$M204-기준정보!$C$4)</f>
        <v/>
      </c>
      <c r="O204" s="21" t="n"/>
      <c r="P204" s="21" t="n"/>
      <c r="Q204" s="21" t="n"/>
      <c r="R204" s="25" t="n"/>
      <c r="S204" s="20">
        <f>IF($H204="","",IF($H204="C","본사(소재팀)",IF($H204="완","생산처","확인 필요")))</f>
        <v/>
      </c>
      <c r="T204" s="20" t="inlineStr">
        <is>
          <t>크리스</t>
        </is>
      </c>
      <c r="U204" s="20" t="inlineStr">
        <is>
          <t>국내</t>
        </is>
      </c>
      <c r="V204" s="20" t="n"/>
      <c r="W204" s="26" t="n"/>
      <c r="X204" s="26" t="n"/>
      <c r="Y204" s="22" t="n"/>
      <c r="Z204" s="27" t="n">
        <v>500</v>
      </c>
      <c r="AA204" s="27" t="n">
        <v>4000000</v>
      </c>
      <c r="AB204" s="27" t="n">
        <v>22500000</v>
      </c>
      <c r="AC204" s="20" t="n"/>
      <c r="AD204" s="20">
        <f>IF($J204="","출고일 미정",IF($P204="X","작지 미발행",IF($P204="부분","작지 일부 미발행",IF(AND($R204&lt;&gt;"",$R204&gt;$M204),"소재입고 마감("&amp;TEXT($M204,"MM/DD")&amp;") 초과",IF($P204="","발행여부 확인 필요",IF($R204="","소재 입고일정 확인 필요","정상"))))))</f>
        <v/>
      </c>
      <c r="AE204" s="19">
        <f>IF($J204="","",IF(OR(LEFT($AD204,2)="작지",LEFT($AD204,4)="소재입고"),IF(LEFT($G204,1)="A","★ 납기위험(A코드)","◆ 지연주의"),IF($AD204="정상","✓ 정상","? 확인필요")))</f>
        <v/>
      </c>
      <c r="AF204" s="21" t="n"/>
      <c r="AG204" s="28" t="n"/>
    </row>
    <row r="205">
      <c r="A205" s="19" t="n">
        <v>201</v>
      </c>
      <c r="B205" s="20" t="inlineStr">
        <is>
          <t>최지희</t>
        </is>
      </c>
      <c r="C205" s="20" t="inlineStr">
        <is>
          <t>조은선</t>
        </is>
      </c>
      <c r="D205" s="20" t="inlineStr">
        <is>
          <t>QERGW27603</t>
        </is>
      </c>
      <c r="E205" s="20" t="inlineStr">
        <is>
          <t>남녀공용 미드 비니</t>
        </is>
      </c>
      <c r="F205" s="20" t="inlineStr">
        <is>
          <t>CO1/CO2</t>
        </is>
      </c>
      <c r="G205" s="19">
        <f>IF($D205="","",IF(MID($D205,5,1)="A","A(가을)",IF(MID($D205,5,1)="W","W(겨울)",IF(MID($D205,5,1)="X","X(사계절)",MID($D205,5,1)))))</f>
        <v/>
      </c>
      <c r="H205" s="19" t="n"/>
      <c r="I205" s="21" t="inlineStr">
        <is>
          <t>9월1주</t>
        </is>
      </c>
      <c r="J205" s="22">
        <f>IF($I205="","",IFERROR(DATE(기준정보!$C$7,VALUE(LEFT($I205,FIND("월",$I205)-1)),1+7*(VALUE(SUBSTITUTE(MID($I205,FIND("월",$I205)+1,5),"주",""))-1)),""))</f>
        <v/>
      </c>
      <c r="K205" s="22">
        <f>IF($J205="","",IF(AND(ISNUMBER(SEARCH("미얀마",$U205)),$J205-기준정보!$C$5&gt;=기준정보!$C$8,$J205-기준정보!$C$5&lt;=기준정보!$C$9),기준정보!$C$8-1,IF(AND(ISNUMBER(SEARCH("인도네시아",$U205)),$J205-기준정보!$C$5&gt;=기준정보!$C$10,$J205-기준정보!$C$5&lt;=기준정보!$C$11),기준정보!$C$10-1,$J205-기준정보!$C$5)))</f>
        <v/>
      </c>
      <c r="L205" s="23">
        <f>IF($K205="","",IF(ISNUMBER(SEARCH("미얀마",$U205)),MAX(0,MIN($K205,기준정보!$C$9)-MAX($K205-기준정보!$C$6,기준정보!$C$8)+1),IF(ISNUMBER(SEARCH("인도네시아",$U205)),MAX(0,MIN($K205,기준정보!$C$11)-MAX($K205-기준정보!$C$6,기준정보!$C$10)+1),0)))</f>
        <v/>
      </c>
      <c r="M205" s="22">
        <f>IF($K205="","",$K205-기준정보!$C$6-$L205)</f>
        <v/>
      </c>
      <c r="N205" s="24">
        <f>IF($M205="","",$M205-기준정보!$C$4)</f>
        <v/>
      </c>
      <c r="O205" s="21" t="n"/>
      <c r="P205" s="21" t="n"/>
      <c r="Q205" s="21" t="n"/>
      <c r="R205" s="25" t="n"/>
      <c r="S205" s="20">
        <f>IF($H205="","",IF($H205="C","본사(소재팀)",IF($H205="완","생산처","확인 필요")))</f>
        <v/>
      </c>
      <c r="T205" s="20" t="inlineStr">
        <is>
          <t>짠</t>
        </is>
      </c>
      <c r="U205" s="20" t="inlineStr">
        <is>
          <t>중국</t>
        </is>
      </c>
      <c r="V205" s="20" t="n"/>
      <c r="W205" s="26" t="n"/>
      <c r="X205" s="26" t="n"/>
      <c r="Y205" s="22" t="n"/>
      <c r="Z205" s="27" t="n">
        <v>400</v>
      </c>
      <c r="AA205" s="27" t="n">
        <v>5600000</v>
      </c>
      <c r="AB205" s="27" t="n">
        <v>28000000</v>
      </c>
      <c r="AC205" s="20" t="n"/>
      <c r="AD205" s="20">
        <f>IF($J205="","출고일 미정",IF($P205="X","작지 미발행",IF($P205="부분","작지 일부 미발행",IF(AND($R205&lt;&gt;"",$R205&gt;$M205),"소재입고 마감("&amp;TEXT($M205,"MM/DD")&amp;") 초과",IF($P205="","발행여부 확인 필요",IF($R205="","소재 입고일정 확인 필요","정상"))))))</f>
        <v/>
      </c>
      <c r="AE205" s="19">
        <f>IF($J205="","",IF(OR(LEFT($AD205,2)="작지",LEFT($AD205,4)="소재입고"),IF(LEFT($G205,1)="A","★ 납기위험(A코드)","◆ 지연주의"),IF($AD205="정상","✓ 정상","? 확인필요")))</f>
        <v/>
      </c>
      <c r="AF205" s="21" t="n"/>
      <c r="AG205" s="28" t="n"/>
    </row>
    <row r="206">
      <c r="A206" s="19" t="n">
        <v>202</v>
      </c>
      <c r="B206" s="20" t="inlineStr">
        <is>
          <t>문도혁</t>
        </is>
      </c>
      <c r="C206" s="20" t="inlineStr">
        <is>
          <t>정희영</t>
        </is>
      </c>
      <c r="D206" s="20" t="inlineStr">
        <is>
          <t>TLJDW27631</t>
        </is>
      </c>
      <c r="E206" s="20" t="inlineStr">
        <is>
          <t>남성 솟솟 경량 넥리스 다운</t>
        </is>
      </c>
      <c r="F206" s="20" t="inlineStr">
        <is>
          <t>SKA/DOE/DEB</t>
        </is>
      </c>
      <c r="G206" s="19">
        <f>IF($D206="","",IF(MID($D206,5,1)="A","A(가을)",IF(MID($D206,5,1)="W","W(겨울)",IF(MID($D206,5,1)="X","X(사계절)",MID($D206,5,1)))))</f>
        <v/>
      </c>
      <c r="H206" s="19" t="inlineStr">
        <is>
          <t>C</t>
        </is>
      </c>
      <c r="I206" s="21" t="inlineStr">
        <is>
          <t>9월1주</t>
        </is>
      </c>
      <c r="J206" s="22">
        <f>IF($I206="","",IFERROR(DATE(기준정보!$C$7,VALUE(LEFT($I206,FIND("월",$I206)-1)),1+7*(VALUE(SUBSTITUTE(MID($I206,FIND("월",$I206)+1,5),"주",""))-1)),""))</f>
        <v/>
      </c>
      <c r="K206" s="22">
        <f>IF($J206="","",IF(AND(ISNUMBER(SEARCH("미얀마",$U206)),$J206-기준정보!$C$5&gt;=기준정보!$C$8,$J206-기준정보!$C$5&lt;=기준정보!$C$9),기준정보!$C$8-1,IF(AND(ISNUMBER(SEARCH("인도네시아",$U206)),$J206-기준정보!$C$5&gt;=기준정보!$C$10,$J206-기준정보!$C$5&lt;=기준정보!$C$11),기준정보!$C$10-1,$J206-기준정보!$C$5)))</f>
        <v/>
      </c>
      <c r="L206" s="23">
        <f>IF($K206="","",IF(ISNUMBER(SEARCH("미얀마",$U206)),MAX(0,MIN($K206,기준정보!$C$9)-MAX($K206-기준정보!$C$6,기준정보!$C$8)+1),IF(ISNUMBER(SEARCH("인도네시아",$U206)),MAX(0,MIN($K206,기준정보!$C$11)-MAX($K206-기준정보!$C$6,기준정보!$C$10)+1),0)))</f>
        <v/>
      </c>
      <c r="M206" s="22">
        <f>IF($K206="","",$K206-기준정보!$C$6-$L206)</f>
        <v/>
      </c>
      <c r="N206" s="24">
        <f>IF($M206="","",$M206-기준정보!$C$4)</f>
        <v/>
      </c>
      <c r="O206" s="21" t="n"/>
      <c r="P206" s="21" t="n"/>
      <c r="Q206" s="21" t="n"/>
      <c r="R206" s="25" t="n"/>
      <c r="S206" s="20">
        <f>IF($H206="","",IF($H206="C","본사(소재팀)",IF($H206="완","생산처","확인 필요")))</f>
        <v/>
      </c>
      <c r="T206" s="20" t="inlineStr">
        <is>
          <t>아이블</t>
        </is>
      </c>
      <c r="U206" s="20" t="inlineStr">
        <is>
          <t>베트남</t>
        </is>
      </c>
      <c r="V206" s="20" t="n"/>
      <c r="W206" s="26" t="n"/>
      <c r="X206" s="26" t="n"/>
      <c r="Y206" s="22" t="n"/>
      <c r="Z206" s="27" t="n">
        <v>7000</v>
      </c>
      <c r="AA206" s="27" t="n">
        <v>434735000</v>
      </c>
      <c r="AB206" s="27" t="n">
        <v>2030000000</v>
      </c>
      <c r="AC206" s="20" t="n"/>
      <c r="AD206" s="20">
        <f>IF($J206="","출고일 미정",IF($P206="X","작지 미발행",IF($P206="부분","작지 일부 미발행",IF(AND($R206&lt;&gt;"",$R206&gt;$M206),"소재입고 마감("&amp;TEXT($M206,"MM/DD")&amp;") 초과",IF($P206="","발행여부 확인 필요",IF($R206="","소재 입고일정 확인 필요","정상"))))))</f>
        <v/>
      </c>
      <c r="AE206" s="19">
        <f>IF($J206="","",IF(OR(LEFT($AD206,2)="작지",LEFT($AD206,4)="소재입고"),IF(LEFT($G206,1)="A","★ 납기위험(A코드)","◆ 지연주의"),IF($AD206="정상","✓ 정상","? 확인필요")))</f>
        <v/>
      </c>
      <c r="AF206" s="21" t="n"/>
      <c r="AG206" s="28" t="n"/>
    </row>
    <row r="207">
      <c r="A207" s="19" t="n">
        <v>203</v>
      </c>
      <c r="B207" s="20" t="inlineStr">
        <is>
          <t>문도혁</t>
        </is>
      </c>
      <c r="C207" s="20" t="inlineStr">
        <is>
          <t>정희영</t>
        </is>
      </c>
      <c r="D207" s="20" t="inlineStr">
        <is>
          <t>TLJDW27633</t>
        </is>
      </c>
      <c r="E207" s="20" t="inlineStr">
        <is>
          <t>남성 솟솟 경량 후드 다운</t>
        </is>
      </c>
      <c r="F207" s="20" t="inlineStr">
        <is>
          <t>ASB/PEG/DEB</t>
        </is>
      </c>
      <c r="G207" s="19">
        <f>IF($D207="","",IF(MID($D207,5,1)="A","A(가을)",IF(MID($D207,5,1)="W","W(겨울)",IF(MID($D207,5,1)="X","X(사계절)",MID($D207,5,1)))))</f>
        <v/>
      </c>
      <c r="H207" s="19" t="inlineStr">
        <is>
          <t>C</t>
        </is>
      </c>
      <c r="I207" s="21" t="inlineStr">
        <is>
          <t>9월1주</t>
        </is>
      </c>
      <c r="J207" s="22">
        <f>IF($I207="","",IFERROR(DATE(기준정보!$C$7,VALUE(LEFT($I207,FIND("월",$I207)-1)),1+7*(VALUE(SUBSTITUTE(MID($I207,FIND("월",$I207)+1,5),"주",""))-1)),""))</f>
        <v/>
      </c>
      <c r="K207" s="22">
        <f>IF($J207="","",IF(AND(ISNUMBER(SEARCH("미얀마",$U207)),$J207-기준정보!$C$5&gt;=기준정보!$C$8,$J207-기준정보!$C$5&lt;=기준정보!$C$9),기준정보!$C$8-1,IF(AND(ISNUMBER(SEARCH("인도네시아",$U207)),$J207-기준정보!$C$5&gt;=기준정보!$C$10,$J207-기준정보!$C$5&lt;=기준정보!$C$11),기준정보!$C$10-1,$J207-기준정보!$C$5)))</f>
        <v/>
      </c>
      <c r="L207" s="23">
        <f>IF($K207="","",IF(ISNUMBER(SEARCH("미얀마",$U207)),MAX(0,MIN($K207,기준정보!$C$9)-MAX($K207-기준정보!$C$6,기준정보!$C$8)+1),IF(ISNUMBER(SEARCH("인도네시아",$U207)),MAX(0,MIN($K207,기준정보!$C$11)-MAX($K207-기준정보!$C$6,기준정보!$C$10)+1),0)))</f>
        <v/>
      </c>
      <c r="M207" s="22">
        <f>IF($K207="","",$K207-기준정보!$C$6-$L207)</f>
        <v/>
      </c>
      <c r="N207" s="24">
        <f>IF($M207="","",$M207-기준정보!$C$4)</f>
        <v/>
      </c>
      <c r="O207" s="21" t="n"/>
      <c r="P207" s="21" t="n"/>
      <c r="Q207" s="21" t="n"/>
      <c r="R207" s="25" t="n"/>
      <c r="S207" s="20">
        <f>IF($H207="","",IF($H207="C","본사(소재팀)",IF($H207="완","생산처","확인 필요")))</f>
        <v/>
      </c>
      <c r="T207" s="20" t="inlineStr">
        <is>
          <t>아이블</t>
        </is>
      </c>
      <c r="U207" s="20" t="inlineStr">
        <is>
          <t>베트남</t>
        </is>
      </c>
      <c r="V207" s="20" t="n"/>
      <c r="W207" s="26" t="n"/>
      <c r="X207" s="26" t="n"/>
      <c r="Y207" s="22" t="n"/>
      <c r="Z207" s="27" t="n">
        <v>14000</v>
      </c>
      <c r="AA207" s="27" t="n">
        <v>948864000</v>
      </c>
      <c r="AB207" s="27" t="n">
        <v>4480000000</v>
      </c>
      <c r="AC207" s="20" t="n"/>
      <c r="AD207" s="20">
        <f>IF($J207="","출고일 미정",IF($P207="X","작지 미발행",IF($P207="부분","작지 일부 미발행",IF(AND($R207&lt;&gt;"",$R207&gt;$M207),"소재입고 마감("&amp;TEXT($M207,"MM/DD")&amp;") 초과",IF($P207="","발행여부 확인 필요",IF($R207="","소재 입고일정 확인 필요","정상"))))))</f>
        <v/>
      </c>
      <c r="AE207" s="19">
        <f>IF($J207="","",IF(OR(LEFT($AD207,2)="작지",LEFT($AD207,4)="소재입고"),IF(LEFT($G207,1)="A","★ 납기위험(A코드)","◆ 지연주의"),IF($AD207="정상","✓ 정상","? 확인필요")))</f>
        <v/>
      </c>
      <c r="AF207" s="21" t="n"/>
      <c r="AG207" s="28" t="n"/>
    </row>
    <row r="208">
      <c r="A208" s="19" t="n">
        <v>204</v>
      </c>
      <c r="B208" s="20" t="inlineStr">
        <is>
          <t>문도혁</t>
        </is>
      </c>
      <c r="C208" s="20" t="inlineStr">
        <is>
          <t>정희영</t>
        </is>
      </c>
      <c r="D208" s="20" t="inlineStr">
        <is>
          <t>TLJDW27635</t>
        </is>
      </c>
      <c r="E208" s="20" t="inlineStr">
        <is>
          <t>남성 솟솟 니트슬리브 경량 스탠드넥 다운</t>
        </is>
      </c>
      <c r="F208" s="20" t="inlineStr">
        <is>
          <t>ASB/CHR</t>
        </is>
      </c>
      <c r="G208" s="19">
        <f>IF($D208="","",IF(MID($D208,5,1)="A","A(가을)",IF(MID($D208,5,1)="W","W(겨울)",IF(MID($D208,5,1)="X","X(사계절)",MID($D208,5,1)))))</f>
        <v/>
      </c>
      <c r="H208" s="19" t="inlineStr">
        <is>
          <t>C</t>
        </is>
      </c>
      <c r="I208" s="21" t="inlineStr">
        <is>
          <t>9월1주</t>
        </is>
      </c>
      <c r="J208" s="22">
        <f>IF($I208="","",IFERROR(DATE(기준정보!$C$7,VALUE(LEFT($I208,FIND("월",$I208)-1)),1+7*(VALUE(SUBSTITUTE(MID($I208,FIND("월",$I208)+1,5),"주",""))-1)),""))</f>
        <v/>
      </c>
      <c r="K208" s="22">
        <f>IF($J208="","",IF(AND(ISNUMBER(SEARCH("미얀마",$U208)),$J208-기준정보!$C$5&gt;=기준정보!$C$8,$J208-기준정보!$C$5&lt;=기준정보!$C$9),기준정보!$C$8-1,IF(AND(ISNUMBER(SEARCH("인도네시아",$U208)),$J208-기준정보!$C$5&gt;=기준정보!$C$10,$J208-기준정보!$C$5&lt;=기준정보!$C$11),기준정보!$C$10-1,$J208-기준정보!$C$5)))</f>
        <v/>
      </c>
      <c r="L208" s="23">
        <f>IF($K208="","",IF(ISNUMBER(SEARCH("미얀마",$U208)),MAX(0,MIN($K208,기준정보!$C$9)-MAX($K208-기준정보!$C$6,기준정보!$C$8)+1),IF(ISNUMBER(SEARCH("인도네시아",$U208)),MAX(0,MIN($K208,기준정보!$C$11)-MAX($K208-기준정보!$C$6,기준정보!$C$10)+1),0)))</f>
        <v/>
      </c>
      <c r="M208" s="22">
        <f>IF($K208="","",$K208-기준정보!$C$6-$L208)</f>
        <v/>
      </c>
      <c r="N208" s="24">
        <f>IF($M208="","",$M208-기준정보!$C$4)</f>
        <v/>
      </c>
      <c r="O208" s="21" t="n"/>
      <c r="P208" s="21" t="n"/>
      <c r="Q208" s="21" t="n"/>
      <c r="R208" s="25" t="n"/>
      <c r="S208" s="20">
        <f>IF($H208="","",IF($H208="C","본사(소재팀)",IF($H208="완","생산처","확인 필요")))</f>
        <v/>
      </c>
      <c r="T208" s="20" t="inlineStr">
        <is>
          <t>아이블</t>
        </is>
      </c>
      <c r="U208" s="20" t="inlineStr">
        <is>
          <t>베트남</t>
        </is>
      </c>
      <c r="V208" s="20" t="n"/>
      <c r="W208" s="26" t="n"/>
      <c r="X208" s="26" t="n"/>
      <c r="Y208" s="22" t="n"/>
      <c r="Z208" s="27" t="n">
        <v>3000</v>
      </c>
      <c r="AA208" s="27" t="n">
        <v>238287000</v>
      </c>
      <c r="AB208" s="27" t="n">
        <v>1050000000</v>
      </c>
      <c r="AC208" s="20" t="n"/>
      <c r="AD208" s="20">
        <f>IF($J208="","출고일 미정",IF($P208="X","작지 미발행",IF($P208="부분","작지 일부 미발행",IF(AND($R208&lt;&gt;"",$R208&gt;$M208),"소재입고 마감("&amp;TEXT($M208,"MM/DD")&amp;") 초과",IF($P208="","발행여부 확인 필요",IF($R208="","소재 입고일정 확인 필요","정상"))))))</f>
        <v/>
      </c>
      <c r="AE208" s="19">
        <f>IF($J208="","",IF(OR(LEFT($AD208,2)="작지",LEFT($AD208,4)="소재입고"),IF(LEFT($G208,1)="A","★ 납기위험(A코드)","◆ 지연주의"),IF($AD208="정상","✓ 정상","? 확인필요")))</f>
        <v/>
      </c>
      <c r="AF208" s="21" t="n"/>
      <c r="AG208" s="28" t="n"/>
    </row>
    <row r="209">
      <c r="A209" s="19" t="n">
        <v>205</v>
      </c>
      <c r="B209" s="20" t="inlineStr">
        <is>
          <t>문도혁</t>
        </is>
      </c>
      <c r="C209" s="20" t="inlineStr">
        <is>
          <t>정희영</t>
        </is>
      </c>
      <c r="D209" s="20" t="inlineStr">
        <is>
          <t>TLJJW27651</t>
        </is>
      </c>
      <c r="E209" s="20" t="inlineStr">
        <is>
          <t>남성 스탠드넥 인슐레이션 재킷</t>
        </is>
      </c>
      <c r="F209" s="20" t="inlineStr">
        <is>
          <t>PEG/SKA/DEB</t>
        </is>
      </c>
      <c r="G209" s="19">
        <f>IF($D209="","",IF(MID($D209,5,1)="A","A(가을)",IF(MID($D209,5,1)="W","W(겨울)",IF(MID($D209,5,1)="X","X(사계절)",MID($D209,5,1)))))</f>
        <v/>
      </c>
      <c r="H209" s="19" t="inlineStr">
        <is>
          <t>완</t>
        </is>
      </c>
      <c r="I209" s="21" t="inlineStr">
        <is>
          <t>9월1주</t>
        </is>
      </c>
      <c r="J209" s="22">
        <f>IF($I209="","",IFERROR(DATE(기준정보!$C$7,VALUE(LEFT($I209,FIND("월",$I209)-1)),1+7*(VALUE(SUBSTITUTE(MID($I209,FIND("월",$I209)+1,5),"주",""))-1)),""))</f>
        <v/>
      </c>
      <c r="K209" s="22">
        <f>IF($J209="","",IF(AND(ISNUMBER(SEARCH("미얀마",$U209)),$J209-기준정보!$C$5&gt;=기준정보!$C$8,$J209-기준정보!$C$5&lt;=기준정보!$C$9),기준정보!$C$8-1,IF(AND(ISNUMBER(SEARCH("인도네시아",$U209)),$J209-기준정보!$C$5&gt;=기준정보!$C$10,$J209-기준정보!$C$5&lt;=기준정보!$C$11),기준정보!$C$10-1,$J209-기준정보!$C$5)))</f>
        <v/>
      </c>
      <c r="L209" s="23">
        <f>IF($K209="","",IF(ISNUMBER(SEARCH("미얀마",$U209)),MAX(0,MIN($K209,기준정보!$C$9)-MAX($K209-기준정보!$C$6,기준정보!$C$8)+1),IF(ISNUMBER(SEARCH("인도네시아",$U209)),MAX(0,MIN($K209,기준정보!$C$11)-MAX($K209-기준정보!$C$6,기준정보!$C$10)+1),0)))</f>
        <v/>
      </c>
      <c r="M209" s="22">
        <f>IF($K209="","",$K209-기준정보!$C$6-$L209)</f>
        <v/>
      </c>
      <c r="N209" s="24">
        <f>IF($M209="","",$M209-기준정보!$C$4)</f>
        <v/>
      </c>
      <c r="O209" s="21" t="n"/>
      <c r="P209" s="21" t="n"/>
      <c r="Q209" s="21" t="n"/>
      <c r="R209" s="25" t="n"/>
      <c r="S209" s="20">
        <f>IF($H209="","",IF($H209="C","본사(소재팀)",IF($H209="완","생산처","확인 필요")))</f>
        <v/>
      </c>
      <c r="T209" s="20" t="inlineStr">
        <is>
          <t>원전</t>
        </is>
      </c>
      <c r="U209" s="20" t="inlineStr">
        <is>
          <t>인도네시아</t>
        </is>
      </c>
      <c r="V209" s="20" t="n"/>
      <c r="W209" s="26" t="n"/>
      <c r="X209" s="26" t="n"/>
      <c r="Y209" s="22" t="n"/>
      <c r="Z209" s="27" t="n">
        <v>9000</v>
      </c>
      <c r="AA209" s="27" t="n">
        <v>570213000</v>
      </c>
      <c r="AB209" s="27" t="n">
        <v>2610000000</v>
      </c>
      <c r="AC209" s="20" t="n"/>
      <c r="AD209" s="20">
        <f>IF($J209="","출고일 미정",IF($P209="X","작지 미발행",IF($P209="부분","작지 일부 미발행",IF(AND($R209&lt;&gt;"",$R209&gt;$M209),"소재입고 마감("&amp;TEXT($M209,"MM/DD")&amp;") 초과",IF($P209="","발행여부 확인 필요",IF($R209="","소재 입고일정 확인 필요","정상"))))))</f>
        <v/>
      </c>
      <c r="AE209" s="19">
        <f>IF($J209="","",IF(OR(LEFT($AD209,2)="작지",LEFT($AD209,4)="소재입고"),IF(LEFT($G209,1)="A","★ 납기위험(A코드)","◆ 지연주의"),IF($AD209="정상","✓ 정상","? 확인필요")))</f>
        <v/>
      </c>
      <c r="AF209" s="21" t="n"/>
      <c r="AG209" s="28" t="n"/>
    </row>
    <row r="210">
      <c r="A210" s="19" t="n">
        <v>206</v>
      </c>
      <c r="B210" s="20" t="inlineStr">
        <is>
          <t>문도혁</t>
        </is>
      </c>
      <c r="C210" s="20" t="inlineStr">
        <is>
          <t>정희영</t>
        </is>
      </c>
      <c r="D210" s="20" t="inlineStr">
        <is>
          <t>TLJJW27661</t>
        </is>
      </c>
      <c r="E210" s="20" t="inlineStr">
        <is>
          <t>남성 3in1 후디드 재킷</t>
        </is>
      </c>
      <c r="F210" s="20" t="inlineStr">
        <is>
          <t>ASB/CHR</t>
        </is>
      </c>
      <c r="G210" s="19">
        <f>IF($D210="","",IF(MID($D210,5,1)="A","A(가을)",IF(MID($D210,5,1)="W","W(겨울)",IF(MID($D210,5,1)="X","X(사계절)",MID($D210,5,1)))))</f>
        <v/>
      </c>
      <c r="H210" s="19" t="inlineStr">
        <is>
          <t>완</t>
        </is>
      </c>
      <c r="I210" s="21" t="inlineStr">
        <is>
          <t>9월1주</t>
        </is>
      </c>
      <c r="J210" s="22">
        <f>IF($I210="","",IFERROR(DATE(기준정보!$C$7,VALUE(LEFT($I210,FIND("월",$I210)-1)),1+7*(VALUE(SUBSTITUTE(MID($I210,FIND("월",$I210)+1,5),"주",""))-1)),""))</f>
        <v/>
      </c>
      <c r="K210" s="22">
        <f>IF($J210="","",IF(AND(ISNUMBER(SEARCH("미얀마",$U210)),$J210-기준정보!$C$5&gt;=기준정보!$C$8,$J210-기준정보!$C$5&lt;=기준정보!$C$9),기준정보!$C$8-1,IF(AND(ISNUMBER(SEARCH("인도네시아",$U210)),$J210-기준정보!$C$5&gt;=기준정보!$C$10,$J210-기준정보!$C$5&lt;=기준정보!$C$11),기준정보!$C$10-1,$J210-기준정보!$C$5)))</f>
        <v/>
      </c>
      <c r="L210" s="23">
        <f>IF($K210="","",IF(ISNUMBER(SEARCH("미얀마",$U210)),MAX(0,MIN($K210,기준정보!$C$9)-MAX($K210-기준정보!$C$6,기준정보!$C$8)+1),IF(ISNUMBER(SEARCH("인도네시아",$U210)),MAX(0,MIN($K210,기준정보!$C$11)-MAX($K210-기준정보!$C$6,기준정보!$C$10)+1),0)))</f>
        <v/>
      </c>
      <c r="M210" s="22">
        <f>IF($K210="","",$K210-기준정보!$C$6-$L210)</f>
        <v/>
      </c>
      <c r="N210" s="24">
        <f>IF($M210="","",$M210-기준정보!$C$4)</f>
        <v/>
      </c>
      <c r="O210" s="21" t="n"/>
      <c r="P210" s="21" t="n"/>
      <c r="Q210" s="21" t="n"/>
      <c r="R210" s="25" t="n"/>
      <c r="S210" s="20">
        <f>IF($H210="","",IF($H210="C","본사(소재팀)",IF($H210="완","생산처","확인 필요")))</f>
        <v/>
      </c>
      <c r="T210" s="20" t="inlineStr">
        <is>
          <t>아이블</t>
        </is>
      </c>
      <c r="U210" s="20" t="inlineStr">
        <is>
          <t>베트남</t>
        </is>
      </c>
      <c r="V210" s="20" t="n"/>
      <c r="W210" s="26" t="n"/>
      <c r="X210" s="26" t="n"/>
      <c r="Y210" s="22" t="n"/>
      <c r="Z210" s="27" t="n">
        <v>3000</v>
      </c>
      <c r="AA210" s="27" t="n">
        <v>309102000</v>
      </c>
      <c r="AB210" s="27" t="n">
        <v>1560000000</v>
      </c>
      <c r="AC210" s="20" t="n"/>
      <c r="AD210" s="20">
        <f>IF($J210="","출고일 미정",IF($P210="X","작지 미발행",IF($P210="부분","작지 일부 미발행",IF(AND($R210&lt;&gt;"",$R210&gt;$M210),"소재입고 마감("&amp;TEXT($M210,"MM/DD")&amp;") 초과",IF($P210="","발행여부 확인 필요",IF($R210="","소재 입고일정 확인 필요","정상"))))))</f>
        <v/>
      </c>
      <c r="AE210" s="19">
        <f>IF($J210="","",IF(OR(LEFT($AD210,2)="작지",LEFT($AD210,4)="소재입고"),IF(LEFT($G210,1)="A","★ 납기위험(A코드)","◆ 지연주의"),IF($AD210="정상","✓ 정상","? 확인필요")))</f>
        <v/>
      </c>
      <c r="AF210" s="21" t="n"/>
      <c r="AG210" s="28" t="n"/>
    </row>
    <row r="211">
      <c r="A211" s="19" t="n">
        <v>207</v>
      </c>
      <c r="B211" s="20" t="inlineStr">
        <is>
          <t>김준래</t>
        </is>
      </c>
      <c r="C211" s="20" t="inlineStr">
        <is>
          <t>정희영</t>
        </is>
      </c>
      <c r="D211" s="20" t="inlineStr">
        <is>
          <t>TLPNW27601</t>
        </is>
      </c>
      <c r="E211" s="20" t="inlineStr">
        <is>
          <t>남성 트리코트 잔체크 스트레이트 팬츠</t>
        </is>
      </c>
      <c r="F211" s="20" t="inlineStr">
        <is>
          <t>MID</t>
        </is>
      </c>
      <c r="G211" s="19">
        <f>IF($D211="","",IF(MID($D211,5,1)="A","A(가을)",IF(MID($D211,5,1)="W","W(겨울)",IF(MID($D211,5,1)="X","X(사계절)",MID($D211,5,1)))))</f>
        <v/>
      </c>
      <c r="H211" s="19" t="inlineStr">
        <is>
          <t>완</t>
        </is>
      </c>
      <c r="I211" s="21" t="inlineStr">
        <is>
          <t>9월1주</t>
        </is>
      </c>
      <c r="J211" s="22">
        <f>IF($I211="","",IFERROR(DATE(기준정보!$C$7,VALUE(LEFT($I211,FIND("월",$I211)-1)),1+7*(VALUE(SUBSTITUTE(MID($I211,FIND("월",$I211)+1,5),"주",""))-1)),""))</f>
        <v/>
      </c>
      <c r="K211" s="22">
        <f>IF($J211="","",IF(AND(ISNUMBER(SEARCH("미얀마",$U211)),$J211-기준정보!$C$5&gt;=기준정보!$C$8,$J211-기준정보!$C$5&lt;=기준정보!$C$9),기준정보!$C$8-1,IF(AND(ISNUMBER(SEARCH("인도네시아",$U211)),$J211-기준정보!$C$5&gt;=기준정보!$C$10,$J211-기준정보!$C$5&lt;=기준정보!$C$11),기준정보!$C$10-1,$J211-기준정보!$C$5)))</f>
        <v/>
      </c>
      <c r="L211" s="23">
        <f>IF($K211="","",IF(ISNUMBER(SEARCH("미얀마",$U211)),MAX(0,MIN($K211,기준정보!$C$9)-MAX($K211-기준정보!$C$6,기준정보!$C$8)+1),IF(ISNUMBER(SEARCH("인도네시아",$U211)),MAX(0,MIN($K211,기준정보!$C$11)-MAX($K211-기준정보!$C$6,기준정보!$C$10)+1),0)))</f>
        <v/>
      </c>
      <c r="M211" s="22">
        <f>IF($K211="","",$K211-기준정보!$C$6-$L211)</f>
        <v/>
      </c>
      <c r="N211" s="24">
        <f>IF($M211="","",$M211-기준정보!$C$4)</f>
        <v/>
      </c>
      <c r="O211" s="21" t="n"/>
      <c r="P211" s="21" t="n"/>
      <c r="Q211" s="21" t="n"/>
      <c r="R211" s="25" t="n"/>
      <c r="S211" s="20">
        <f>IF($H211="","",IF($H211="C","본사(소재팀)",IF($H211="완","생산처","확인 필요")))</f>
        <v/>
      </c>
      <c r="T211" s="20" t="inlineStr">
        <is>
          <t>거림</t>
        </is>
      </c>
      <c r="U211" s="20" t="inlineStr">
        <is>
          <t>베트남</t>
        </is>
      </c>
      <c r="V211" s="20" t="n"/>
      <c r="W211" s="26" t="n"/>
      <c r="X211" s="26" t="n"/>
      <c r="Y211" s="22" t="n"/>
      <c r="Z211" s="27" t="n">
        <v>1000</v>
      </c>
      <c r="AA211" s="27" t="n">
        <v>41148000</v>
      </c>
      <c r="AB211" s="27" t="n">
        <v>220000000</v>
      </c>
      <c r="AC211" s="20" t="n"/>
      <c r="AD211" s="20">
        <f>IF($J211="","출고일 미정",IF($P211="X","작지 미발행",IF($P211="부분","작지 일부 미발행",IF(AND($R211&lt;&gt;"",$R211&gt;$M211),"소재입고 마감("&amp;TEXT($M211,"MM/DD")&amp;") 초과",IF($P211="","발행여부 확인 필요",IF($R211="","소재 입고일정 확인 필요","정상"))))))</f>
        <v/>
      </c>
      <c r="AE211" s="19">
        <f>IF($J211="","",IF(OR(LEFT($AD211,2)="작지",LEFT($AD211,4)="소재입고"),IF(LEFT($G211,1)="A","★ 납기위험(A코드)","◆ 지연주의"),IF($AD211="정상","✓ 정상","? 확인필요")))</f>
        <v/>
      </c>
      <c r="AF211" s="21" t="n"/>
      <c r="AG211" s="28" t="n"/>
    </row>
    <row r="212">
      <c r="A212" s="19" t="n">
        <v>208</v>
      </c>
      <c r="B212" s="20" t="inlineStr">
        <is>
          <t>김준래</t>
        </is>
      </c>
      <c r="C212" s="20" t="inlineStr">
        <is>
          <t>정희영</t>
        </is>
      </c>
      <c r="D212" s="20" t="inlineStr">
        <is>
          <t>TLPNW27613</t>
        </is>
      </c>
      <c r="E212" s="20" t="inlineStr">
        <is>
          <t>남성 옥타 릴렉스핏 스트레이트 팬츠</t>
        </is>
      </c>
      <c r="F212" s="20" t="inlineStr">
        <is>
          <t>CTP/DEB</t>
        </is>
      </c>
      <c r="G212" s="19">
        <f>IF($D212="","",IF(MID($D212,5,1)="A","A(가을)",IF(MID($D212,5,1)="W","W(겨울)",IF(MID($D212,5,1)="X","X(사계절)",MID($D212,5,1)))))</f>
        <v/>
      </c>
      <c r="H212" s="19" t="inlineStr">
        <is>
          <t>완</t>
        </is>
      </c>
      <c r="I212" s="21" t="inlineStr">
        <is>
          <t>9월1주</t>
        </is>
      </c>
      <c r="J212" s="22">
        <f>IF($I212="","",IFERROR(DATE(기준정보!$C$7,VALUE(LEFT($I212,FIND("월",$I212)-1)),1+7*(VALUE(SUBSTITUTE(MID($I212,FIND("월",$I212)+1,5),"주",""))-1)),""))</f>
        <v/>
      </c>
      <c r="K212" s="22">
        <f>IF($J212="","",IF(AND(ISNUMBER(SEARCH("미얀마",$U212)),$J212-기준정보!$C$5&gt;=기준정보!$C$8,$J212-기준정보!$C$5&lt;=기준정보!$C$9),기준정보!$C$8-1,IF(AND(ISNUMBER(SEARCH("인도네시아",$U212)),$J212-기준정보!$C$5&gt;=기준정보!$C$10,$J212-기준정보!$C$5&lt;=기준정보!$C$11),기준정보!$C$10-1,$J212-기준정보!$C$5)))</f>
        <v/>
      </c>
      <c r="L212" s="23">
        <f>IF($K212="","",IF(ISNUMBER(SEARCH("미얀마",$U212)),MAX(0,MIN($K212,기준정보!$C$9)-MAX($K212-기준정보!$C$6,기준정보!$C$8)+1),IF(ISNUMBER(SEARCH("인도네시아",$U212)),MAX(0,MIN($K212,기준정보!$C$11)-MAX($K212-기준정보!$C$6,기준정보!$C$10)+1),0)))</f>
        <v/>
      </c>
      <c r="M212" s="22">
        <f>IF($K212="","",$K212-기준정보!$C$6-$L212)</f>
        <v/>
      </c>
      <c r="N212" s="24">
        <f>IF($M212="","",$M212-기준정보!$C$4)</f>
        <v/>
      </c>
      <c r="O212" s="21" t="n"/>
      <c r="P212" s="21" t="n"/>
      <c r="Q212" s="21" t="n"/>
      <c r="R212" s="25" t="n"/>
      <c r="S212" s="20">
        <f>IF($H212="","",IF($H212="C","본사(소재팀)",IF($H212="완","생산처","확인 필요")))</f>
        <v/>
      </c>
      <c r="T212" s="20" t="inlineStr">
        <is>
          <t>YIC</t>
        </is>
      </c>
      <c r="U212" s="20" t="inlineStr">
        <is>
          <t>베트남</t>
        </is>
      </c>
      <c r="V212" s="20" t="n"/>
      <c r="W212" s="26" t="n"/>
      <c r="X212" s="26" t="n"/>
      <c r="Y212" s="22" t="n"/>
      <c r="Z212" s="27" t="n">
        <v>3000</v>
      </c>
      <c r="AA212" s="27" t="n">
        <v>117273000</v>
      </c>
      <c r="AB212" s="27" t="n">
        <v>594000000</v>
      </c>
      <c r="AC212" s="20" t="n"/>
      <c r="AD212" s="20">
        <f>IF($J212="","출고일 미정",IF($P212="X","작지 미발행",IF($P212="부분","작지 일부 미발행",IF(AND($R212&lt;&gt;"",$R212&gt;$M212),"소재입고 마감("&amp;TEXT($M212,"MM/DD")&amp;") 초과",IF($P212="","발행여부 확인 필요",IF($R212="","소재 입고일정 확인 필요","정상"))))))</f>
        <v/>
      </c>
      <c r="AE212" s="19">
        <f>IF($J212="","",IF(OR(LEFT($AD212,2)="작지",LEFT($AD212,4)="소재입고"),IF(LEFT($G212,1)="A","★ 납기위험(A코드)","◆ 지연주의"),IF($AD212="정상","✓ 정상","? 확인필요")))</f>
        <v/>
      </c>
      <c r="AF212" s="21" t="n"/>
      <c r="AG212" s="28" t="n"/>
    </row>
    <row r="213">
      <c r="A213" s="19" t="n">
        <v>209</v>
      </c>
      <c r="B213" s="20" t="inlineStr">
        <is>
          <t>김준래</t>
        </is>
      </c>
      <c r="C213" s="20" t="inlineStr">
        <is>
          <t>정희영</t>
        </is>
      </c>
      <c r="D213" s="20" t="inlineStr">
        <is>
          <t>TLPNW27621</t>
        </is>
      </c>
      <c r="E213" s="20" t="inlineStr">
        <is>
          <t>남성 디본딩 스트레이트 카고팬츠</t>
        </is>
      </c>
      <c r="F213" s="20" t="inlineStr">
        <is>
          <t>CHR/MID</t>
        </is>
      </c>
      <c r="G213" s="19">
        <f>IF($D213="","",IF(MID($D213,5,1)="A","A(가을)",IF(MID($D213,5,1)="W","W(겨울)",IF(MID($D213,5,1)="X","X(사계절)",MID($D213,5,1)))))</f>
        <v/>
      </c>
      <c r="H213" s="19" t="inlineStr">
        <is>
          <t>완</t>
        </is>
      </c>
      <c r="I213" s="21" t="inlineStr">
        <is>
          <t>9월1주</t>
        </is>
      </c>
      <c r="J213" s="22">
        <f>IF($I213="","",IFERROR(DATE(기준정보!$C$7,VALUE(LEFT($I213,FIND("월",$I213)-1)),1+7*(VALUE(SUBSTITUTE(MID($I213,FIND("월",$I213)+1,5),"주",""))-1)),""))</f>
        <v/>
      </c>
      <c r="K213" s="22">
        <f>IF($J213="","",IF(AND(ISNUMBER(SEARCH("미얀마",$U213)),$J213-기준정보!$C$5&gt;=기준정보!$C$8,$J213-기준정보!$C$5&lt;=기준정보!$C$9),기준정보!$C$8-1,IF(AND(ISNUMBER(SEARCH("인도네시아",$U213)),$J213-기준정보!$C$5&gt;=기준정보!$C$10,$J213-기준정보!$C$5&lt;=기준정보!$C$11),기준정보!$C$10-1,$J213-기준정보!$C$5)))</f>
        <v/>
      </c>
      <c r="L213" s="23">
        <f>IF($K213="","",IF(ISNUMBER(SEARCH("미얀마",$U213)),MAX(0,MIN($K213,기준정보!$C$9)-MAX($K213-기준정보!$C$6,기준정보!$C$8)+1),IF(ISNUMBER(SEARCH("인도네시아",$U213)),MAX(0,MIN($K213,기준정보!$C$11)-MAX($K213-기준정보!$C$6,기준정보!$C$10)+1),0)))</f>
        <v/>
      </c>
      <c r="M213" s="22">
        <f>IF($K213="","",$K213-기준정보!$C$6-$L213)</f>
        <v/>
      </c>
      <c r="N213" s="24">
        <f>IF($M213="","",$M213-기준정보!$C$4)</f>
        <v/>
      </c>
      <c r="O213" s="21" t="n"/>
      <c r="P213" s="21" t="n"/>
      <c r="Q213" s="21" t="n"/>
      <c r="R213" s="25" t="n"/>
      <c r="S213" s="20">
        <f>IF($H213="","",IF($H213="C","본사(소재팀)",IF($H213="완","생산처","확인 필요")))</f>
        <v/>
      </c>
      <c r="T213" s="20" t="inlineStr">
        <is>
          <t>TBO</t>
        </is>
      </c>
      <c r="U213" s="20" t="inlineStr">
        <is>
          <t>베트남</t>
        </is>
      </c>
      <c r="V213" s="20" t="n"/>
      <c r="W213" s="26" t="n"/>
      <c r="X213" s="26" t="n"/>
      <c r="Y213" s="22" t="n"/>
      <c r="Z213" s="27" t="n">
        <v>4000</v>
      </c>
      <c r="AA213" s="27" t="n">
        <v>157248000</v>
      </c>
      <c r="AB213" s="27" t="n">
        <v>792000000</v>
      </c>
      <c r="AC213" s="20" t="n"/>
      <c r="AD213" s="20">
        <f>IF($J213="","출고일 미정",IF($P213="X","작지 미발행",IF($P213="부분","작지 일부 미발행",IF(AND($R213&lt;&gt;"",$R213&gt;$M213),"소재입고 마감("&amp;TEXT($M213,"MM/DD")&amp;") 초과",IF($P213="","발행여부 확인 필요",IF($R213="","소재 입고일정 확인 필요","정상"))))))</f>
        <v/>
      </c>
      <c r="AE213" s="19">
        <f>IF($J213="","",IF(OR(LEFT($AD213,2)="작지",LEFT($AD213,4)="소재입고"),IF(LEFT($G213,1)="A","★ 납기위험(A코드)","◆ 지연주의"),IF($AD213="정상","✓ 정상","? 확인필요")))</f>
        <v/>
      </c>
      <c r="AF213" s="21" t="n"/>
      <c r="AG213" s="28" t="n"/>
    </row>
    <row r="214">
      <c r="A214" s="19" t="n">
        <v>210</v>
      </c>
      <c r="B214" s="20" t="inlineStr">
        <is>
          <t>김준래</t>
        </is>
      </c>
      <c r="C214" s="20" t="inlineStr">
        <is>
          <t>정희영</t>
        </is>
      </c>
      <c r="D214" s="20" t="inlineStr">
        <is>
          <t>TLPNW27625</t>
        </is>
      </c>
      <c r="E214" s="20" t="inlineStr">
        <is>
          <t>남성 기모 스트레치 조거 카고팬츠</t>
        </is>
      </c>
      <c r="F214" s="20" t="inlineStr">
        <is>
          <t>MUD/DEB</t>
        </is>
      </c>
      <c r="G214" s="19">
        <f>IF($D214="","",IF(MID($D214,5,1)="A","A(가을)",IF(MID($D214,5,1)="W","W(겨울)",IF(MID($D214,5,1)="X","X(사계절)",MID($D214,5,1)))))</f>
        <v/>
      </c>
      <c r="H214" s="19" t="inlineStr">
        <is>
          <t>완</t>
        </is>
      </c>
      <c r="I214" s="21" t="inlineStr">
        <is>
          <t>9월1주</t>
        </is>
      </c>
      <c r="J214" s="22">
        <f>IF($I214="","",IFERROR(DATE(기준정보!$C$7,VALUE(LEFT($I214,FIND("월",$I214)-1)),1+7*(VALUE(SUBSTITUTE(MID($I214,FIND("월",$I214)+1,5),"주",""))-1)),""))</f>
        <v/>
      </c>
      <c r="K214" s="22">
        <f>IF($J214="","",IF(AND(ISNUMBER(SEARCH("미얀마",$U214)),$J214-기준정보!$C$5&gt;=기준정보!$C$8,$J214-기준정보!$C$5&lt;=기준정보!$C$9),기준정보!$C$8-1,IF(AND(ISNUMBER(SEARCH("인도네시아",$U214)),$J214-기준정보!$C$5&gt;=기준정보!$C$10,$J214-기준정보!$C$5&lt;=기준정보!$C$11),기준정보!$C$10-1,$J214-기준정보!$C$5)))</f>
        <v/>
      </c>
      <c r="L214" s="23">
        <f>IF($K214="","",IF(ISNUMBER(SEARCH("미얀마",$U214)),MAX(0,MIN($K214,기준정보!$C$9)-MAX($K214-기준정보!$C$6,기준정보!$C$8)+1),IF(ISNUMBER(SEARCH("인도네시아",$U214)),MAX(0,MIN($K214,기준정보!$C$11)-MAX($K214-기준정보!$C$6,기준정보!$C$10)+1),0)))</f>
        <v/>
      </c>
      <c r="M214" s="22">
        <f>IF($K214="","",$K214-기준정보!$C$6-$L214)</f>
        <v/>
      </c>
      <c r="N214" s="24">
        <f>IF($M214="","",$M214-기준정보!$C$4)</f>
        <v/>
      </c>
      <c r="O214" s="21" t="n"/>
      <c r="P214" s="21" t="n"/>
      <c r="Q214" s="21" t="n"/>
      <c r="R214" s="25" t="n"/>
      <c r="S214" s="20">
        <f>IF($H214="","",IF($H214="C","본사(소재팀)",IF($H214="완","생산처","확인 필요")))</f>
        <v/>
      </c>
      <c r="T214" s="20" t="inlineStr">
        <is>
          <t>TBO</t>
        </is>
      </c>
      <c r="U214" s="20" t="inlineStr">
        <is>
          <t>베트남</t>
        </is>
      </c>
      <c r="V214" s="20" t="n"/>
      <c r="W214" s="26" t="n"/>
      <c r="X214" s="26" t="n"/>
      <c r="Y214" s="22" t="n"/>
      <c r="Z214" s="27" t="n">
        <v>2000</v>
      </c>
      <c r="AA214" s="27" t="n">
        <v>83962000</v>
      </c>
      <c r="AB214" s="27" t="n">
        <v>376000000</v>
      </c>
      <c r="AC214" s="20" t="n"/>
      <c r="AD214" s="20">
        <f>IF($J214="","출고일 미정",IF($P214="X","작지 미발행",IF($P214="부분","작지 일부 미발행",IF(AND($R214&lt;&gt;"",$R214&gt;$M214),"소재입고 마감("&amp;TEXT($M214,"MM/DD")&amp;") 초과",IF($P214="","발행여부 확인 필요",IF($R214="","소재 입고일정 확인 필요","정상"))))))</f>
        <v/>
      </c>
      <c r="AE214" s="19">
        <f>IF($J214="","",IF(OR(LEFT($AD214,2)="작지",LEFT($AD214,4)="소재입고"),IF(LEFT($G214,1)="A","★ 납기위험(A코드)","◆ 지연주의"),IF($AD214="정상","✓ 정상","? 확인필요")))</f>
        <v/>
      </c>
      <c r="AF214" s="21" t="n"/>
      <c r="AG214" s="28" t="n"/>
    </row>
    <row r="215">
      <c r="A215" s="19" t="n">
        <v>211</v>
      </c>
      <c r="B215" s="20" t="inlineStr">
        <is>
          <t>김준래</t>
        </is>
      </c>
      <c r="C215" s="20" t="inlineStr">
        <is>
          <t>정희영</t>
        </is>
      </c>
      <c r="D215" s="20" t="inlineStr">
        <is>
          <t>TLPNW27627</t>
        </is>
      </c>
      <c r="E215" s="20" t="inlineStr">
        <is>
          <t>남성 디본딩 루즈핏 커브드 카고팬츠</t>
        </is>
      </c>
      <c r="F215" s="20" t="inlineStr">
        <is>
          <t>DOE/DEB</t>
        </is>
      </c>
      <c r="G215" s="19">
        <f>IF($D215="","",IF(MID($D215,5,1)="A","A(가을)",IF(MID($D215,5,1)="W","W(겨울)",IF(MID($D215,5,1)="X","X(사계절)",MID($D215,5,1)))))</f>
        <v/>
      </c>
      <c r="H215" s="19" t="inlineStr">
        <is>
          <t>완</t>
        </is>
      </c>
      <c r="I215" s="21" t="inlineStr">
        <is>
          <t>9월1주</t>
        </is>
      </c>
      <c r="J215" s="22">
        <f>IF($I215="","",IFERROR(DATE(기준정보!$C$7,VALUE(LEFT($I215,FIND("월",$I215)-1)),1+7*(VALUE(SUBSTITUTE(MID($I215,FIND("월",$I215)+1,5),"주",""))-1)),""))</f>
        <v/>
      </c>
      <c r="K215" s="22">
        <f>IF($J215="","",IF(AND(ISNUMBER(SEARCH("미얀마",$U215)),$J215-기준정보!$C$5&gt;=기준정보!$C$8,$J215-기준정보!$C$5&lt;=기준정보!$C$9),기준정보!$C$8-1,IF(AND(ISNUMBER(SEARCH("인도네시아",$U215)),$J215-기준정보!$C$5&gt;=기준정보!$C$10,$J215-기준정보!$C$5&lt;=기준정보!$C$11),기준정보!$C$10-1,$J215-기준정보!$C$5)))</f>
        <v/>
      </c>
      <c r="L215" s="23">
        <f>IF($K215="","",IF(ISNUMBER(SEARCH("미얀마",$U215)),MAX(0,MIN($K215,기준정보!$C$9)-MAX($K215-기준정보!$C$6,기준정보!$C$8)+1),IF(ISNUMBER(SEARCH("인도네시아",$U215)),MAX(0,MIN($K215,기준정보!$C$11)-MAX($K215-기준정보!$C$6,기준정보!$C$10)+1),0)))</f>
        <v/>
      </c>
      <c r="M215" s="22">
        <f>IF($K215="","",$K215-기준정보!$C$6-$L215)</f>
        <v/>
      </c>
      <c r="N215" s="24">
        <f>IF($M215="","",$M215-기준정보!$C$4)</f>
        <v/>
      </c>
      <c r="O215" s="21" t="n"/>
      <c r="P215" s="21" t="n"/>
      <c r="Q215" s="21" t="n"/>
      <c r="R215" s="25" t="n"/>
      <c r="S215" s="20">
        <f>IF($H215="","",IF($H215="C","본사(소재팀)",IF($H215="완","생산처","확인 필요")))</f>
        <v/>
      </c>
      <c r="T215" s="20" t="inlineStr">
        <is>
          <t>YIC</t>
        </is>
      </c>
      <c r="U215" s="20" t="inlineStr">
        <is>
          <t>베트남</t>
        </is>
      </c>
      <c r="V215" s="20" t="n"/>
      <c r="W215" s="26" t="n"/>
      <c r="X215" s="26" t="n"/>
      <c r="Y215" s="22" t="n"/>
      <c r="Z215" s="27" t="n">
        <v>3000</v>
      </c>
      <c r="AA215" s="27" t="n">
        <v>139752000</v>
      </c>
      <c r="AB215" s="27" t="n">
        <v>594000000</v>
      </c>
      <c r="AC215" s="20" t="n"/>
      <c r="AD215" s="20">
        <f>IF($J215="","출고일 미정",IF($P215="X","작지 미발행",IF($P215="부분","작지 일부 미발행",IF(AND($R215&lt;&gt;"",$R215&gt;$M215),"소재입고 마감("&amp;TEXT($M215,"MM/DD")&amp;") 초과",IF($P215="","발행여부 확인 필요",IF($R215="","소재 입고일정 확인 필요","정상"))))))</f>
        <v/>
      </c>
      <c r="AE215" s="19">
        <f>IF($J215="","",IF(OR(LEFT($AD215,2)="작지",LEFT($AD215,4)="소재입고"),IF(LEFT($G215,1)="A","★ 납기위험(A코드)","◆ 지연주의"),IF($AD215="정상","✓ 정상","? 확인필요")))</f>
        <v/>
      </c>
      <c r="AF215" s="21" t="n"/>
      <c r="AG215" s="28" t="n"/>
    </row>
    <row r="216">
      <c r="A216" s="19" t="n">
        <v>212</v>
      </c>
      <c r="B216" s="20" t="inlineStr">
        <is>
          <t>김준래</t>
        </is>
      </c>
      <c r="C216" s="20" t="inlineStr">
        <is>
          <t>정희영</t>
        </is>
      </c>
      <c r="D216" s="20" t="inlineStr">
        <is>
          <t>TLSXW27601</t>
        </is>
      </c>
      <c r="E216" s="20" t="inlineStr">
        <is>
          <t>남성 긴팔 셔츠</t>
        </is>
      </c>
      <c r="F216" s="20" t="inlineStr">
        <is>
          <t>MUD/DEB</t>
        </is>
      </c>
      <c r="G216" s="19">
        <f>IF($D216="","",IF(MID($D216,5,1)="A","A(가을)",IF(MID($D216,5,1)="W","W(겨울)",IF(MID($D216,5,1)="X","X(사계절)",MID($D216,5,1)))))</f>
        <v/>
      </c>
      <c r="H216" s="19" t="inlineStr">
        <is>
          <t>완</t>
        </is>
      </c>
      <c r="I216" s="21" t="inlineStr">
        <is>
          <t>9월1주</t>
        </is>
      </c>
      <c r="J216" s="22">
        <f>IF($I216="","",IFERROR(DATE(기준정보!$C$7,VALUE(LEFT($I216,FIND("월",$I216)-1)),1+7*(VALUE(SUBSTITUTE(MID($I216,FIND("월",$I216)+1,5),"주",""))-1)),""))</f>
        <v/>
      </c>
      <c r="K216" s="22">
        <f>IF($J216="","",IF(AND(ISNUMBER(SEARCH("미얀마",$U216)),$J216-기준정보!$C$5&gt;=기준정보!$C$8,$J216-기준정보!$C$5&lt;=기준정보!$C$9),기준정보!$C$8-1,IF(AND(ISNUMBER(SEARCH("인도네시아",$U216)),$J216-기준정보!$C$5&gt;=기준정보!$C$10,$J216-기준정보!$C$5&lt;=기준정보!$C$11),기준정보!$C$10-1,$J216-기준정보!$C$5)))</f>
        <v/>
      </c>
      <c r="L216" s="23">
        <f>IF($K216="","",IF(ISNUMBER(SEARCH("미얀마",$U216)),MAX(0,MIN($K216,기준정보!$C$9)-MAX($K216-기준정보!$C$6,기준정보!$C$8)+1),IF(ISNUMBER(SEARCH("인도네시아",$U216)),MAX(0,MIN($K216,기준정보!$C$11)-MAX($K216-기준정보!$C$6,기준정보!$C$10)+1),0)))</f>
        <v/>
      </c>
      <c r="M216" s="22">
        <f>IF($K216="","",$K216-기준정보!$C$6-$L216)</f>
        <v/>
      </c>
      <c r="N216" s="24">
        <f>IF($M216="","",$M216-기준정보!$C$4)</f>
        <v/>
      </c>
      <c r="O216" s="21" t="n"/>
      <c r="P216" s="21" t="n"/>
      <c r="Q216" s="21" t="n"/>
      <c r="R216" s="25" t="n"/>
      <c r="S216" s="20">
        <f>IF($H216="","",IF($H216="C","본사(소재팀)",IF($H216="완","생산처","확인 필요")))</f>
        <v/>
      </c>
      <c r="T216" s="20" t="inlineStr">
        <is>
          <t>성원</t>
        </is>
      </c>
      <c r="U216" s="20" t="inlineStr">
        <is>
          <t>베트남</t>
        </is>
      </c>
      <c r="V216" s="20" t="n"/>
      <c r="W216" s="26" t="n"/>
      <c r="X216" s="26" t="n"/>
      <c r="Y216" s="22" t="n"/>
      <c r="Z216" s="27" t="n">
        <v>3000</v>
      </c>
      <c r="AA216" s="27" t="n">
        <v>129123000</v>
      </c>
      <c r="AB216" s="27" t="n">
        <v>594000000</v>
      </c>
      <c r="AC216" s="20" t="n"/>
      <c r="AD216" s="20">
        <f>IF($J216="","출고일 미정",IF($P216="X","작지 미발행",IF($P216="부분","작지 일부 미발행",IF(AND($R216&lt;&gt;"",$R216&gt;$M216),"소재입고 마감("&amp;TEXT($M216,"MM/DD")&amp;") 초과",IF($P216="","발행여부 확인 필요",IF($R216="","소재 입고일정 확인 필요","정상"))))))</f>
        <v/>
      </c>
      <c r="AE216" s="19">
        <f>IF($J216="","",IF(OR(LEFT($AD216,2)="작지",LEFT($AD216,4)="소재입고"),IF(LEFT($G216,1)="A","★ 납기위험(A코드)","◆ 지연주의"),IF($AD216="정상","✓ 정상","? 확인필요")))</f>
        <v/>
      </c>
      <c r="AF216" s="21" t="n"/>
      <c r="AG216" s="28" t="n"/>
    </row>
    <row r="217">
      <c r="A217" s="19" t="n">
        <v>213</v>
      </c>
      <c r="B217" s="20" t="inlineStr">
        <is>
          <t>김준래</t>
        </is>
      </c>
      <c r="C217" s="20" t="inlineStr">
        <is>
          <t>정희영</t>
        </is>
      </c>
      <c r="D217" s="20" t="inlineStr">
        <is>
          <t>TLSXW27605</t>
        </is>
      </c>
      <c r="E217" s="20" t="inlineStr">
        <is>
          <t>남성 코듀로이 릴렉스핏 긴팔 셔츠</t>
        </is>
      </c>
      <c r="F217" s="20" t="inlineStr">
        <is>
          <t>DNV/ABE</t>
        </is>
      </c>
      <c r="G217" s="19">
        <f>IF($D217="","",IF(MID($D217,5,1)="A","A(가을)",IF(MID($D217,5,1)="W","W(겨울)",IF(MID($D217,5,1)="X","X(사계절)",MID($D217,5,1)))))</f>
        <v/>
      </c>
      <c r="H217" s="19" t="inlineStr">
        <is>
          <t>완</t>
        </is>
      </c>
      <c r="I217" s="21" t="inlineStr">
        <is>
          <t>9월1주</t>
        </is>
      </c>
      <c r="J217" s="22">
        <f>IF($I217="","",IFERROR(DATE(기준정보!$C$7,VALUE(LEFT($I217,FIND("월",$I217)-1)),1+7*(VALUE(SUBSTITUTE(MID($I217,FIND("월",$I217)+1,5),"주",""))-1)),""))</f>
        <v/>
      </c>
      <c r="K217" s="22">
        <f>IF($J217="","",IF(AND(ISNUMBER(SEARCH("미얀마",$U217)),$J217-기준정보!$C$5&gt;=기준정보!$C$8,$J217-기준정보!$C$5&lt;=기준정보!$C$9),기준정보!$C$8-1,IF(AND(ISNUMBER(SEARCH("인도네시아",$U217)),$J217-기준정보!$C$5&gt;=기준정보!$C$10,$J217-기준정보!$C$5&lt;=기준정보!$C$11),기준정보!$C$10-1,$J217-기준정보!$C$5)))</f>
        <v/>
      </c>
      <c r="L217" s="23">
        <f>IF($K217="","",IF(ISNUMBER(SEARCH("미얀마",$U217)),MAX(0,MIN($K217,기준정보!$C$9)-MAX($K217-기준정보!$C$6,기준정보!$C$8)+1),IF(ISNUMBER(SEARCH("인도네시아",$U217)),MAX(0,MIN($K217,기준정보!$C$11)-MAX($K217-기준정보!$C$6,기준정보!$C$10)+1),0)))</f>
        <v/>
      </c>
      <c r="M217" s="22">
        <f>IF($K217="","",$K217-기준정보!$C$6-$L217)</f>
        <v/>
      </c>
      <c r="N217" s="24">
        <f>IF($M217="","",$M217-기준정보!$C$4)</f>
        <v/>
      </c>
      <c r="O217" s="21" t="n"/>
      <c r="P217" s="21" t="n"/>
      <c r="Q217" s="21" t="n"/>
      <c r="R217" s="25" t="n"/>
      <c r="S217" s="20">
        <f>IF($H217="","",IF($H217="C","본사(소재팀)",IF($H217="완","생산처","확인 필요")))</f>
        <v/>
      </c>
      <c r="T217" s="20" t="inlineStr">
        <is>
          <t>성원</t>
        </is>
      </c>
      <c r="U217" s="20" t="inlineStr">
        <is>
          <t>베트남</t>
        </is>
      </c>
      <c r="V217" s="20" t="n"/>
      <c r="W217" s="26" t="n"/>
      <c r="X217" s="26" t="n"/>
      <c r="Y217" s="22" t="n"/>
      <c r="Z217" s="27" t="n">
        <v>3000</v>
      </c>
      <c r="AA217" s="27" t="n">
        <v>132966000</v>
      </c>
      <c r="AB217" s="27" t="n">
        <v>750000000</v>
      </c>
      <c r="AC217" s="20" t="n"/>
      <c r="AD217" s="20">
        <f>IF($J217="","출고일 미정",IF($P217="X","작지 미발행",IF($P217="부분","작지 일부 미발행",IF(AND($R217&lt;&gt;"",$R217&gt;$M217),"소재입고 마감("&amp;TEXT($M217,"MM/DD")&amp;") 초과",IF($P217="","발행여부 확인 필요",IF($R217="","소재 입고일정 확인 필요","정상"))))))</f>
        <v/>
      </c>
      <c r="AE217" s="19">
        <f>IF($J217="","",IF(OR(LEFT($AD217,2)="작지",LEFT($AD217,4)="소재입고"),IF(LEFT($G217,1)="A","★ 납기위험(A코드)","◆ 지연주의"),IF($AD217="정상","✓ 정상","? 확인필요")))</f>
        <v/>
      </c>
      <c r="AF217" s="21" t="n"/>
      <c r="AG217" s="28" t="n"/>
    </row>
    <row r="218">
      <c r="A218" s="19" t="n">
        <v>214</v>
      </c>
      <c r="B218" s="20" t="inlineStr">
        <is>
          <t>김준래</t>
        </is>
      </c>
      <c r="C218" s="20" t="inlineStr">
        <is>
          <t>정희영</t>
        </is>
      </c>
      <c r="D218" s="20" t="inlineStr">
        <is>
          <t>TLSXW27607</t>
        </is>
      </c>
      <c r="E218" s="20" t="inlineStr">
        <is>
          <t>남성 플란넬 체크 릴렉스핏 긴팔 셔츠</t>
        </is>
      </c>
      <c r="F218" s="20" t="inlineStr">
        <is>
          <t>DNV/RBW</t>
        </is>
      </c>
      <c r="G218" s="19">
        <f>IF($D218="","",IF(MID($D218,5,1)="A","A(가을)",IF(MID($D218,5,1)="W","W(겨울)",IF(MID($D218,5,1)="X","X(사계절)",MID($D218,5,1)))))</f>
        <v/>
      </c>
      <c r="H218" s="19" t="inlineStr">
        <is>
          <t>완</t>
        </is>
      </c>
      <c r="I218" s="21" t="inlineStr">
        <is>
          <t>9월1주</t>
        </is>
      </c>
      <c r="J218" s="22">
        <f>IF($I218="","",IFERROR(DATE(기준정보!$C$7,VALUE(LEFT($I218,FIND("월",$I218)-1)),1+7*(VALUE(SUBSTITUTE(MID($I218,FIND("월",$I218)+1,5),"주",""))-1)),""))</f>
        <v/>
      </c>
      <c r="K218" s="22">
        <f>IF($J218="","",IF(AND(ISNUMBER(SEARCH("미얀마",$U218)),$J218-기준정보!$C$5&gt;=기준정보!$C$8,$J218-기준정보!$C$5&lt;=기준정보!$C$9),기준정보!$C$8-1,IF(AND(ISNUMBER(SEARCH("인도네시아",$U218)),$J218-기준정보!$C$5&gt;=기준정보!$C$10,$J218-기준정보!$C$5&lt;=기준정보!$C$11),기준정보!$C$10-1,$J218-기준정보!$C$5)))</f>
        <v/>
      </c>
      <c r="L218" s="23">
        <f>IF($K218="","",IF(ISNUMBER(SEARCH("미얀마",$U218)),MAX(0,MIN($K218,기준정보!$C$9)-MAX($K218-기준정보!$C$6,기준정보!$C$8)+1),IF(ISNUMBER(SEARCH("인도네시아",$U218)),MAX(0,MIN($K218,기준정보!$C$11)-MAX($K218-기준정보!$C$6,기준정보!$C$10)+1),0)))</f>
        <v/>
      </c>
      <c r="M218" s="22">
        <f>IF($K218="","",$K218-기준정보!$C$6-$L218)</f>
        <v/>
      </c>
      <c r="N218" s="24">
        <f>IF($M218="","",$M218-기준정보!$C$4)</f>
        <v/>
      </c>
      <c r="O218" s="21" t="n"/>
      <c r="P218" s="21" t="n"/>
      <c r="Q218" s="21" t="n"/>
      <c r="R218" s="25" t="n"/>
      <c r="S218" s="20">
        <f>IF($H218="","",IF($H218="C","본사(소재팀)",IF($H218="완","생산처","확인 필요")))</f>
        <v/>
      </c>
      <c r="T218" s="20" t="inlineStr">
        <is>
          <t>픽스쳐</t>
        </is>
      </c>
      <c r="U218" s="20" t="inlineStr">
        <is>
          <t>베트남</t>
        </is>
      </c>
      <c r="V218" s="20" t="n"/>
      <c r="W218" s="26" t="n"/>
      <c r="X218" s="26" t="n"/>
      <c r="Y218" s="22" t="n"/>
      <c r="Z218" s="27" t="n">
        <v>3000</v>
      </c>
      <c r="AA218" s="27" t="n">
        <v>105000000</v>
      </c>
      <c r="AB218" s="27" t="n">
        <v>534000000</v>
      </c>
      <c r="AC218" s="20" t="n"/>
      <c r="AD218" s="20">
        <f>IF($J218="","출고일 미정",IF($P218="X","작지 미발행",IF($P218="부분","작지 일부 미발행",IF(AND($R218&lt;&gt;"",$R218&gt;$M218),"소재입고 마감("&amp;TEXT($M218,"MM/DD")&amp;") 초과",IF($P218="","발행여부 확인 필요",IF($R218="","소재 입고일정 확인 필요","정상"))))))</f>
        <v/>
      </c>
      <c r="AE218" s="19">
        <f>IF($J218="","",IF(OR(LEFT($AD218,2)="작지",LEFT($AD218,4)="소재입고"),IF(LEFT($G218,1)="A","★ 납기위험(A코드)","◆ 지연주의"),IF($AD218="정상","✓ 정상","? 확인필요")))</f>
        <v/>
      </c>
      <c r="AF218" s="21" t="n"/>
      <c r="AG218" s="28" t="n"/>
    </row>
    <row r="219">
      <c r="A219" s="19" t="n">
        <v>215</v>
      </c>
      <c r="B219" s="20" t="inlineStr">
        <is>
          <t>최진민</t>
        </is>
      </c>
      <c r="C219" s="20" t="inlineStr">
        <is>
          <t>조이슬</t>
        </is>
      </c>
      <c r="D219" s="20" t="inlineStr">
        <is>
          <t>TLTBW27401</t>
        </is>
      </c>
      <c r="E219" s="20" t="inlineStr">
        <is>
          <t>남성 베이직 긴팔 쿼터집업 티셔츠</t>
        </is>
      </c>
      <c r="F219" s="20" t="inlineStr">
        <is>
          <t>DEB/ASB/DTL/MUD</t>
        </is>
      </c>
      <c r="G219" s="19">
        <f>IF($D219="","",IF(MID($D219,5,1)="A","A(가을)",IF(MID($D219,5,1)="W","W(겨울)",IF(MID($D219,5,1)="X","X(사계절)",MID($D219,5,1)))))</f>
        <v/>
      </c>
      <c r="H219" s="19" t="n"/>
      <c r="I219" s="21" t="inlineStr">
        <is>
          <t>9월1주</t>
        </is>
      </c>
      <c r="J219" s="22">
        <f>IF($I219="","",IFERROR(DATE(기준정보!$C$7,VALUE(LEFT($I219,FIND("월",$I219)-1)),1+7*(VALUE(SUBSTITUTE(MID($I219,FIND("월",$I219)+1,5),"주",""))-1)),""))</f>
        <v/>
      </c>
      <c r="K219" s="22">
        <f>IF($J219="","",IF(AND(ISNUMBER(SEARCH("미얀마",$U219)),$J219-기준정보!$C$5&gt;=기준정보!$C$8,$J219-기준정보!$C$5&lt;=기준정보!$C$9),기준정보!$C$8-1,IF(AND(ISNUMBER(SEARCH("인도네시아",$U219)),$J219-기준정보!$C$5&gt;=기준정보!$C$10,$J219-기준정보!$C$5&lt;=기준정보!$C$11),기준정보!$C$10-1,$J219-기준정보!$C$5)))</f>
        <v/>
      </c>
      <c r="L219" s="23">
        <f>IF($K219="","",IF(ISNUMBER(SEARCH("미얀마",$U219)),MAX(0,MIN($K219,기준정보!$C$9)-MAX($K219-기준정보!$C$6,기준정보!$C$8)+1),IF(ISNUMBER(SEARCH("인도네시아",$U219)),MAX(0,MIN($K219,기준정보!$C$11)-MAX($K219-기준정보!$C$6,기준정보!$C$10)+1),0)))</f>
        <v/>
      </c>
      <c r="M219" s="22">
        <f>IF($K219="","",$K219-기준정보!$C$6-$L219)</f>
        <v/>
      </c>
      <c r="N219" s="24">
        <f>IF($M219="","",$M219-기준정보!$C$4)</f>
        <v/>
      </c>
      <c r="O219" s="21" t="n"/>
      <c r="P219" s="21" t="n"/>
      <c r="Q219" s="21" t="n"/>
      <c r="R219" s="25" t="n"/>
      <c r="S219" s="20">
        <f>IF($H219="","",IF($H219="C","본사(소재팀)",IF($H219="완","생산처","확인 필요")))</f>
        <v/>
      </c>
      <c r="T219" s="20" t="inlineStr">
        <is>
          <t>장안</t>
        </is>
      </c>
      <c r="U219" s="20" t="inlineStr">
        <is>
          <t>베트남</t>
        </is>
      </c>
      <c r="V219" s="20" t="n"/>
      <c r="W219" s="26" t="n"/>
      <c r="X219" s="26" t="n"/>
      <c r="Y219" s="22" t="n"/>
      <c r="Z219" s="27" t="n">
        <v>22000</v>
      </c>
      <c r="AA219" s="27" t="n">
        <v>484000000</v>
      </c>
      <c r="AB219" s="27" t="n">
        <v>3036000000</v>
      </c>
      <c r="AC219" s="20" t="n"/>
      <c r="AD219" s="20">
        <f>IF($J219="","출고일 미정",IF($P219="X","작지 미발행",IF($P219="부분","작지 일부 미발행",IF(AND($R219&lt;&gt;"",$R219&gt;$M219),"소재입고 마감("&amp;TEXT($M219,"MM/DD")&amp;") 초과",IF($P219="","발행여부 확인 필요",IF($R219="","소재 입고일정 확인 필요","정상"))))))</f>
        <v/>
      </c>
      <c r="AE219" s="19">
        <f>IF($J219="","",IF(OR(LEFT($AD219,2)="작지",LEFT($AD219,4)="소재입고"),IF(LEFT($G219,1)="A","★ 납기위험(A코드)","◆ 지연주의"),IF($AD219="정상","✓ 정상","? 확인필요")))</f>
        <v/>
      </c>
      <c r="AF219" s="21" t="n"/>
      <c r="AG219" s="28" t="n"/>
    </row>
    <row r="220">
      <c r="A220" s="19" t="n">
        <v>216</v>
      </c>
      <c r="B220" s="20" t="inlineStr">
        <is>
          <t>최진민</t>
        </is>
      </c>
      <c r="C220" s="20" t="inlineStr">
        <is>
          <t>조이슬</t>
        </is>
      </c>
      <c r="D220" s="20" t="inlineStr">
        <is>
          <t>TLTBW27403</t>
        </is>
      </c>
      <c r="E220" s="20" t="inlineStr">
        <is>
          <t>남성 그리드 릴렉스핏 긴팔 쿼터집업 티셔츠</t>
        </is>
      </c>
      <c r="F220" s="20" t="inlineStr">
        <is>
          <t>ABE/RBW</t>
        </is>
      </c>
      <c r="G220" s="19">
        <f>IF($D220="","",IF(MID($D220,5,1)="A","A(가을)",IF(MID($D220,5,1)="W","W(겨울)",IF(MID($D220,5,1)="X","X(사계절)",MID($D220,5,1)))))</f>
        <v/>
      </c>
      <c r="H220" s="19" t="n"/>
      <c r="I220" s="21" t="inlineStr">
        <is>
          <t>9월1주</t>
        </is>
      </c>
      <c r="J220" s="22">
        <f>IF($I220="","",IFERROR(DATE(기준정보!$C$7,VALUE(LEFT($I220,FIND("월",$I220)-1)),1+7*(VALUE(SUBSTITUTE(MID($I220,FIND("월",$I220)+1,5),"주",""))-1)),""))</f>
        <v/>
      </c>
      <c r="K220" s="22">
        <f>IF($J220="","",IF(AND(ISNUMBER(SEARCH("미얀마",$U220)),$J220-기준정보!$C$5&gt;=기준정보!$C$8,$J220-기준정보!$C$5&lt;=기준정보!$C$9),기준정보!$C$8-1,IF(AND(ISNUMBER(SEARCH("인도네시아",$U220)),$J220-기준정보!$C$5&gt;=기준정보!$C$10,$J220-기준정보!$C$5&lt;=기준정보!$C$11),기준정보!$C$10-1,$J220-기준정보!$C$5)))</f>
        <v/>
      </c>
      <c r="L220" s="23">
        <f>IF($K220="","",IF(ISNUMBER(SEARCH("미얀마",$U220)),MAX(0,MIN($K220,기준정보!$C$9)-MAX($K220-기준정보!$C$6,기준정보!$C$8)+1),IF(ISNUMBER(SEARCH("인도네시아",$U220)),MAX(0,MIN($K220,기준정보!$C$11)-MAX($K220-기준정보!$C$6,기준정보!$C$10)+1),0)))</f>
        <v/>
      </c>
      <c r="M220" s="22">
        <f>IF($K220="","",$K220-기준정보!$C$6-$L220)</f>
        <v/>
      </c>
      <c r="N220" s="24">
        <f>IF($M220="","",$M220-기준정보!$C$4)</f>
        <v/>
      </c>
      <c r="O220" s="21" t="n"/>
      <c r="P220" s="21" t="n"/>
      <c r="Q220" s="21" t="n"/>
      <c r="R220" s="25" t="n"/>
      <c r="S220" s="20">
        <f>IF($H220="","",IF($H220="C","본사(소재팀)",IF($H220="완","생산처","확인 필요")))</f>
        <v/>
      </c>
      <c r="T220" s="20" t="inlineStr">
        <is>
          <t>IKG</t>
        </is>
      </c>
      <c r="U220" s="20" t="inlineStr">
        <is>
          <t>인도네시아</t>
        </is>
      </c>
      <c r="V220" s="20" t="n"/>
      <c r="W220" s="26" t="n"/>
      <c r="X220" s="26" t="n"/>
      <c r="Y220" s="22" t="n"/>
      <c r="Z220" s="27" t="n">
        <v>2000</v>
      </c>
      <c r="AA220" s="27" t="n">
        <v>66000000</v>
      </c>
      <c r="AB220" s="27" t="n">
        <v>316000000</v>
      </c>
      <c r="AC220" s="20" t="n"/>
      <c r="AD220" s="20">
        <f>IF($J220="","출고일 미정",IF($P220="X","작지 미발행",IF($P220="부분","작지 일부 미발행",IF(AND($R220&lt;&gt;"",$R220&gt;$M220),"소재입고 마감("&amp;TEXT($M220,"MM/DD")&amp;") 초과",IF($P220="","발행여부 확인 필요",IF($R220="","소재 입고일정 확인 필요","정상"))))))</f>
        <v/>
      </c>
      <c r="AE220" s="19">
        <f>IF($J220="","",IF(OR(LEFT($AD220,2)="작지",LEFT($AD220,4)="소재입고"),IF(LEFT($G220,1)="A","★ 납기위험(A코드)","◆ 지연주의"),IF($AD220="정상","✓ 정상","? 확인필요")))</f>
        <v/>
      </c>
      <c r="AF220" s="21" t="n"/>
      <c r="AG220" s="28" t="n"/>
    </row>
    <row r="221">
      <c r="A221" s="19" t="n">
        <v>217</v>
      </c>
      <c r="B221" s="20" t="inlineStr">
        <is>
          <t>최진민</t>
        </is>
      </c>
      <c r="C221" s="20" t="inlineStr">
        <is>
          <t>조이슬</t>
        </is>
      </c>
      <c r="D221" s="20" t="inlineStr">
        <is>
          <t>TLTBW27405</t>
        </is>
      </c>
      <c r="E221" s="20" t="inlineStr">
        <is>
          <t>남성 니트페이스 긴팔 쿼터집업 티셔츠</t>
        </is>
      </c>
      <c r="F221" s="20" t="inlineStr">
        <is>
          <t>CHR/DTL/ABE</t>
        </is>
      </c>
      <c r="G221" s="19">
        <f>IF($D221="","",IF(MID($D221,5,1)="A","A(가을)",IF(MID($D221,5,1)="W","W(겨울)",IF(MID($D221,5,1)="X","X(사계절)",MID($D221,5,1)))))</f>
        <v/>
      </c>
      <c r="H221" s="19" t="n"/>
      <c r="I221" s="21" t="inlineStr">
        <is>
          <t>9월1주</t>
        </is>
      </c>
      <c r="J221" s="22">
        <f>IF($I221="","",IFERROR(DATE(기준정보!$C$7,VALUE(LEFT($I221,FIND("월",$I221)-1)),1+7*(VALUE(SUBSTITUTE(MID($I221,FIND("월",$I221)+1,5),"주",""))-1)),""))</f>
        <v/>
      </c>
      <c r="K221" s="22">
        <f>IF($J221="","",IF(AND(ISNUMBER(SEARCH("미얀마",$U221)),$J221-기준정보!$C$5&gt;=기준정보!$C$8,$J221-기준정보!$C$5&lt;=기준정보!$C$9),기준정보!$C$8-1,IF(AND(ISNUMBER(SEARCH("인도네시아",$U221)),$J221-기준정보!$C$5&gt;=기준정보!$C$10,$J221-기준정보!$C$5&lt;=기준정보!$C$11),기준정보!$C$10-1,$J221-기준정보!$C$5)))</f>
        <v/>
      </c>
      <c r="L221" s="23">
        <f>IF($K221="","",IF(ISNUMBER(SEARCH("미얀마",$U221)),MAX(0,MIN($K221,기준정보!$C$9)-MAX($K221-기준정보!$C$6,기준정보!$C$8)+1),IF(ISNUMBER(SEARCH("인도네시아",$U221)),MAX(0,MIN($K221,기준정보!$C$11)-MAX($K221-기준정보!$C$6,기준정보!$C$10)+1),0)))</f>
        <v/>
      </c>
      <c r="M221" s="22">
        <f>IF($K221="","",$K221-기준정보!$C$6-$L221)</f>
        <v/>
      </c>
      <c r="N221" s="24">
        <f>IF($M221="","",$M221-기준정보!$C$4)</f>
        <v/>
      </c>
      <c r="O221" s="21" t="n"/>
      <c r="P221" s="21" t="n"/>
      <c r="Q221" s="21" t="n"/>
      <c r="R221" s="25" t="n"/>
      <c r="S221" s="20">
        <f>IF($H221="","",IF($H221="C","본사(소재팀)",IF($H221="완","생산처","확인 필요")))</f>
        <v/>
      </c>
      <c r="T221" s="20" t="inlineStr">
        <is>
          <t>IKG</t>
        </is>
      </c>
      <c r="U221" s="20" t="inlineStr">
        <is>
          <t>인도네시아</t>
        </is>
      </c>
      <c r="V221" s="20" t="n"/>
      <c r="W221" s="26" t="n"/>
      <c r="X221" s="26" t="n"/>
      <c r="Y221" s="22" t="n"/>
      <c r="Z221" s="27" t="n">
        <v>7500</v>
      </c>
      <c r="AA221" s="27" t="n">
        <v>157500000</v>
      </c>
      <c r="AB221" s="27" t="n">
        <v>1110000000</v>
      </c>
      <c r="AC221" s="20" t="n"/>
      <c r="AD221" s="20">
        <f>IF($J221="","출고일 미정",IF($P221="X","작지 미발행",IF($P221="부분","작지 일부 미발행",IF(AND($R221&lt;&gt;"",$R221&gt;$M221),"소재입고 마감("&amp;TEXT($M221,"MM/DD")&amp;") 초과",IF($P221="","발행여부 확인 필요",IF($R221="","소재 입고일정 확인 필요","정상"))))))</f>
        <v/>
      </c>
      <c r="AE221" s="19">
        <f>IF($J221="","",IF(OR(LEFT($AD221,2)="작지",LEFT($AD221,4)="소재입고"),IF(LEFT($G221,1)="A","★ 납기위험(A코드)","◆ 지연주의"),IF($AD221="정상","✓ 정상","? 확인필요")))</f>
        <v/>
      </c>
      <c r="AF221" s="21" t="n"/>
      <c r="AG221" s="28" t="n"/>
    </row>
    <row r="222">
      <c r="A222" s="19" t="n">
        <v>218</v>
      </c>
      <c r="B222" s="20" t="inlineStr">
        <is>
          <t>최진민</t>
        </is>
      </c>
      <c r="C222" s="20" t="inlineStr">
        <is>
          <t>조이슬</t>
        </is>
      </c>
      <c r="D222" s="20" t="inlineStr">
        <is>
          <t>TLTBW27407</t>
        </is>
      </c>
      <c r="E222" s="20" t="inlineStr">
        <is>
          <t>남성 텍스처드 긴팔 쿼터집업 티셔츠</t>
        </is>
      </c>
      <c r="F222" s="20" t="inlineStr">
        <is>
          <t>ASB/DEB</t>
        </is>
      </c>
      <c r="G222" s="19">
        <f>IF($D222="","",IF(MID($D222,5,1)="A","A(가을)",IF(MID($D222,5,1)="W","W(겨울)",IF(MID($D222,5,1)="X","X(사계절)",MID($D222,5,1)))))</f>
        <v/>
      </c>
      <c r="H222" s="19" t="n"/>
      <c r="I222" s="21" t="inlineStr">
        <is>
          <t>9월1주</t>
        </is>
      </c>
      <c r="J222" s="22">
        <f>IF($I222="","",IFERROR(DATE(기준정보!$C$7,VALUE(LEFT($I222,FIND("월",$I222)-1)),1+7*(VALUE(SUBSTITUTE(MID($I222,FIND("월",$I222)+1,5),"주",""))-1)),""))</f>
        <v/>
      </c>
      <c r="K222" s="22">
        <f>IF($J222="","",IF(AND(ISNUMBER(SEARCH("미얀마",$U222)),$J222-기준정보!$C$5&gt;=기준정보!$C$8,$J222-기준정보!$C$5&lt;=기준정보!$C$9),기준정보!$C$8-1,IF(AND(ISNUMBER(SEARCH("인도네시아",$U222)),$J222-기준정보!$C$5&gt;=기준정보!$C$10,$J222-기준정보!$C$5&lt;=기준정보!$C$11),기준정보!$C$10-1,$J222-기준정보!$C$5)))</f>
        <v/>
      </c>
      <c r="L222" s="23">
        <f>IF($K222="","",IF(ISNUMBER(SEARCH("미얀마",$U222)),MAX(0,MIN($K222,기준정보!$C$9)-MAX($K222-기준정보!$C$6,기준정보!$C$8)+1),IF(ISNUMBER(SEARCH("인도네시아",$U222)),MAX(0,MIN($K222,기준정보!$C$11)-MAX($K222-기준정보!$C$6,기준정보!$C$10)+1),0)))</f>
        <v/>
      </c>
      <c r="M222" s="22">
        <f>IF($K222="","",$K222-기준정보!$C$6-$L222)</f>
        <v/>
      </c>
      <c r="N222" s="24">
        <f>IF($M222="","",$M222-기준정보!$C$4)</f>
        <v/>
      </c>
      <c r="O222" s="21" t="n"/>
      <c r="P222" s="21" t="n"/>
      <c r="Q222" s="21" t="n"/>
      <c r="R222" s="25" t="n"/>
      <c r="S222" s="20">
        <f>IF($H222="","",IF($H222="C","본사(소재팀)",IF($H222="완","생산처","확인 필요")))</f>
        <v/>
      </c>
      <c r="T222" s="20" t="inlineStr">
        <is>
          <t>태화</t>
        </is>
      </c>
      <c r="U222" s="20" t="inlineStr">
        <is>
          <t>베트남</t>
        </is>
      </c>
      <c r="V222" s="20" t="n"/>
      <c r="W222" s="26" t="n"/>
      <c r="X222" s="26" t="n"/>
      <c r="Y222" s="22" t="n"/>
      <c r="Z222" s="27" t="n">
        <v>3000</v>
      </c>
      <c r="AA222" s="27" t="n">
        <v>66000000</v>
      </c>
      <c r="AB222" s="27" t="n">
        <v>444000000</v>
      </c>
      <c r="AC222" s="20" t="n"/>
      <c r="AD222" s="20">
        <f>IF($J222="","출고일 미정",IF($P222="X","작지 미발행",IF($P222="부분","작지 일부 미발행",IF(AND($R222&lt;&gt;"",$R222&gt;$M222),"소재입고 마감("&amp;TEXT($M222,"MM/DD")&amp;") 초과",IF($P222="","발행여부 확인 필요",IF($R222="","소재 입고일정 확인 필요","정상"))))))</f>
        <v/>
      </c>
      <c r="AE222" s="19">
        <f>IF($J222="","",IF(OR(LEFT($AD222,2)="작지",LEFT($AD222,4)="소재입고"),IF(LEFT($G222,1)="A","★ 납기위험(A코드)","◆ 지연주의"),IF($AD222="정상","✓ 정상","? 확인필요")))</f>
        <v/>
      </c>
      <c r="AF222" s="21" t="n"/>
      <c r="AG222" s="28" t="n"/>
    </row>
    <row r="223">
      <c r="A223" s="19" t="n">
        <v>219</v>
      </c>
      <c r="B223" s="20" t="inlineStr">
        <is>
          <t>최진민</t>
        </is>
      </c>
      <c r="C223" s="20" t="inlineStr">
        <is>
          <t>조이슬</t>
        </is>
      </c>
      <c r="D223" s="20" t="inlineStr">
        <is>
          <t>TLTBW27411</t>
        </is>
      </c>
      <c r="E223" s="20" t="inlineStr">
        <is>
          <t>남성 베이직 긴팔 라운드 티셔츠</t>
        </is>
      </c>
      <c r="F223" s="20" t="inlineStr">
        <is>
          <t>TEA/DEB</t>
        </is>
      </c>
      <c r="G223" s="19">
        <f>IF($D223="","",IF(MID($D223,5,1)="A","A(가을)",IF(MID($D223,5,1)="W","W(겨울)",IF(MID($D223,5,1)="X","X(사계절)",MID($D223,5,1)))))</f>
        <v/>
      </c>
      <c r="H223" s="19" t="n"/>
      <c r="I223" s="21" t="inlineStr">
        <is>
          <t>9월1주</t>
        </is>
      </c>
      <c r="J223" s="22">
        <f>IF($I223="","",IFERROR(DATE(기준정보!$C$7,VALUE(LEFT($I223,FIND("월",$I223)-1)),1+7*(VALUE(SUBSTITUTE(MID($I223,FIND("월",$I223)+1,5),"주",""))-1)),""))</f>
        <v/>
      </c>
      <c r="K223" s="22">
        <f>IF($J223="","",IF(AND(ISNUMBER(SEARCH("미얀마",$U223)),$J223-기준정보!$C$5&gt;=기준정보!$C$8,$J223-기준정보!$C$5&lt;=기준정보!$C$9),기준정보!$C$8-1,IF(AND(ISNUMBER(SEARCH("인도네시아",$U223)),$J223-기준정보!$C$5&gt;=기준정보!$C$10,$J223-기준정보!$C$5&lt;=기준정보!$C$11),기준정보!$C$10-1,$J223-기준정보!$C$5)))</f>
        <v/>
      </c>
      <c r="L223" s="23">
        <f>IF($K223="","",IF(ISNUMBER(SEARCH("미얀마",$U223)),MAX(0,MIN($K223,기준정보!$C$9)-MAX($K223-기준정보!$C$6,기준정보!$C$8)+1),IF(ISNUMBER(SEARCH("인도네시아",$U223)),MAX(0,MIN($K223,기준정보!$C$11)-MAX($K223-기준정보!$C$6,기준정보!$C$10)+1),0)))</f>
        <v/>
      </c>
      <c r="M223" s="22">
        <f>IF($K223="","",$K223-기준정보!$C$6-$L223)</f>
        <v/>
      </c>
      <c r="N223" s="24">
        <f>IF($M223="","",$M223-기준정보!$C$4)</f>
        <v/>
      </c>
      <c r="O223" s="21" t="n"/>
      <c r="P223" s="21" t="n"/>
      <c r="Q223" s="21" t="n"/>
      <c r="R223" s="25" t="n"/>
      <c r="S223" s="20">
        <f>IF($H223="","",IF($H223="C","본사(소재팀)",IF($H223="완","생산처","확인 필요")))</f>
        <v/>
      </c>
      <c r="T223" s="20" t="inlineStr">
        <is>
          <t>태화</t>
        </is>
      </c>
      <c r="U223" s="20" t="inlineStr">
        <is>
          <t>베트남</t>
        </is>
      </c>
      <c r="V223" s="20" t="n"/>
      <c r="W223" s="26" t="n"/>
      <c r="X223" s="26" t="n"/>
      <c r="Y223" s="22" t="n"/>
      <c r="Z223" s="27" t="n">
        <v>2000</v>
      </c>
      <c r="AA223" s="27" t="n">
        <v>46000000</v>
      </c>
      <c r="AB223" s="27" t="n">
        <v>256000000</v>
      </c>
      <c r="AC223" s="20" t="n"/>
      <c r="AD223" s="20">
        <f>IF($J223="","출고일 미정",IF($P223="X","작지 미발행",IF($P223="부분","작지 일부 미발행",IF(AND($R223&lt;&gt;"",$R223&gt;$M223),"소재입고 마감("&amp;TEXT($M223,"MM/DD")&amp;") 초과",IF($P223="","발행여부 확인 필요",IF($R223="","소재 입고일정 확인 필요","정상"))))))</f>
        <v/>
      </c>
      <c r="AE223" s="19">
        <f>IF($J223="","",IF(OR(LEFT($AD223,2)="작지",LEFT($AD223,4)="소재입고"),IF(LEFT($G223,1)="A","★ 납기위험(A코드)","◆ 지연주의"),IF($AD223="정상","✓ 정상","? 확인필요")))</f>
        <v/>
      </c>
      <c r="AF223" s="21" t="n"/>
      <c r="AG223" s="28" t="n"/>
    </row>
    <row r="224">
      <c r="A224" s="19" t="n">
        <v>220</v>
      </c>
      <c r="B224" s="20" t="inlineStr">
        <is>
          <t>최진민</t>
        </is>
      </c>
      <c r="C224" s="20" t="inlineStr">
        <is>
          <t>조이슬</t>
        </is>
      </c>
      <c r="D224" s="20" t="inlineStr">
        <is>
          <t>TLTBW27421</t>
        </is>
      </c>
      <c r="E224" s="20" t="inlineStr">
        <is>
          <t>남성 메쉬 플리스 릴렉스핏 긴팔 후드 티셔츠</t>
        </is>
      </c>
      <c r="F224" s="20" t="inlineStr">
        <is>
          <t>SAG/DOE</t>
        </is>
      </c>
      <c r="G224" s="19">
        <f>IF($D224="","",IF(MID($D224,5,1)="A","A(가을)",IF(MID($D224,5,1)="W","W(겨울)",IF(MID($D224,5,1)="X","X(사계절)",MID($D224,5,1)))))</f>
        <v/>
      </c>
      <c r="H224" s="19" t="n"/>
      <c r="I224" s="21" t="inlineStr">
        <is>
          <t>9월1주</t>
        </is>
      </c>
      <c r="J224" s="22">
        <f>IF($I224="","",IFERROR(DATE(기준정보!$C$7,VALUE(LEFT($I224,FIND("월",$I224)-1)),1+7*(VALUE(SUBSTITUTE(MID($I224,FIND("월",$I224)+1,5),"주",""))-1)),""))</f>
        <v/>
      </c>
      <c r="K224" s="22">
        <f>IF($J224="","",IF(AND(ISNUMBER(SEARCH("미얀마",$U224)),$J224-기준정보!$C$5&gt;=기준정보!$C$8,$J224-기준정보!$C$5&lt;=기준정보!$C$9),기준정보!$C$8-1,IF(AND(ISNUMBER(SEARCH("인도네시아",$U224)),$J224-기준정보!$C$5&gt;=기준정보!$C$10,$J224-기준정보!$C$5&lt;=기준정보!$C$11),기준정보!$C$10-1,$J224-기준정보!$C$5)))</f>
        <v/>
      </c>
      <c r="L224" s="23">
        <f>IF($K224="","",IF(ISNUMBER(SEARCH("미얀마",$U224)),MAX(0,MIN($K224,기준정보!$C$9)-MAX($K224-기준정보!$C$6,기준정보!$C$8)+1),IF(ISNUMBER(SEARCH("인도네시아",$U224)),MAX(0,MIN($K224,기준정보!$C$11)-MAX($K224-기준정보!$C$6,기준정보!$C$10)+1),0)))</f>
        <v/>
      </c>
      <c r="M224" s="22">
        <f>IF($K224="","",$K224-기준정보!$C$6-$L224)</f>
        <v/>
      </c>
      <c r="N224" s="24">
        <f>IF($M224="","",$M224-기준정보!$C$4)</f>
        <v/>
      </c>
      <c r="O224" s="21" t="n"/>
      <c r="P224" s="21" t="n"/>
      <c r="Q224" s="21" t="n"/>
      <c r="R224" s="25" t="n"/>
      <c r="S224" s="20">
        <f>IF($H224="","",IF($H224="C","본사(소재팀)",IF($H224="완","생산처","확인 필요")))</f>
        <v/>
      </c>
      <c r="T224" s="20" t="n"/>
      <c r="U224" s="20" t="n"/>
      <c r="V224" s="20" t="n"/>
      <c r="W224" s="26" t="n"/>
      <c r="X224" s="26" t="n"/>
      <c r="Y224" s="22" t="n"/>
      <c r="Z224" s="27" t="n">
        <v>800</v>
      </c>
      <c r="AA224" s="27" t="n">
        <v>20000000</v>
      </c>
      <c r="AB224" s="27" t="n">
        <v>126400000</v>
      </c>
      <c r="AC224" s="20" t="n"/>
      <c r="AD224" s="20">
        <f>IF($J224="","출고일 미정",IF($P224="X","작지 미발행",IF($P224="부분","작지 일부 미발행",IF(AND($R224&lt;&gt;"",$R224&gt;$M224),"소재입고 마감("&amp;TEXT($M224,"MM/DD")&amp;") 초과",IF($P224="","발행여부 확인 필요",IF($R224="","소재 입고일정 확인 필요","정상"))))))</f>
        <v/>
      </c>
      <c r="AE224" s="19">
        <f>IF($J224="","",IF(OR(LEFT($AD224,2)="작지",LEFT($AD224,4)="소재입고"),IF(LEFT($G224,1)="A","★ 납기위험(A코드)","◆ 지연주의"),IF($AD224="정상","✓ 정상","? 확인필요")))</f>
        <v/>
      </c>
      <c r="AF224" s="21" t="n"/>
      <c r="AG224" s="28" t="n"/>
    </row>
    <row r="225">
      <c r="A225" s="19" t="n">
        <v>221</v>
      </c>
      <c r="B225" s="20" t="inlineStr">
        <is>
          <t>최진민</t>
        </is>
      </c>
      <c r="C225" s="20" t="inlineStr">
        <is>
          <t>조이슬</t>
        </is>
      </c>
      <c r="D225" s="20" t="inlineStr">
        <is>
          <t>TLTBW27451</t>
        </is>
      </c>
      <c r="E225" s="20" t="inlineStr">
        <is>
          <t>남성 솟솟플리스 쿼터집업 티셔츠</t>
        </is>
      </c>
      <c r="F225" s="20" t="inlineStr">
        <is>
          <t>ABE/ASB/DEB</t>
        </is>
      </c>
      <c r="G225" s="19">
        <f>IF($D225="","",IF(MID($D225,5,1)="A","A(가을)",IF(MID($D225,5,1)="W","W(겨울)",IF(MID($D225,5,1)="X","X(사계절)",MID($D225,5,1)))))</f>
        <v/>
      </c>
      <c r="H225" s="19" t="n"/>
      <c r="I225" s="21" t="inlineStr">
        <is>
          <t>9월1주</t>
        </is>
      </c>
      <c r="J225" s="22">
        <f>IF($I225="","",IFERROR(DATE(기준정보!$C$7,VALUE(LEFT($I225,FIND("월",$I225)-1)),1+7*(VALUE(SUBSTITUTE(MID($I225,FIND("월",$I225)+1,5),"주",""))-1)),""))</f>
        <v/>
      </c>
      <c r="K225" s="22">
        <f>IF($J225="","",IF(AND(ISNUMBER(SEARCH("미얀마",$U225)),$J225-기준정보!$C$5&gt;=기준정보!$C$8,$J225-기준정보!$C$5&lt;=기준정보!$C$9),기준정보!$C$8-1,IF(AND(ISNUMBER(SEARCH("인도네시아",$U225)),$J225-기준정보!$C$5&gt;=기준정보!$C$10,$J225-기준정보!$C$5&lt;=기준정보!$C$11),기준정보!$C$10-1,$J225-기준정보!$C$5)))</f>
        <v/>
      </c>
      <c r="L225" s="23">
        <f>IF($K225="","",IF(ISNUMBER(SEARCH("미얀마",$U225)),MAX(0,MIN($K225,기준정보!$C$9)-MAX($K225-기준정보!$C$6,기준정보!$C$8)+1),IF(ISNUMBER(SEARCH("인도네시아",$U225)),MAX(0,MIN($K225,기준정보!$C$11)-MAX($K225-기준정보!$C$6,기준정보!$C$10)+1),0)))</f>
        <v/>
      </c>
      <c r="M225" s="22">
        <f>IF($K225="","",$K225-기준정보!$C$6-$L225)</f>
        <v/>
      </c>
      <c r="N225" s="24">
        <f>IF($M225="","",$M225-기준정보!$C$4)</f>
        <v/>
      </c>
      <c r="O225" s="21" t="n"/>
      <c r="P225" s="21" t="n"/>
      <c r="Q225" s="21" t="n"/>
      <c r="R225" s="25" t="n"/>
      <c r="S225" s="20">
        <f>IF($H225="","",IF($H225="C","본사(소재팀)",IF($H225="완","생산처","확인 필요")))</f>
        <v/>
      </c>
      <c r="T225" s="20" t="inlineStr">
        <is>
          <t>IKG</t>
        </is>
      </c>
      <c r="U225" s="20" t="inlineStr">
        <is>
          <t>인도네시아</t>
        </is>
      </c>
      <c r="V225" s="20" t="n"/>
      <c r="W225" s="26" t="n"/>
      <c r="X225" s="26" t="n"/>
      <c r="Y225" s="22" t="n"/>
      <c r="Z225" s="27" t="n">
        <v>13000</v>
      </c>
      <c r="AA225" s="27" t="n">
        <v>338000000</v>
      </c>
      <c r="AB225" s="27" t="n">
        <v>1924000000</v>
      </c>
      <c r="AC225" s="20" t="n"/>
      <c r="AD225" s="20">
        <f>IF($J225="","출고일 미정",IF($P225="X","작지 미발행",IF($P225="부분","작지 일부 미발행",IF(AND($R225&lt;&gt;"",$R225&gt;$M225),"소재입고 마감("&amp;TEXT($M225,"MM/DD")&amp;") 초과",IF($P225="","발행여부 확인 필요",IF($R225="","소재 입고일정 확인 필요","정상"))))))</f>
        <v/>
      </c>
      <c r="AE225" s="19">
        <f>IF($J225="","",IF(OR(LEFT($AD225,2)="작지",LEFT($AD225,4)="소재입고"),IF(LEFT($G225,1)="A","★ 납기위험(A코드)","◆ 지연주의"),IF($AD225="정상","✓ 정상","? 확인필요")))</f>
        <v/>
      </c>
      <c r="AF225" s="21" t="n"/>
      <c r="AG225" s="28" t="n"/>
    </row>
    <row r="226">
      <c r="A226" s="19" t="n">
        <v>222</v>
      </c>
      <c r="B226" s="20" t="inlineStr">
        <is>
          <t>김준래</t>
        </is>
      </c>
      <c r="C226" s="20" t="inlineStr">
        <is>
          <t>정희영</t>
        </is>
      </c>
      <c r="D226" s="20" t="inlineStr">
        <is>
          <t>TLTBW27611</t>
        </is>
      </c>
      <c r="E226" s="20" t="inlineStr">
        <is>
          <t>남성 라운드넥 맨투맨</t>
        </is>
      </c>
      <c r="F226" s="20" t="inlineStr">
        <is>
          <t>CTP/DEB</t>
        </is>
      </c>
      <c r="G226" s="19">
        <f>IF($D226="","",IF(MID($D226,5,1)="A","A(가을)",IF(MID($D226,5,1)="W","W(겨울)",IF(MID($D226,5,1)="X","X(사계절)",MID($D226,5,1)))))</f>
        <v/>
      </c>
      <c r="H226" s="19" t="inlineStr">
        <is>
          <t>완</t>
        </is>
      </c>
      <c r="I226" s="21" t="inlineStr">
        <is>
          <t>9월1주</t>
        </is>
      </c>
      <c r="J226" s="22">
        <f>IF($I226="","",IFERROR(DATE(기준정보!$C$7,VALUE(LEFT($I226,FIND("월",$I226)-1)),1+7*(VALUE(SUBSTITUTE(MID($I226,FIND("월",$I226)+1,5),"주",""))-1)),""))</f>
        <v/>
      </c>
      <c r="K226" s="22">
        <f>IF($J226="","",IF(AND(ISNUMBER(SEARCH("미얀마",$U226)),$J226-기준정보!$C$5&gt;=기준정보!$C$8,$J226-기준정보!$C$5&lt;=기준정보!$C$9),기준정보!$C$8-1,IF(AND(ISNUMBER(SEARCH("인도네시아",$U226)),$J226-기준정보!$C$5&gt;=기준정보!$C$10,$J226-기준정보!$C$5&lt;=기준정보!$C$11),기준정보!$C$10-1,$J226-기준정보!$C$5)))</f>
        <v/>
      </c>
      <c r="L226" s="23">
        <f>IF($K226="","",IF(ISNUMBER(SEARCH("미얀마",$U226)),MAX(0,MIN($K226,기준정보!$C$9)-MAX($K226-기준정보!$C$6,기준정보!$C$8)+1),IF(ISNUMBER(SEARCH("인도네시아",$U226)),MAX(0,MIN($K226,기준정보!$C$11)-MAX($K226-기준정보!$C$6,기준정보!$C$10)+1),0)))</f>
        <v/>
      </c>
      <c r="M226" s="22">
        <f>IF($K226="","",$K226-기준정보!$C$6-$L226)</f>
        <v/>
      </c>
      <c r="N226" s="24">
        <f>IF($M226="","",$M226-기준정보!$C$4)</f>
        <v/>
      </c>
      <c r="O226" s="21" t="n"/>
      <c r="P226" s="21" t="n"/>
      <c r="Q226" s="21" t="n"/>
      <c r="R226" s="25" t="n"/>
      <c r="S226" s="20">
        <f>IF($H226="","",IF($H226="C","본사(소재팀)",IF($H226="완","생산처","확인 필요")))</f>
        <v/>
      </c>
      <c r="T226" s="20" t="inlineStr">
        <is>
          <t>YIC</t>
        </is>
      </c>
      <c r="U226" s="20" t="inlineStr">
        <is>
          <t>베트남</t>
        </is>
      </c>
      <c r="V226" s="20" t="n"/>
      <c r="W226" s="26" t="n"/>
      <c r="X226" s="26" t="n"/>
      <c r="Y226" s="22" t="n"/>
      <c r="Z226" s="27" t="n">
        <v>3000</v>
      </c>
      <c r="AA226" s="27" t="n">
        <v>127599000</v>
      </c>
      <c r="AB226" s="27" t="n">
        <v>564000000</v>
      </c>
      <c r="AC226" s="20" t="n"/>
      <c r="AD226" s="20">
        <f>IF($J226="","출고일 미정",IF($P226="X","작지 미발행",IF($P226="부분","작지 일부 미발행",IF(AND($R226&lt;&gt;"",$R226&gt;$M226),"소재입고 마감("&amp;TEXT($M226,"MM/DD")&amp;") 초과",IF($P226="","발행여부 확인 필요",IF($R226="","소재 입고일정 확인 필요","정상"))))))</f>
        <v/>
      </c>
      <c r="AE226" s="19">
        <f>IF($J226="","",IF(OR(LEFT($AD226,2)="작지",LEFT($AD226,4)="소재입고"),IF(LEFT($G226,1)="A","★ 납기위험(A코드)","◆ 지연주의"),IF($AD226="정상","✓ 정상","? 확인필요")))</f>
        <v/>
      </c>
      <c r="AF226" s="21" t="n"/>
      <c r="AG226" s="28" t="n"/>
    </row>
    <row r="227">
      <c r="A227" s="19" t="n">
        <v>223</v>
      </c>
      <c r="B227" s="20" t="inlineStr">
        <is>
          <t>김준래</t>
        </is>
      </c>
      <c r="C227" s="20" t="inlineStr">
        <is>
          <t>정희영</t>
        </is>
      </c>
      <c r="D227" s="20" t="inlineStr">
        <is>
          <t>TLTBW27617</t>
        </is>
      </c>
      <c r="E227" s="20" t="inlineStr">
        <is>
          <t>남성 퀼팅 라운드넥 긴팔 티셔츠</t>
        </is>
      </c>
      <c r="F227" s="20" t="inlineStr">
        <is>
          <t>GBU/DEB</t>
        </is>
      </c>
      <c r="G227" s="19">
        <f>IF($D227="","",IF(MID($D227,5,1)="A","A(가을)",IF(MID($D227,5,1)="W","W(겨울)",IF(MID($D227,5,1)="X","X(사계절)",MID($D227,5,1)))))</f>
        <v/>
      </c>
      <c r="H227" s="19" t="inlineStr">
        <is>
          <t>완</t>
        </is>
      </c>
      <c r="I227" s="21" t="inlineStr">
        <is>
          <t>9월1주</t>
        </is>
      </c>
      <c r="J227" s="22">
        <f>IF($I227="","",IFERROR(DATE(기준정보!$C$7,VALUE(LEFT($I227,FIND("월",$I227)-1)),1+7*(VALUE(SUBSTITUTE(MID($I227,FIND("월",$I227)+1,5),"주",""))-1)),""))</f>
        <v/>
      </c>
      <c r="K227" s="22">
        <f>IF($J227="","",IF(AND(ISNUMBER(SEARCH("미얀마",$U227)),$J227-기준정보!$C$5&gt;=기준정보!$C$8,$J227-기준정보!$C$5&lt;=기준정보!$C$9),기준정보!$C$8-1,IF(AND(ISNUMBER(SEARCH("인도네시아",$U227)),$J227-기준정보!$C$5&gt;=기준정보!$C$10,$J227-기준정보!$C$5&lt;=기준정보!$C$11),기준정보!$C$10-1,$J227-기준정보!$C$5)))</f>
        <v/>
      </c>
      <c r="L227" s="23">
        <f>IF($K227="","",IF(ISNUMBER(SEARCH("미얀마",$U227)),MAX(0,MIN($K227,기준정보!$C$9)-MAX($K227-기준정보!$C$6,기준정보!$C$8)+1),IF(ISNUMBER(SEARCH("인도네시아",$U227)),MAX(0,MIN($K227,기준정보!$C$11)-MAX($K227-기준정보!$C$6,기준정보!$C$10)+1),0)))</f>
        <v/>
      </c>
      <c r="M227" s="22">
        <f>IF($K227="","",$K227-기준정보!$C$6-$L227)</f>
        <v/>
      </c>
      <c r="N227" s="24">
        <f>IF($M227="","",$M227-기준정보!$C$4)</f>
        <v/>
      </c>
      <c r="O227" s="21" t="n"/>
      <c r="P227" s="21" t="n"/>
      <c r="Q227" s="21" t="n"/>
      <c r="R227" s="25" t="n"/>
      <c r="S227" s="20">
        <f>IF($H227="","",IF($H227="C","본사(소재팀)",IF($H227="완","생산처","확인 필요")))</f>
        <v/>
      </c>
      <c r="T227" s="20" t="inlineStr">
        <is>
          <t>TESSELLATION</t>
        </is>
      </c>
      <c r="U227" s="20" t="inlineStr">
        <is>
          <t>베트남</t>
        </is>
      </c>
      <c r="V227" s="20" t="n"/>
      <c r="W227" s="26" t="n"/>
      <c r="X227" s="26" t="n"/>
      <c r="Y227" s="22" t="n"/>
      <c r="Z227" s="27" t="n">
        <v>2000</v>
      </c>
      <c r="AA227" s="27" t="n">
        <v>71760000</v>
      </c>
      <c r="AB227" s="27" t="n">
        <v>376000000</v>
      </c>
      <c r="AC227" s="20" t="n"/>
      <c r="AD227" s="20">
        <f>IF($J227="","출고일 미정",IF($P227="X","작지 미발행",IF($P227="부분","작지 일부 미발행",IF(AND($R227&lt;&gt;"",$R227&gt;$M227),"소재입고 마감("&amp;TEXT($M227,"MM/DD")&amp;") 초과",IF($P227="","발행여부 확인 필요",IF($R227="","소재 입고일정 확인 필요","정상"))))))</f>
        <v/>
      </c>
      <c r="AE227" s="19">
        <f>IF($J227="","",IF(OR(LEFT($AD227,2)="작지",LEFT($AD227,4)="소재입고"),IF(LEFT($G227,1)="A","★ 납기위험(A코드)","◆ 지연주의"),IF($AD227="정상","✓ 정상","? 확인필요")))</f>
        <v/>
      </c>
      <c r="AF227" s="21" t="n"/>
      <c r="AG227" s="28" t="n"/>
    </row>
    <row r="228">
      <c r="A228" s="19" t="n">
        <v>224</v>
      </c>
      <c r="B228" s="20" t="inlineStr">
        <is>
          <t>김준래</t>
        </is>
      </c>
      <c r="C228" s="20" t="inlineStr">
        <is>
          <t>정희영</t>
        </is>
      </c>
      <c r="D228" s="20" t="inlineStr">
        <is>
          <t>TLTBW27619</t>
        </is>
      </c>
      <c r="E228" s="20" t="inlineStr">
        <is>
          <t>남성 퀼팅 반집업 긴팔 티셔츠</t>
        </is>
      </c>
      <c r="F228" s="20" t="inlineStr">
        <is>
          <t>LML/DNV</t>
        </is>
      </c>
      <c r="G228" s="19">
        <f>IF($D228="","",IF(MID($D228,5,1)="A","A(가을)",IF(MID($D228,5,1)="W","W(겨울)",IF(MID($D228,5,1)="X","X(사계절)",MID($D228,5,1)))))</f>
        <v/>
      </c>
      <c r="H228" s="19" t="inlineStr">
        <is>
          <t>완</t>
        </is>
      </c>
      <c r="I228" s="21" t="inlineStr">
        <is>
          <t>9월1주</t>
        </is>
      </c>
      <c r="J228" s="22">
        <f>IF($I228="","",IFERROR(DATE(기준정보!$C$7,VALUE(LEFT($I228,FIND("월",$I228)-1)),1+7*(VALUE(SUBSTITUTE(MID($I228,FIND("월",$I228)+1,5),"주",""))-1)),""))</f>
        <v/>
      </c>
      <c r="K228" s="22">
        <f>IF($J228="","",IF(AND(ISNUMBER(SEARCH("미얀마",$U228)),$J228-기준정보!$C$5&gt;=기준정보!$C$8,$J228-기준정보!$C$5&lt;=기준정보!$C$9),기준정보!$C$8-1,IF(AND(ISNUMBER(SEARCH("인도네시아",$U228)),$J228-기준정보!$C$5&gt;=기준정보!$C$10,$J228-기준정보!$C$5&lt;=기준정보!$C$11),기준정보!$C$10-1,$J228-기준정보!$C$5)))</f>
        <v/>
      </c>
      <c r="L228" s="23">
        <f>IF($K228="","",IF(ISNUMBER(SEARCH("미얀마",$U228)),MAX(0,MIN($K228,기준정보!$C$9)-MAX($K228-기준정보!$C$6,기준정보!$C$8)+1),IF(ISNUMBER(SEARCH("인도네시아",$U228)),MAX(0,MIN($K228,기준정보!$C$11)-MAX($K228-기준정보!$C$6,기준정보!$C$10)+1),0)))</f>
        <v/>
      </c>
      <c r="M228" s="22">
        <f>IF($K228="","",$K228-기준정보!$C$6-$L228)</f>
        <v/>
      </c>
      <c r="N228" s="24">
        <f>IF($M228="","",$M228-기준정보!$C$4)</f>
        <v/>
      </c>
      <c r="O228" s="21" t="n"/>
      <c r="P228" s="21" t="n"/>
      <c r="Q228" s="21" t="n"/>
      <c r="R228" s="25" t="n"/>
      <c r="S228" s="20">
        <f>IF($H228="","",IF($H228="C","본사(소재팀)",IF($H228="완","생산처","확인 필요")))</f>
        <v/>
      </c>
      <c r="T228" s="20" t="inlineStr">
        <is>
          <t>TESSELLATION</t>
        </is>
      </c>
      <c r="U228" s="20" t="inlineStr">
        <is>
          <t>베트남</t>
        </is>
      </c>
      <c r="V228" s="20" t="n"/>
      <c r="W228" s="26" t="n"/>
      <c r="X228" s="26" t="n"/>
      <c r="Y228" s="22" t="n"/>
      <c r="Z228" s="27" t="n">
        <v>2000</v>
      </c>
      <c r="AA228" s="27" t="n">
        <v>75180000</v>
      </c>
      <c r="AB228" s="27" t="n">
        <v>396000000</v>
      </c>
      <c r="AC228" s="20" t="n"/>
      <c r="AD228" s="20">
        <f>IF($J228="","출고일 미정",IF($P228="X","작지 미발행",IF($P228="부분","작지 일부 미발행",IF(AND($R228&lt;&gt;"",$R228&gt;$M228),"소재입고 마감("&amp;TEXT($M228,"MM/DD")&amp;") 초과",IF($P228="","발행여부 확인 필요",IF($R228="","소재 입고일정 확인 필요","정상"))))))</f>
        <v/>
      </c>
      <c r="AE228" s="19">
        <f>IF($J228="","",IF(OR(LEFT($AD228,2)="작지",LEFT($AD228,4)="소재입고"),IF(LEFT($G228,1)="A","★ 납기위험(A코드)","◆ 지연주의"),IF($AD228="정상","✓ 정상","? 확인필요")))</f>
        <v/>
      </c>
      <c r="AF228" s="21" t="n"/>
      <c r="AG228" s="28" t="n"/>
    </row>
    <row r="229">
      <c r="A229" s="19" t="n">
        <v>225</v>
      </c>
      <c r="B229" s="20" t="inlineStr">
        <is>
          <t>최진민</t>
        </is>
      </c>
      <c r="C229" s="20" t="inlineStr">
        <is>
          <t>조이슬</t>
        </is>
      </c>
      <c r="D229" s="20" t="inlineStr">
        <is>
          <t>TLVAW27403</t>
        </is>
      </c>
      <c r="E229" s="20" t="inlineStr">
        <is>
          <t>남성 프리마로프트 스탠드넥 방풍 베스트</t>
        </is>
      </c>
      <c r="F229" s="20" t="inlineStr">
        <is>
          <t>MID/CTP</t>
        </is>
      </c>
      <c r="G229" s="19">
        <f>IF($D229="","",IF(MID($D229,5,1)="A","A(가을)",IF(MID($D229,5,1)="W","W(겨울)",IF(MID($D229,5,1)="X","X(사계절)",MID($D229,5,1)))))</f>
        <v/>
      </c>
      <c r="H229" s="19" t="n"/>
      <c r="I229" s="21" t="inlineStr">
        <is>
          <t>9월1주</t>
        </is>
      </c>
      <c r="J229" s="22">
        <f>IF($I229="","",IFERROR(DATE(기준정보!$C$7,VALUE(LEFT($I229,FIND("월",$I229)-1)),1+7*(VALUE(SUBSTITUTE(MID($I229,FIND("월",$I229)+1,5),"주",""))-1)),""))</f>
        <v/>
      </c>
      <c r="K229" s="22">
        <f>IF($J229="","",IF(AND(ISNUMBER(SEARCH("미얀마",$U229)),$J229-기준정보!$C$5&gt;=기준정보!$C$8,$J229-기준정보!$C$5&lt;=기준정보!$C$9),기준정보!$C$8-1,IF(AND(ISNUMBER(SEARCH("인도네시아",$U229)),$J229-기준정보!$C$5&gt;=기준정보!$C$10,$J229-기준정보!$C$5&lt;=기준정보!$C$11),기준정보!$C$10-1,$J229-기준정보!$C$5)))</f>
        <v/>
      </c>
      <c r="L229" s="23">
        <f>IF($K229="","",IF(ISNUMBER(SEARCH("미얀마",$U229)),MAX(0,MIN($K229,기준정보!$C$9)-MAX($K229-기준정보!$C$6,기준정보!$C$8)+1),IF(ISNUMBER(SEARCH("인도네시아",$U229)),MAX(0,MIN($K229,기준정보!$C$11)-MAX($K229-기준정보!$C$6,기준정보!$C$10)+1),0)))</f>
        <v/>
      </c>
      <c r="M229" s="22">
        <f>IF($K229="","",$K229-기준정보!$C$6-$L229)</f>
        <v/>
      </c>
      <c r="N229" s="24">
        <f>IF($M229="","",$M229-기준정보!$C$4)</f>
        <v/>
      </c>
      <c r="O229" s="21" t="n"/>
      <c r="P229" s="21" t="n"/>
      <c r="Q229" s="21" t="n"/>
      <c r="R229" s="25" t="n"/>
      <c r="S229" s="20">
        <f>IF($H229="","",IF($H229="C","본사(소재팀)",IF($H229="완","생산처","확인 필요")))</f>
        <v/>
      </c>
      <c r="T229" s="20" t="inlineStr">
        <is>
          <t>원전</t>
        </is>
      </c>
      <c r="U229" s="20" t="inlineStr">
        <is>
          <t>인도네시아</t>
        </is>
      </c>
      <c r="V229" s="20" t="n"/>
      <c r="W229" s="26" t="n"/>
      <c r="X229" s="26" t="n"/>
      <c r="Y229" s="22" t="n"/>
      <c r="Z229" s="27" t="n">
        <v>2500</v>
      </c>
      <c r="AA229" s="27" t="n">
        <v>92500000</v>
      </c>
      <c r="AB229" s="27" t="n">
        <v>470000000</v>
      </c>
      <c r="AC229" s="20" t="n"/>
      <c r="AD229" s="20">
        <f>IF($J229="","출고일 미정",IF($P229="X","작지 미발행",IF($P229="부분","작지 일부 미발행",IF(AND($R229&lt;&gt;"",$R229&gt;$M229),"소재입고 마감("&amp;TEXT($M229,"MM/DD")&amp;") 초과",IF($P229="","발행여부 확인 필요",IF($R229="","소재 입고일정 확인 필요","정상"))))))</f>
        <v/>
      </c>
      <c r="AE229" s="19">
        <f>IF($J229="","",IF(OR(LEFT($AD229,2)="작지",LEFT($AD229,4)="소재입고"),IF(LEFT($G229,1)="A","★ 납기위험(A코드)","◆ 지연주의"),IF($AD229="정상","✓ 정상","? 확인필요")))</f>
        <v/>
      </c>
      <c r="AF229" s="21" t="n"/>
      <c r="AG229" s="28" t="n"/>
    </row>
    <row r="230">
      <c r="A230" s="19" t="n">
        <v>226</v>
      </c>
      <c r="B230" s="20" t="inlineStr">
        <is>
          <t>최진민</t>
        </is>
      </c>
      <c r="C230" s="20" t="inlineStr">
        <is>
          <t>조이슬</t>
        </is>
      </c>
      <c r="D230" s="20" t="inlineStr">
        <is>
          <t>TLVAW27405</t>
        </is>
      </c>
      <c r="E230" s="20" t="inlineStr">
        <is>
          <t>남성 슬림핏 스탠드넥 베스트</t>
        </is>
      </c>
      <c r="F230" s="20" t="inlineStr">
        <is>
          <t>DMS/CHR</t>
        </is>
      </c>
      <c r="G230" s="19">
        <f>IF($D230="","",IF(MID($D230,5,1)="A","A(가을)",IF(MID($D230,5,1)="W","W(겨울)",IF(MID($D230,5,1)="X","X(사계절)",MID($D230,5,1)))))</f>
        <v/>
      </c>
      <c r="H230" s="19" t="n"/>
      <c r="I230" s="21" t="inlineStr">
        <is>
          <t>9월1주</t>
        </is>
      </c>
      <c r="J230" s="22">
        <f>IF($I230="","",IFERROR(DATE(기준정보!$C$7,VALUE(LEFT($I230,FIND("월",$I230)-1)),1+7*(VALUE(SUBSTITUTE(MID($I230,FIND("월",$I230)+1,5),"주",""))-1)),""))</f>
        <v/>
      </c>
      <c r="K230" s="22">
        <f>IF($J230="","",IF(AND(ISNUMBER(SEARCH("미얀마",$U230)),$J230-기준정보!$C$5&gt;=기준정보!$C$8,$J230-기준정보!$C$5&lt;=기준정보!$C$9),기준정보!$C$8-1,IF(AND(ISNUMBER(SEARCH("인도네시아",$U230)),$J230-기준정보!$C$5&gt;=기준정보!$C$10,$J230-기준정보!$C$5&lt;=기준정보!$C$11),기준정보!$C$10-1,$J230-기준정보!$C$5)))</f>
        <v/>
      </c>
      <c r="L230" s="23">
        <f>IF($K230="","",IF(ISNUMBER(SEARCH("미얀마",$U230)),MAX(0,MIN($K230,기준정보!$C$9)-MAX($K230-기준정보!$C$6,기준정보!$C$8)+1),IF(ISNUMBER(SEARCH("인도네시아",$U230)),MAX(0,MIN($K230,기준정보!$C$11)-MAX($K230-기준정보!$C$6,기준정보!$C$10)+1),0)))</f>
        <v/>
      </c>
      <c r="M230" s="22">
        <f>IF($K230="","",$K230-기준정보!$C$6-$L230)</f>
        <v/>
      </c>
      <c r="N230" s="24">
        <f>IF($M230="","",$M230-기준정보!$C$4)</f>
        <v/>
      </c>
      <c r="O230" s="21" t="n"/>
      <c r="P230" s="21" t="n"/>
      <c r="Q230" s="21" t="n"/>
      <c r="R230" s="25" t="n"/>
      <c r="S230" s="20">
        <f>IF($H230="","",IF($H230="C","본사(소재팀)",IF($H230="완","생산처","확인 필요")))</f>
        <v/>
      </c>
      <c r="T230" s="20" t="inlineStr">
        <is>
          <t>기도</t>
        </is>
      </c>
      <c r="U230" s="20" t="inlineStr">
        <is>
          <t>미얀마</t>
        </is>
      </c>
      <c r="V230" s="20" t="n"/>
      <c r="W230" s="26" t="n"/>
      <c r="X230" s="26" t="n"/>
      <c r="Y230" s="22" t="n"/>
      <c r="Z230" s="27" t="n">
        <v>1200</v>
      </c>
      <c r="AA230" s="27" t="n">
        <v>42000000</v>
      </c>
      <c r="AB230" s="27" t="n">
        <v>213600000</v>
      </c>
      <c r="AC230" s="20" t="n"/>
      <c r="AD230" s="20">
        <f>IF($J230="","출고일 미정",IF($P230="X","작지 미발행",IF($P230="부분","작지 일부 미발행",IF(AND($R230&lt;&gt;"",$R230&gt;$M230),"소재입고 마감("&amp;TEXT($M230,"MM/DD")&amp;") 초과",IF($P230="","발행여부 확인 필요",IF($R230="","소재 입고일정 확인 필요","정상"))))))</f>
        <v/>
      </c>
      <c r="AE230" s="19">
        <f>IF($J230="","",IF(OR(LEFT($AD230,2)="작지",LEFT($AD230,4)="소재입고"),IF(LEFT($G230,1)="A","★ 납기위험(A코드)","◆ 지연주의"),IF($AD230="정상","✓ 정상","? 확인필요")))</f>
        <v/>
      </c>
      <c r="AF230" s="21" t="n"/>
      <c r="AG230" s="28" t="n"/>
    </row>
    <row r="231">
      <c r="A231" s="19" t="n">
        <v>227</v>
      </c>
      <c r="B231" s="20" t="inlineStr">
        <is>
          <t>김준래</t>
        </is>
      </c>
      <c r="C231" s="20" t="inlineStr">
        <is>
          <t>정희영</t>
        </is>
      </c>
      <c r="D231" s="20" t="inlineStr">
        <is>
          <t>TLVAW27611</t>
        </is>
      </c>
      <c r="E231" s="20" t="inlineStr">
        <is>
          <t>남성 솟솟 경량 넥리스 다운 베스트</t>
        </is>
      </c>
      <c r="F231" s="20" t="inlineStr">
        <is>
          <t>DOE/DEB</t>
        </is>
      </c>
      <c r="G231" s="19">
        <f>IF($D231="","",IF(MID($D231,5,1)="A","A(가을)",IF(MID($D231,5,1)="W","W(겨울)",IF(MID($D231,5,1)="X","X(사계절)",MID($D231,5,1)))))</f>
        <v/>
      </c>
      <c r="H231" s="19" t="inlineStr">
        <is>
          <t>완</t>
        </is>
      </c>
      <c r="I231" s="21" t="inlineStr">
        <is>
          <t>9월1주</t>
        </is>
      </c>
      <c r="J231" s="22">
        <f>IF($I231="","",IFERROR(DATE(기준정보!$C$7,VALUE(LEFT($I231,FIND("월",$I231)-1)),1+7*(VALUE(SUBSTITUTE(MID($I231,FIND("월",$I231)+1,5),"주",""))-1)),""))</f>
        <v/>
      </c>
      <c r="K231" s="22">
        <f>IF($J231="","",IF(AND(ISNUMBER(SEARCH("미얀마",$U231)),$J231-기준정보!$C$5&gt;=기준정보!$C$8,$J231-기준정보!$C$5&lt;=기준정보!$C$9),기준정보!$C$8-1,IF(AND(ISNUMBER(SEARCH("인도네시아",$U231)),$J231-기준정보!$C$5&gt;=기준정보!$C$10,$J231-기준정보!$C$5&lt;=기준정보!$C$11),기준정보!$C$10-1,$J231-기준정보!$C$5)))</f>
        <v/>
      </c>
      <c r="L231" s="23">
        <f>IF($K231="","",IF(ISNUMBER(SEARCH("미얀마",$U231)),MAX(0,MIN($K231,기준정보!$C$9)-MAX($K231-기준정보!$C$6,기준정보!$C$8)+1),IF(ISNUMBER(SEARCH("인도네시아",$U231)),MAX(0,MIN($K231,기준정보!$C$11)-MAX($K231-기준정보!$C$6,기준정보!$C$10)+1),0)))</f>
        <v/>
      </c>
      <c r="M231" s="22">
        <f>IF($K231="","",$K231-기준정보!$C$6-$L231)</f>
        <v/>
      </c>
      <c r="N231" s="24">
        <f>IF($M231="","",$M231-기준정보!$C$4)</f>
        <v/>
      </c>
      <c r="O231" s="21" t="n"/>
      <c r="P231" s="21" t="n"/>
      <c r="Q231" s="21" t="n"/>
      <c r="R231" s="25" t="n"/>
      <c r="S231" s="20">
        <f>IF($H231="","",IF($H231="C","본사(소재팀)",IF($H231="완","생산처","확인 필요")))</f>
        <v/>
      </c>
      <c r="T231" s="20" t="inlineStr">
        <is>
          <t>아이블</t>
        </is>
      </c>
      <c r="U231" s="20" t="inlineStr">
        <is>
          <t>베트남</t>
        </is>
      </c>
      <c r="V231" s="20" t="n"/>
      <c r="W231" s="26" t="n"/>
      <c r="X231" s="26" t="n"/>
      <c r="Y231" s="22" t="n"/>
      <c r="Z231" s="27" t="n">
        <v>3000</v>
      </c>
      <c r="AA231" s="27" t="n">
        <v>141924000</v>
      </c>
      <c r="AB231" s="27" t="n">
        <v>660000000</v>
      </c>
      <c r="AC231" s="20" t="n"/>
      <c r="AD231" s="20">
        <f>IF($J231="","출고일 미정",IF($P231="X","작지 미발행",IF($P231="부분","작지 일부 미발행",IF(AND($R231&lt;&gt;"",$R231&gt;$M231),"소재입고 마감("&amp;TEXT($M231,"MM/DD")&amp;") 초과",IF($P231="","발행여부 확인 필요",IF($R231="","소재 입고일정 확인 필요","정상"))))))</f>
        <v/>
      </c>
      <c r="AE231" s="19">
        <f>IF($J231="","",IF(OR(LEFT($AD231,2)="작지",LEFT($AD231,4)="소재입고"),IF(LEFT($G231,1)="A","★ 납기위험(A코드)","◆ 지연주의"),IF($AD231="정상","✓ 정상","? 확인필요")))</f>
        <v/>
      </c>
      <c r="AF231" s="21" t="n"/>
      <c r="AG231" s="28" t="n"/>
    </row>
    <row r="232">
      <c r="A232" s="19" t="n">
        <v>228</v>
      </c>
      <c r="B232" s="20" t="inlineStr">
        <is>
          <t>문도혁</t>
        </is>
      </c>
      <c r="C232" s="20" t="inlineStr">
        <is>
          <t>정희영</t>
        </is>
      </c>
      <c r="D232" s="20" t="inlineStr">
        <is>
          <t>TNJFW27601</t>
        </is>
      </c>
      <c r="E232" s="20" t="inlineStr">
        <is>
          <t>남녀공용 플리스 릴렉스핏 재킷</t>
        </is>
      </c>
      <c r="F232" s="20" t="inlineStr">
        <is>
          <t>ABE/DEB</t>
        </is>
      </c>
      <c r="G232" s="19">
        <f>IF($D232="","",IF(MID($D232,5,1)="A","A(가을)",IF(MID($D232,5,1)="W","W(겨울)",IF(MID($D232,5,1)="X","X(사계절)",MID($D232,5,1)))))</f>
        <v/>
      </c>
      <c r="H232" s="19" t="inlineStr">
        <is>
          <t>완</t>
        </is>
      </c>
      <c r="I232" s="21" t="inlineStr">
        <is>
          <t>9월1주</t>
        </is>
      </c>
      <c r="J232" s="22">
        <f>IF($I232="","",IFERROR(DATE(기준정보!$C$7,VALUE(LEFT($I232,FIND("월",$I232)-1)),1+7*(VALUE(SUBSTITUTE(MID($I232,FIND("월",$I232)+1,5),"주",""))-1)),""))</f>
        <v/>
      </c>
      <c r="K232" s="22">
        <f>IF($J232="","",IF(AND(ISNUMBER(SEARCH("미얀마",$U232)),$J232-기준정보!$C$5&gt;=기준정보!$C$8,$J232-기준정보!$C$5&lt;=기준정보!$C$9),기준정보!$C$8-1,IF(AND(ISNUMBER(SEARCH("인도네시아",$U232)),$J232-기준정보!$C$5&gt;=기준정보!$C$10,$J232-기준정보!$C$5&lt;=기준정보!$C$11),기준정보!$C$10-1,$J232-기준정보!$C$5)))</f>
        <v/>
      </c>
      <c r="L232" s="23">
        <f>IF($K232="","",IF(ISNUMBER(SEARCH("미얀마",$U232)),MAX(0,MIN($K232,기준정보!$C$9)-MAX($K232-기준정보!$C$6,기준정보!$C$8)+1),IF(ISNUMBER(SEARCH("인도네시아",$U232)),MAX(0,MIN($K232,기준정보!$C$11)-MAX($K232-기준정보!$C$6,기준정보!$C$10)+1),0)))</f>
        <v/>
      </c>
      <c r="M232" s="22">
        <f>IF($K232="","",$K232-기준정보!$C$6-$L232)</f>
        <v/>
      </c>
      <c r="N232" s="24">
        <f>IF($M232="","",$M232-기준정보!$C$4)</f>
        <v/>
      </c>
      <c r="O232" s="21" t="n"/>
      <c r="P232" s="21" t="n"/>
      <c r="Q232" s="21" t="n"/>
      <c r="R232" s="25" t="n"/>
      <c r="S232" s="20">
        <f>IF($H232="","",IF($H232="C","본사(소재팀)",IF($H232="완","생산처","확인 필요")))</f>
        <v/>
      </c>
      <c r="T232" s="20" t="inlineStr">
        <is>
          <t>원전</t>
        </is>
      </c>
      <c r="U232" s="20" t="inlineStr">
        <is>
          <t>인도네시아</t>
        </is>
      </c>
      <c r="V232" s="20" t="n"/>
      <c r="W232" s="26" t="n"/>
      <c r="X232" s="26" t="n"/>
      <c r="Y232" s="22" t="n"/>
      <c r="Z232" s="27" t="n">
        <v>2000</v>
      </c>
      <c r="AA232" s="27" t="n">
        <v>86760000</v>
      </c>
      <c r="AB232" s="27" t="n">
        <v>356000000</v>
      </c>
      <c r="AC232" s="20" t="n"/>
      <c r="AD232" s="20">
        <f>IF($J232="","출고일 미정",IF($P232="X","작지 미발행",IF($P232="부분","작지 일부 미발행",IF(AND($R232&lt;&gt;"",$R232&gt;$M232),"소재입고 마감("&amp;TEXT($M232,"MM/DD")&amp;") 초과",IF($P232="","발행여부 확인 필요",IF($R232="","소재 입고일정 확인 필요","정상"))))))</f>
        <v/>
      </c>
      <c r="AE232" s="19">
        <f>IF($J232="","",IF(OR(LEFT($AD232,2)="작지",LEFT($AD232,4)="소재입고"),IF(LEFT($G232,1)="A","★ 납기위험(A코드)","◆ 지연주의"),IF($AD232="정상","✓ 정상","? 확인필요")))</f>
        <v/>
      </c>
      <c r="AF232" s="21" t="n"/>
      <c r="AG232" s="28" t="n"/>
    </row>
    <row r="233">
      <c r="A233" s="19" t="n">
        <v>229</v>
      </c>
      <c r="B233" s="20" t="inlineStr">
        <is>
          <t>문도혁</t>
        </is>
      </c>
      <c r="C233" s="20" t="inlineStr">
        <is>
          <t>정희영</t>
        </is>
      </c>
      <c r="D233" s="20" t="inlineStr">
        <is>
          <t>TNJFW27611</t>
        </is>
      </c>
      <c r="E233" s="20" t="inlineStr">
        <is>
          <t>남녀공용 솟솟 플리스 릴렉스핏 재킷</t>
        </is>
      </c>
      <c r="F233" s="20" t="inlineStr">
        <is>
          <t>DOE/HYL</t>
        </is>
      </c>
      <c r="G233" s="19">
        <f>IF($D233="","",IF(MID($D233,5,1)="A","A(가을)",IF(MID($D233,5,1)="W","W(겨울)",IF(MID($D233,5,1)="X","X(사계절)",MID($D233,5,1)))))</f>
        <v/>
      </c>
      <c r="H233" s="19" t="inlineStr">
        <is>
          <t>완</t>
        </is>
      </c>
      <c r="I233" s="21" t="inlineStr">
        <is>
          <t>9월1주</t>
        </is>
      </c>
      <c r="J233" s="22">
        <f>IF($I233="","",IFERROR(DATE(기준정보!$C$7,VALUE(LEFT($I233,FIND("월",$I233)-1)),1+7*(VALUE(SUBSTITUTE(MID($I233,FIND("월",$I233)+1,5),"주",""))-1)),""))</f>
        <v/>
      </c>
      <c r="K233" s="22">
        <f>IF($J233="","",IF(AND(ISNUMBER(SEARCH("미얀마",$U233)),$J233-기준정보!$C$5&gt;=기준정보!$C$8,$J233-기준정보!$C$5&lt;=기준정보!$C$9),기준정보!$C$8-1,IF(AND(ISNUMBER(SEARCH("인도네시아",$U233)),$J233-기준정보!$C$5&gt;=기준정보!$C$10,$J233-기준정보!$C$5&lt;=기준정보!$C$11),기준정보!$C$10-1,$J233-기준정보!$C$5)))</f>
        <v/>
      </c>
      <c r="L233" s="23">
        <f>IF($K233="","",IF(ISNUMBER(SEARCH("미얀마",$U233)),MAX(0,MIN($K233,기준정보!$C$9)-MAX($K233-기준정보!$C$6,기준정보!$C$8)+1),IF(ISNUMBER(SEARCH("인도네시아",$U233)),MAX(0,MIN($K233,기준정보!$C$11)-MAX($K233-기준정보!$C$6,기준정보!$C$10)+1),0)))</f>
        <v/>
      </c>
      <c r="M233" s="22">
        <f>IF($K233="","",$K233-기준정보!$C$6-$L233)</f>
        <v/>
      </c>
      <c r="N233" s="24">
        <f>IF($M233="","",$M233-기준정보!$C$4)</f>
        <v/>
      </c>
      <c r="O233" s="21" t="n"/>
      <c r="P233" s="21" t="n"/>
      <c r="Q233" s="21" t="n"/>
      <c r="R233" s="25" t="n"/>
      <c r="S233" s="20">
        <f>IF($H233="","",IF($H233="C","본사(소재팀)",IF($H233="완","생산처","확인 필요")))</f>
        <v/>
      </c>
      <c r="T233" s="20" t="inlineStr">
        <is>
          <t>아이블</t>
        </is>
      </c>
      <c r="U233" s="20" t="inlineStr">
        <is>
          <t>베트남</t>
        </is>
      </c>
      <c r="V233" s="20" t="n"/>
      <c r="W233" s="26" t="n"/>
      <c r="X233" s="26" t="n"/>
      <c r="Y233" s="22" t="n"/>
      <c r="Z233" s="27" t="n">
        <v>1500</v>
      </c>
      <c r="AA233" s="27" t="n">
        <v>91942500</v>
      </c>
      <c r="AB233" s="27" t="n">
        <v>405000000</v>
      </c>
      <c r="AC233" s="20" t="n"/>
      <c r="AD233" s="20">
        <f>IF($J233="","출고일 미정",IF($P233="X","작지 미발행",IF($P233="부분","작지 일부 미발행",IF(AND($R233&lt;&gt;"",$R233&gt;$M233),"소재입고 마감("&amp;TEXT($M233,"MM/DD")&amp;") 초과",IF($P233="","발행여부 확인 필요",IF($R233="","소재 입고일정 확인 필요","정상"))))))</f>
        <v/>
      </c>
      <c r="AE233" s="19">
        <f>IF($J233="","",IF(OR(LEFT($AD233,2)="작지",LEFT($AD233,4)="소재입고"),IF(LEFT($G233,1)="A","★ 납기위험(A코드)","◆ 지연주의"),IF($AD233="정상","✓ 정상","? 확인필요")))</f>
        <v/>
      </c>
      <c r="AF233" s="21" t="n"/>
      <c r="AG233" s="28" t="n"/>
    </row>
    <row r="234">
      <c r="A234" s="19" t="n">
        <v>230</v>
      </c>
      <c r="B234" s="20" t="inlineStr">
        <is>
          <t>정영준</t>
        </is>
      </c>
      <c r="C234" s="20" t="inlineStr">
        <is>
          <t>서은미</t>
        </is>
      </c>
      <c r="D234" s="20" t="inlineStr">
        <is>
          <t>TVJDW27632</t>
        </is>
      </c>
      <c r="E234" s="20" t="inlineStr">
        <is>
          <t>여성 솟솟 경량 넥리스 다운</t>
        </is>
      </c>
      <c r="F234" s="20" t="inlineStr">
        <is>
          <t>CO1/CO2</t>
        </is>
      </c>
      <c r="G234" s="19">
        <f>IF($D234="","",IF(MID($D234,5,1)="A","A(가을)",IF(MID($D234,5,1)="W","W(겨울)",IF(MID($D234,5,1)="X","X(사계절)",MID($D234,5,1)))))</f>
        <v/>
      </c>
      <c r="H234" s="19" t="n"/>
      <c r="I234" s="21" t="inlineStr">
        <is>
          <t>9월1주</t>
        </is>
      </c>
      <c r="J234" s="22">
        <f>IF($I234="","",IFERROR(DATE(기준정보!$C$7,VALUE(LEFT($I234,FIND("월",$I234)-1)),1+7*(VALUE(SUBSTITUTE(MID($I234,FIND("월",$I234)+1,5),"주",""))-1)),""))</f>
        <v/>
      </c>
      <c r="K234" s="22">
        <f>IF($J234="","",IF(AND(ISNUMBER(SEARCH("미얀마",$U234)),$J234-기준정보!$C$5&gt;=기준정보!$C$8,$J234-기준정보!$C$5&lt;=기준정보!$C$9),기준정보!$C$8-1,IF(AND(ISNUMBER(SEARCH("인도네시아",$U234)),$J234-기준정보!$C$5&gt;=기준정보!$C$10,$J234-기준정보!$C$5&lt;=기준정보!$C$11),기준정보!$C$10-1,$J234-기준정보!$C$5)))</f>
        <v/>
      </c>
      <c r="L234" s="23">
        <f>IF($K234="","",IF(ISNUMBER(SEARCH("미얀마",$U234)),MAX(0,MIN($K234,기준정보!$C$9)-MAX($K234-기준정보!$C$6,기준정보!$C$8)+1),IF(ISNUMBER(SEARCH("인도네시아",$U234)),MAX(0,MIN($K234,기준정보!$C$11)-MAX($K234-기준정보!$C$6,기준정보!$C$10)+1),0)))</f>
        <v/>
      </c>
      <c r="M234" s="22">
        <f>IF($K234="","",$K234-기준정보!$C$6-$L234)</f>
        <v/>
      </c>
      <c r="N234" s="24">
        <f>IF($M234="","",$M234-기준정보!$C$4)</f>
        <v/>
      </c>
      <c r="O234" s="21" t="n"/>
      <c r="P234" s="21" t="n"/>
      <c r="Q234" s="21" t="n"/>
      <c r="R234" s="25" t="n"/>
      <c r="S234" s="20">
        <f>IF($H234="","",IF($H234="C","본사(소재팀)",IF($H234="완","생산처","확인 필요")))</f>
        <v/>
      </c>
      <c r="T234" s="20" t="inlineStr">
        <is>
          <t>아이블</t>
        </is>
      </c>
      <c r="U234" s="20" t="inlineStr">
        <is>
          <t>베트남</t>
        </is>
      </c>
      <c r="V234" s="20" t="n"/>
      <c r="W234" s="26" t="n"/>
      <c r="X234" s="26" t="n"/>
      <c r="Y234" s="22" t="n"/>
      <c r="Z234" s="27" t="n">
        <v>15000</v>
      </c>
      <c r="AA234" s="27" t="n">
        <v>870000000</v>
      </c>
      <c r="AB234" s="27" t="n">
        <v>4350000000</v>
      </c>
      <c r="AC234" s="20" t="n"/>
      <c r="AD234" s="20">
        <f>IF($J234="","출고일 미정",IF($P234="X","작지 미발행",IF($P234="부분","작지 일부 미발행",IF(AND($R234&lt;&gt;"",$R234&gt;$M234),"소재입고 마감("&amp;TEXT($M234,"MM/DD")&amp;") 초과",IF($P234="","발행여부 확인 필요",IF($R234="","소재 입고일정 확인 필요","정상"))))))</f>
        <v/>
      </c>
      <c r="AE234" s="19">
        <f>IF($J234="","",IF(OR(LEFT($AD234,2)="작지",LEFT($AD234,4)="소재입고"),IF(LEFT($G234,1)="A","★ 납기위험(A코드)","◆ 지연주의"),IF($AD234="정상","✓ 정상","? 확인필요")))</f>
        <v/>
      </c>
      <c r="AF234" s="21" t="n"/>
      <c r="AG234" s="28" t="n"/>
    </row>
    <row r="235">
      <c r="A235" s="19" t="n">
        <v>231</v>
      </c>
      <c r="B235" s="20" t="inlineStr">
        <is>
          <t>정영준</t>
        </is>
      </c>
      <c r="C235" s="20" t="inlineStr">
        <is>
          <t>서은미</t>
        </is>
      </c>
      <c r="D235" s="20" t="inlineStr">
        <is>
          <t>TVJDW27634</t>
        </is>
      </c>
      <c r="E235" s="20" t="inlineStr">
        <is>
          <t>여성 솟솟 크롭 경량 다운</t>
        </is>
      </c>
      <c r="F235" s="20" t="inlineStr">
        <is>
          <t>CO1/CO2/CO3</t>
        </is>
      </c>
      <c r="G235" s="19">
        <f>IF($D235="","",IF(MID($D235,5,1)="A","A(가을)",IF(MID($D235,5,1)="W","W(겨울)",IF(MID($D235,5,1)="X","X(사계절)",MID($D235,5,1)))))</f>
        <v/>
      </c>
      <c r="H235" s="19" t="n"/>
      <c r="I235" s="21" t="inlineStr">
        <is>
          <t>9월1주</t>
        </is>
      </c>
      <c r="J235" s="22">
        <f>IF($I235="","",IFERROR(DATE(기준정보!$C$7,VALUE(LEFT($I235,FIND("월",$I235)-1)),1+7*(VALUE(SUBSTITUTE(MID($I235,FIND("월",$I235)+1,5),"주",""))-1)),""))</f>
        <v/>
      </c>
      <c r="K235" s="22">
        <f>IF($J235="","",IF(AND(ISNUMBER(SEARCH("미얀마",$U235)),$J235-기준정보!$C$5&gt;=기준정보!$C$8,$J235-기준정보!$C$5&lt;=기준정보!$C$9),기준정보!$C$8-1,IF(AND(ISNUMBER(SEARCH("인도네시아",$U235)),$J235-기준정보!$C$5&gt;=기준정보!$C$10,$J235-기준정보!$C$5&lt;=기준정보!$C$11),기준정보!$C$10-1,$J235-기준정보!$C$5)))</f>
        <v/>
      </c>
      <c r="L235" s="23">
        <f>IF($K235="","",IF(ISNUMBER(SEARCH("미얀마",$U235)),MAX(0,MIN($K235,기준정보!$C$9)-MAX($K235-기준정보!$C$6,기준정보!$C$8)+1),IF(ISNUMBER(SEARCH("인도네시아",$U235)),MAX(0,MIN($K235,기준정보!$C$11)-MAX($K235-기준정보!$C$6,기준정보!$C$10)+1),0)))</f>
        <v/>
      </c>
      <c r="M235" s="22">
        <f>IF($K235="","",$K235-기준정보!$C$6-$L235)</f>
        <v/>
      </c>
      <c r="N235" s="24">
        <f>IF($M235="","",$M235-기준정보!$C$4)</f>
        <v/>
      </c>
      <c r="O235" s="21" t="n"/>
      <c r="P235" s="21" t="n"/>
      <c r="Q235" s="21" t="n"/>
      <c r="R235" s="25" t="n"/>
      <c r="S235" s="20">
        <f>IF($H235="","",IF($H235="C","본사(소재팀)",IF($H235="완","생산처","확인 필요")))</f>
        <v/>
      </c>
      <c r="T235" s="20" t="inlineStr">
        <is>
          <t>아이블</t>
        </is>
      </c>
      <c r="U235" s="20" t="inlineStr">
        <is>
          <t>베트남</t>
        </is>
      </c>
      <c r="V235" s="20" t="n"/>
      <c r="W235" s="26" t="n"/>
      <c r="X235" s="26" t="n"/>
      <c r="Y235" s="22" t="n"/>
      <c r="Z235" s="27" t="n">
        <v>25000</v>
      </c>
      <c r="AA235" s="27" t="n">
        <v>1250000000</v>
      </c>
      <c r="AB235" s="27" t="n">
        <v>8000000000</v>
      </c>
      <c r="AC235" s="20" t="n"/>
      <c r="AD235" s="20">
        <f>IF($J235="","출고일 미정",IF($P235="X","작지 미발행",IF($P235="부분","작지 일부 미발행",IF(AND($R235&lt;&gt;"",$R235&gt;$M235),"소재입고 마감("&amp;TEXT($M235,"MM/DD")&amp;") 초과",IF($P235="","발행여부 확인 필요",IF($R235="","소재 입고일정 확인 필요","정상"))))))</f>
        <v/>
      </c>
      <c r="AE235" s="19">
        <f>IF($J235="","",IF(OR(LEFT($AD235,2)="작지",LEFT($AD235,4)="소재입고"),IF(LEFT($G235,1)="A","★ 납기위험(A코드)","◆ 지연주의"),IF($AD235="정상","✓ 정상","? 확인필요")))</f>
        <v/>
      </c>
      <c r="AF235" s="21" t="n"/>
      <c r="AG235" s="28" t="n"/>
    </row>
    <row r="236">
      <c r="A236" s="19" t="n">
        <v>232</v>
      </c>
      <c r="B236" s="20" t="inlineStr">
        <is>
          <t>정영준</t>
        </is>
      </c>
      <c r="C236" s="20" t="inlineStr">
        <is>
          <t>서은미</t>
        </is>
      </c>
      <c r="D236" s="20" t="inlineStr">
        <is>
          <t>TVJDW27636</t>
        </is>
      </c>
      <c r="E236" s="20" t="inlineStr">
        <is>
          <t>여성 솟솟 중기장 경량 다운</t>
        </is>
      </c>
      <c r="F236" s="20" t="inlineStr">
        <is>
          <t>CO1/CO2/CO3</t>
        </is>
      </c>
      <c r="G236" s="19">
        <f>IF($D236="","",IF(MID($D236,5,1)="A","A(가을)",IF(MID($D236,5,1)="W","W(겨울)",IF(MID($D236,5,1)="X","X(사계절)",MID($D236,5,1)))))</f>
        <v/>
      </c>
      <c r="H236" s="19" t="n"/>
      <c r="I236" s="21" t="inlineStr">
        <is>
          <t>9월1주</t>
        </is>
      </c>
      <c r="J236" s="22">
        <f>IF($I236="","",IFERROR(DATE(기준정보!$C$7,VALUE(LEFT($I236,FIND("월",$I236)-1)),1+7*(VALUE(SUBSTITUTE(MID($I236,FIND("월",$I236)+1,5),"주",""))-1)),""))</f>
        <v/>
      </c>
      <c r="K236" s="22">
        <f>IF($J236="","",IF(AND(ISNUMBER(SEARCH("미얀마",$U236)),$J236-기준정보!$C$5&gt;=기준정보!$C$8,$J236-기준정보!$C$5&lt;=기준정보!$C$9),기준정보!$C$8-1,IF(AND(ISNUMBER(SEARCH("인도네시아",$U236)),$J236-기준정보!$C$5&gt;=기준정보!$C$10,$J236-기준정보!$C$5&lt;=기준정보!$C$11),기준정보!$C$10-1,$J236-기준정보!$C$5)))</f>
        <v/>
      </c>
      <c r="L236" s="23">
        <f>IF($K236="","",IF(ISNUMBER(SEARCH("미얀마",$U236)),MAX(0,MIN($K236,기준정보!$C$9)-MAX($K236-기준정보!$C$6,기준정보!$C$8)+1),IF(ISNUMBER(SEARCH("인도네시아",$U236)),MAX(0,MIN($K236,기준정보!$C$11)-MAX($K236-기준정보!$C$6,기준정보!$C$10)+1),0)))</f>
        <v/>
      </c>
      <c r="M236" s="22">
        <f>IF($K236="","",$K236-기준정보!$C$6-$L236)</f>
        <v/>
      </c>
      <c r="N236" s="24">
        <f>IF($M236="","",$M236-기준정보!$C$4)</f>
        <v/>
      </c>
      <c r="O236" s="21" t="n"/>
      <c r="P236" s="21" t="n"/>
      <c r="Q236" s="21" t="n"/>
      <c r="R236" s="25" t="n"/>
      <c r="S236" s="20">
        <f>IF($H236="","",IF($H236="C","본사(소재팀)",IF($H236="완","생산처","확인 필요")))</f>
        <v/>
      </c>
      <c r="T236" s="20" t="inlineStr">
        <is>
          <t>기도</t>
        </is>
      </c>
      <c r="U236" s="20" t="inlineStr">
        <is>
          <t>미얀마</t>
        </is>
      </c>
      <c r="V236" s="20" t="n"/>
      <c r="W236" s="26" t="n"/>
      <c r="X236" s="26" t="n"/>
      <c r="Y236" s="22" t="n"/>
      <c r="Z236" s="27" t="n">
        <v>20000</v>
      </c>
      <c r="AA236" s="27" t="n">
        <v>1244000000</v>
      </c>
      <c r="AB236" s="27" t="n">
        <v>7000000000</v>
      </c>
      <c r="AC236" s="20" t="n"/>
      <c r="AD236" s="20">
        <f>IF($J236="","출고일 미정",IF($P236="X","작지 미발행",IF($P236="부분","작지 일부 미발행",IF(AND($R236&lt;&gt;"",$R236&gt;$M236),"소재입고 마감("&amp;TEXT($M236,"MM/DD")&amp;") 초과",IF($P236="","발행여부 확인 필요",IF($R236="","소재 입고일정 확인 필요","정상"))))))</f>
        <v/>
      </c>
      <c r="AE236" s="19">
        <f>IF($J236="","",IF(OR(LEFT($AD236,2)="작지",LEFT($AD236,4)="소재입고"),IF(LEFT($G236,1)="A","★ 납기위험(A코드)","◆ 지연주의"),IF($AD236="정상","✓ 정상","? 확인필요")))</f>
        <v/>
      </c>
      <c r="AF236" s="21" t="n"/>
      <c r="AG236" s="28" t="n"/>
    </row>
    <row r="237">
      <c r="A237" s="19" t="n">
        <v>233</v>
      </c>
      <c r="B237" s="20" t="inlineStr">
        <is>
          <t>정영준</t>
        </is>
      </c>
      <c r="C237" s="20" t="inlineStr">
        <is>
          <t>서은미</t>
        </is>
      </c>
      <c r="D237" s="20" t="inlineStr">
        <is>
          <t>TVJDW27638</t>
        </is>
      </c>
      <c r="E237" s="20" t="inlineStr">
        <is>
          <t>여성 솟솟 롱 경량 다운</t>
        </is>
      </c>
      <c r="F237" s="20" t="inlineStr">
        <is>
          <t>CO1/CO2</t>
        </is>
      </c>
      <c r="G237" s="19">
        <f>IF($D237="","",IF(MID($D237,5,1)="A","A(가을)",IF(MID($D237,5,1)="W","W(겨울)",IF(MID($D237,5,1)="X","X(사계절)",MID($D237,5,1)))))</f>
        <v/>
      </c>
      <c r="H237" s="19" t="n"/>
      <c r="I237" s="21" t="inlineStr">
        <is>
          <t>9월1주</t>
        </is>
      </c>
      <c r="J237" s="22">
        <f>IF($I237="","",IFERROR(DATE(기준정보!$C$7,VALUE(LEFT($I237,FIND("월",$I237)-1)),1+7*(VALUE(SUBSTITUTE(MID($I237,FIND("월",$I237)+1,5),"주",""))-1)),""))</f>
        <v/>
      </c>
      <c r="K237" s="22">
        <f>IF($J237="","",IF(AND(ISNUMBER(SEARCH("미얀마",$U237)),$J237-기준정보!$C$5&gt;=기준정보!$C$8,$J237-기준정보!$C$5&lt;=기준정보!$C$9),기준정보!$C$8-1,IF(AND(ISNUMBER(SEARCH("인도네시아",$U237)),$J237-기준정보!$C$5&gt;=기준정보!$C$10,$J237-기준정보!$C$5&lt;=기준정보!$C$11),기준정보!$C$10-1,$J237-기준정보!$C$5)))</f>
        <v/>
      </c>
      <c r="L237" s="23">
        <f>IF($K237="","",IF(ISNUMBER(SEARCH("미얀마",$U237)),MAX(0,MIN($K237,기준정보!$C$9)-MAX($K237-기준정보!$C$6,기준정보!$C$8)+1),IF(ISNUMBER(SEARCH("인도네시아",$U237)),MAX(0,MIN($K237,기준정보!$C$11)-MAX($K237-기준정보!$C$6,기준정보!$C$10)+1),0)))</f>
        <v/>
      </c>
      <c r="M237" s="22">
        <f>IF($K237="","",$K237-기준정보!$C$6-$L237)</f>
        <v/>
      </c>
      <c r="N237" s="24">
        <f>IF($M237="","",$M237-기준정보!$C$4)</f>
        <v/>
      </c>
      <c r="O237" s="21" t="n"/>
      <c r="P237" s="21" t="n"/>
      <c r="Q237" s="21" t="n"/>
      <c r="R237" s="25" t="n"/>
      <c r="S237" s="20">
        <f>IF($H237="","",IF($H237="C","본사(소재팀)",IF($H237="완","생산처","확인 필요")))</f>
        <v/>
      </c>
      <c r="T237" s="20" t="inlineStr">
        <is>
          <t>아이블</t>
        </is>
      </c>
      <c r="U237" s="20" t="inlineStr">
        <is>
          <t>베트남</t>
        </is>
      </c>
      <c r="V237" s="20" t="n"/>
      <c r="W237" s="26" t="n"/>
      <c r="X237" s="26" t="n"/>
      <c r="Y237" s="22" t="n"/>
      <c r="Z237" s="27" t="n">
        <v>6000</v>
      </c>
      <c r="AA237" s="27" t="n">
        <v>582000000</v>
      </c>
      <c r="AB237" s="27" t="n">
        <v>2700000000</v>
      </c>
      <c r="AC237" s="20" t="n"/>
      <c r="AD237" s="20">
        <f>IF($J237="","출고일 미정",IF($P237="X","작지 미발행",IF($P237="부분","작지 일부 미발행",IF(AND($R237&lt;&gt;"",$R237&gt;$M237),"소재입고 마감("&amp;TEXT($M237,"MM/DD")&amp;") 초과",IF($P237="","발행여부 확인 필요",IF($R237="","소재 입고일정 확인 필요","정상"))))))</f>
        <v/>
      </c>
      <c r="AE237" s="19">
        <f>IF($J237="","",IF(OR(LEFT($AD237,2)="작지",LEFT($AD237,4)="소재입고"),IF(LEFT($G237,1)="A","★ 납기위험(A코드)","◆ 지연주의"),IF($AD237="정상","✓ 정상","? 확인필요")))</f>
        <v/>
      </c>
      <c r="AF237" s="21" t="n"/>
      <c r="AG237" s="28" t="n"/>
    </row>
    <row r="238">
      <c r="A238" s="19" t="n">
        <v>234</v>
      </c>
      <c r="B238" s="20" t="inlineStr">
        <is>
          <t>정영준</t>
        </is>
      </c>
      <c r="C238" s="20" t="inlineStr">
        <is>
          <t>서은미</t>
        </is>
      </c>
      <c r="D238" s="20" t="inlineStr">
        <is>
          <t>TVJJW27606</t>
        </is>
      </c>
      <c r="E238" s="20" t="inlineStr">
        <is>
          <t>여성 키퍼 롱 칼라넥 코트</t>
        </is>
      </c>
      <c r="F238" s="20" t="inlineStr">
        <is>
          <t>CO1/CO2</t>
        </is>
      </c>
      <c r="G238" s="19">
        <f>IF($D238="","",IF(MID($D238,5,1)="A","A(가을)",IF(MID($D238,5,1)="W","W(겨울)",IF(MID($D238,5,1)="X","X(사계절)",MID($D238,5,1)))))</f>
        <v/>
      </c>
      <c r="H238" s="19" t="n"/>
      <c r="I238" s="21" t="inlineStr">
        <is>
          <t>9월1주</t>
        </is>
      </c>
      <c r="J238" s="22">
        <f>IF($I238="","",IFERROR(DATE(기준정보!$C$7,VALUE(LEFT($I238,FIND("월",$I238)-1)),1+7*(VALUE(SUBSTITUTE(MID($I238,FIND("월",$I238)+1,5),"주",""))-1)),""))</f>
        <v/>
      </c>
      <c r="K238" s="22">
        <f>IF($J238="","",IF(AND(ISNUMBER(SEARCH("미얀마",$U238)),$J238-기준정보!$C$5&gt;=기준정보!$C$8,$J238-기준정보!$C$5&lt;=기준정보!$C$9),기준정보!$C$8-1,IF(AND(ISNUMBER(SEARCH("인도네시아",$U238)),$J238-기준정보!$C$5&gt;=기준정보!$C$10,$J238-기준정보!$C$5&lt;=기준정보!$C$11),기준정보!$C$10-1,$J238-기준정보!$C$5)))</f>
        <v/>
      </c>
      <c r="L238" s="23">
        <f>IF($K238="","",IF(ISNUMBER(SEARCH("미얀마",$U238)),MAX(0,MIN($K238,기준정보!$C$9)-MAX($K238-기준정보!$C$6,기준정보!$C$8)+1),IF(ISNUMBER(SEARCH("인도네시아",$U238)),MAX(0,MIN($K238,기준정보!$C$11)-MAX($K238-기준정보!$C$6,기준정보!$C$10)+1),0)))</f>
        <v/>
      </c>
      <c r="M238" s="22">
        <f>IF($K238="","",$K238-기준정보!$C$6-$L238)</f>
        <v/>
      </c>
      <c r="N238" s="24">
        <f>IF($M238="","",$M238-기준정보!$C$4)</f>
        <v/>
      </c>
      <c r="O238" s="21" t="n"/>
      <c r="P238" s="21" t="n"/>
      <c r="Q238" s="21" t="n"/>
      <c r="R238" s="25" t="n"/>
      <c r="S238" s="20">
        <f>IF($H238="","",IF($H238="C","본사(소재팀)",IF($H238="완","생산처","확인 필요")))</f>
        <v/>
      </c>
      <c r="T238" s="20" t="inlineStr">
        <is>
          <t>아이블</t>
        </is>
      </c>
      <c r="U238" s="20" t="inlineStr">
        <is>
          <t>베트남</t>
        </is>
      </c>
      <c r="V238" s="20" t="n"/>
      <c r="W238" s="26" t="n"/>
      <c r="X238" s="26" t="n"/>
      <c r="Y238" s="22" t="n"/>
      <c r="Z238" s="27" t="n">
        <v>4000</v>
      </c>
      <c r="AA238" s="27" t="n">
        <v>200000000</v>
      </c>
      <c r="AB238" s="27" t="n">
        <v>1280000000</v>
      </c>
      <c r="AC238" s="20" t="n"/>
      <c r="AD238" s="20">
        <f>IF($J238="","출고일 미정",IF($P238="X","작지 미발행",IF($P238="부분","작지 일부 미발행",IF(AND($R238&lt;&gt;"",$R238&gt;$M238),"소재입고 마감("&amp;TEXT($M238,"MM/DD")&amp;") 초과",IF($P238="","발행여부 확인 필요",IF($R238="","소재 입고일정 확인 필요","정상"))))))</f>
        <v/>
      </c>
      <c r="AE238" s="19">
        <f>IF($J238="","",IF(OR(LEFT($AD238,2)="작지",LEFT($AD238,4)="소재입고"),IF(LEFT($G238,1)="A","★ 납기위험(A코드)","◆ 지연주의"),IF($AD238="정상","✓ 정상","? 확인필요")))</f>
        <v/>
      </c>
      <c r="AF238" s="21" t="n"/>
      <c r="AG238" s="28" t="n"/>
    </row>
    <row r="239">
      <c r="A239" s="19" t="n">
        <v>235</v>
      </c>
      <c r="B239" s="20" t="inlineStr">
        <is>
          <t>정영준</t>
        </is>
      </c>
      <c r="C239" s="20" t="inlineStr">
        <is>
          <t>서은미</t>
        </is>
      </c>
      <c r="D239" s="20" t="inlineStr">
        <is>
          <t>TVJJW27618</t>
        </is>
      </c>
      <c r="E239" s="20" t="inlineStr">
        <is>
          <t>넥리스 패딩 재킷</t>
        </is>
      </c>
      <c r="F239" s="20" t="inlineStr">
        <is>
          <t>CO1/CO2</t>
        </is>
      </c>
      <c r="G239" s="19">
        <f>IF($D239="","",IF(MID($D239,5,1)="A","A(가을)",IF(MID($D239,5,1)="W","W(겨울)",IF(MID($D239,5,1)="X","X(사계절)",MID($D239,5,1)))))</f>
        <v/>
      </c>
      <c r="H239" s="19" t="n"/>
      <c r="I239" s="21" t="inlineStr">
        <is>
          <t>9월1주</t>
        </is>
      </c>
      <c r="J239" s="22">
        <f>IF($I239="","",IFERROR(DATE(기준정보!$C$7,VALUE(LEFT($I239,FIND("월",$I239)-1)),1+7*(VALUE(SUBSTITUTE(MID($I239,FIND("월",$I239)+1,5),"주",""))-1)),""))</f>
        <v/>
      </c>
      <c r="K239" s="22">
        <f>IF($J239="","",IF(AND(ISNUMBER(SEARCH("미얀마",$U239)),$J239-기준정보!$C$5&gt;=기준정보!$C$8,$J239-기준정보!$C$5&lt;=기준정보!$C$9),기준정보!$C$8-1,IF(AND(ISNUMBER(SEARCH("인도네시아",$U239)),$J239-기준정보!$C$5&gt;=기준정보!$C$10,$J239-기준정보!$C$5&lt;=기준정보!$C$11),기준정보!$C$10-1,$J239-기준정보!$C$5)))</f>
        <v/>
      </c>
      <c r="L239" s="23">
        <f>IF($K239="","",IF(ISNUMBER(SEARCH("미얀마",$U239)),MAX(0,MIN($K239,기준정보!$C$9)-MAX($K239-기준정보!$C$6,기준정보!$C$8)+1),IF(ISNUMBER(SEARCH("인도네시아",$U239)),MAX(0,MIN($K239,기준정보!$C$11)-MAX($K239-기준정보!$C$6,기준정보!$C$10)+1),0)))</f>
        <v/>
      </c>
      <c r="M239" s="22">
        <f>IF($K239="","",$K239-기준정보!$C$6-$L239)</f>
        <v/>
      </c>
      <c r="N239" s="24">
        <f>IF($M239="","",$M239-기준정보!$C$4)</f>
        <v/>
      </c>
      <c r="O239" s="21" t="n"/>
      <c r="P239" s="21" t="n"/>
      <c r="Q239" s="21" t="n"/>
      <c r="R239" s="25" t="n"/>
      <c r="S239" s="20">
        <f>IF($H239="","",IF($H239="C","본사(소재팀)",IF($H239="완","생산처","확인 필요")))</f>
        <v/>
      </c>
      <c r="T239" s="20" t="inlineStr">
        <is>
          <t>아이블</t>
        </is>
      </c>
      <c r="U239" s="20" t="inlineStr">
        <is>
          <t>베트남</t>
        </is>
      </c>
      <c r="V239" s="20" t="n"/>
      <c r="W239" s="26" t="n"/>
      <c r="X239" s="26" t="n"/>
      <c r="Y239" s="22" t="n"/>
      <c r="Z239" s="27" t="n">
        <v>2000</v>
      </c>
      <c r="AA239" s="27" t="n">
        <v>96000000</v>
      </c>
      <c r="AB239" s="27" t="n">
        <v>396000000</v>
      </c>
      <c r="AC239" s="20" t="n"/>
      <c r="AD239" s="20">
        <f>IF($J239="","출고일 미정",IF($P239="X","작지 미발행",IF($P239="부분","작지 일부 미발행",IF(AND($R239&lt;&gt;"",$R239&gt;$M239),"소재입고 마감("&amp;TEXT($M239,"MM/DD")&amp;") 초과",IF($P239="","발행여부 확인 필요",IF($R239="","소재 입고일정 확인 필요","정상"))))))</f>
        <v/>
      </c>
      <c r="AE239" s="19">
        <f>IF($J239="","",IF(OR(LEFT($AD239,2)="작지",LEFT($AD239,4)="소재입고"),IF(LEFT($G239,1)="A","★ 납기위험(A코드)","◆ 지연주의"),IF($AD239="정상","✓ 정상","? 확인필요")))</f>
        <v/>
      </c>
      <c r="AF239" s="21" t="n"/>
      <c r="AG239" s="28" t="n"/>
    </row>
    <row r="240">
      <c r="A240" s="19" t="n">
        <v>236</v>
      </c>
      <c r="B240" s="20" t="inlineStr">
        <is>
          <t>문도혁</t>
        </is>
      </c>
      <c r="C240" s="20" t="inlineStr">
        <is>
          <t>서은미</t>
        </is>
      </c>
      <c r="D240" s="20" t="inlineStr">
        <is>
          <t>TVPNW27626</t>
        </is>
      </c>
      <c r="E240" s="20" t="inlineStr">
        <is>
          <t>여성 릴렉스핏 조거 카고팬츠</t>
        </is>
      </c>
      <c r="F240" s="20" t="inlineStr">
        <is>
          <t>SKA/DEB</t>
        </is>
      </c>
      <c r="G240" s="19">
        <f>IF($D240="","",IF(MID($D240,5,1)="A","A(가을)",IF(MID($D240,5,1)="W","W(겨울)",IF(MID($D240,5,1)="X","X(사계절)",MID($D240,5,1)))))</f>
        <v/>
      </c>
      <c r="H240" s="19" t="inlineStr">
        <is>
          <t>C</t>
        </is>
      </c>
      <c r="I240" s="21" t="inlineStr">
        <is>
          <t>9월1주</t>
        </is>
      </c>
      <c r="J240" s="22">
        <f>IF($I240="","",IFERROR(DATE(기준정보!$C$7,VALUE(LEFT($I240,FIND("월",$I240)-1)),1+7*(VALUE(SUBSTITUTE(MID($I240,FIND("월",$I240)+1,5),"주",""))-1)),""))</f>
        <v/>
      </c>
      <c r="K240" s="22">
        <f>IF($J240="","",IF(AND(ISNUMBER(SEARCH("미얀마",$U240)),$J240-기준정보!$C$5&gt;=기준정보!$C$8,$J240-기준정보!$C$5&lt;=기준정보!$C$9),기준정보!$C$8-1,IF(AND(ISNUMBER(SEARCH("인도네시아",$U240)),$J240-기준정보!$C$5&gt;=기준정보!$C$10,$J240-기준정보!$C$5&lt;=기준정보!$C$11),기준정보!$C$10-1,$J240-기준정보!$C$5)))</f>
        <v/>
      </c>
      <c r="L240" s="23">
        <f>IF($K240="","",IF(ISNUMBER(SEARCH("미얀마",$U240)),MAX(0,MIN($K240,기준정보!$C$9)-MAX($K240-기준정보!$C$6,기준정보!$C$8)+1),IF(ISNUMBER(SEARCH("인도네시아",$U240)),MAX(0,MIN($K240,기준정보!$C$11)-MAX($K240-기준정보!$C$6,기준정보!$C$10)+1),0)))</f>
        <v/>
      </c>
      <c r="M240" s="22">
        <f>IF($K240="","",$K240-기준정보!$C$6-$L240)</f>
        <v/>
      </c>
      <c r="N240" s="24">
        <f>IF($M240="","",$M240-기준정보!$C$4)</f>
        <v/>
      </c>
      <c r="O240" s="21" t="n"/>
      <c r="P240" s="21" t="n"/>
      <c r="Q240" s="21" t="n"/>
      <c r="R240" s="25" t="n"/>
      <c r="S240" s="20">
        <f>IF($H240="","",IF($H240="C","본사(소재팀)",IF($H240="완","생산처","확인 필요")))</f>
        <v/>
      </c>
      <c r="T240" s="20" t="inlineStr">
        <is>
          <t>YIC</t>
        </is>
      </c>
      <c r="U240" s="20" t="inlineStr">
        <is>
          <t>베트남</t>
        </is>
      </c>
      <c r="V240" s="20" t="n"/>
      <c r="W240" s="26" t="n"/>
      <c r="X240" s="26" t="n"/>
      <c r="Y240" s="22" t="n"/>
      <c r="Z240" s="27" t="n">
        <v>3000</v>
      </c>
      <c r="AA240" s="27" t="n">
        <v>141717000</v>
      </c>
      <c r="AB240" s="27" t="n">
        <v>594000000</v>
      </c>
      <c r="AC240" s="20" t="n"/>
      <c r="AD240" s="20">
        <f>IF($J240="","출고일 미정",IF($P240="X","작지 미발행",IF($P240="부분","작지 일부 미발행",IF(AND($R240&lt;&gt;"",$R240&gt;$M240),"소재입고 마감("&amp;TEXT($M240,"MM/DD")&amp;") 초과",IF($P240="","발행여부 확인 필요",IF($R240="","소재 입고일정 확인 필요","정상"))))))</f>
        <v/>
      </c>
      <c r="AE240" s="19">
        <f>IF($J240="","",IF(OR(LEFT($AD240,2)="작지",LEFT($AD240,4)="소재입고"),IF(LEFT($G240,1)="A","★ 납기위험(A코드)","◆ 지연주의"),IF($AD240="정상","✓ 정상","? 확인필요")))</f>
        <v/>
      </c>
      <c r="AF240" s="21" t="n"/>
      <c r="AG240" s="28" t="n"/>
    </row>
    <row r="241">
      <c r="A241" s="19" t="n">
        <v>237</v>
      </c>
      <c r="B241" s="20" t="inlineStr">
        <is>
          <t>문도혁</t>
        </is>
      </c>
      <c r="C241" s="20" t="inlineStr">
        <is>
          <t>서은미</t>
        </is>
      </c>
      <c r="D241" s="20" t="inlineStr">
        <is>
          <t>TVPNW27628</t>
        </is>
      </c>
      <c r="E241" s="20" t="inlineStr">
        <is>
          <t>여성 디본딩 루즈핏 팬츠</t>
        </is>
      </c>
      <c r="F241" s="20" t="inlineStr">
        <is>
          <t>DNV/DB</t>
        </is>
      </c>
      <c r="G241" s="19">
        <f>IF($D241="","",IF(MID($D241,5,1)="A","A(가을)",IF(MID($D241,5,1)="W","W(겨울)",IF(MID($D241,5,1)="X","X(사계절)",MID($D241,5,1)))))</f>
        <v/>
      </c>
      <c r="H241" s="19" t="inlineStr">
        <is>
          <t>C</t>
        </is>
      </c>
      <c r="I241" s="21" t="inlineStr">
        <is>
          <t>9월1주</t>
        </is>
      </c>
      <c r="J241" s="22">
        <f>IF($I241="","",IFERROR(DATE(기준정보!$C$7,VALUE(LEFT($I241,FIND("월",$I241)-1)),1+7*(VALUE(SUBSTITUTE(MID($I241,FIND("월",$I241)+1,5),"주",""))-1)),""))</f>
        <v/>
      </c>
      <c r="K241" s="22">
        <f>IF($J241="","",IF(AND(ISNUMBER(SEARCH("미얀마",$U241)),$J241-기준정보!$C$5&gt;=기준정보!$C$8,$J241-기준정보!$C$5&lt;=기준정보!$C$9),기준정보!$C$8-1,IF(AND(ISNUMBER(SEARCH("인도네시아",$U241)),$J241-기준정보!$C$5&gt;=기준정보!$C$10,$J241-기준정보!$C$5&lt;=기준정보!$C$11),기준정보!$C$10-1,$J241-기준정보!$C$5)))</f>
        <v/>
      </c>
      <c r="L241" s="23">
        <f>IF($K241="","",IF(ISNUMBER(SEARCH("미얀마",$U241)),MAX(0,MIN($K241,기준정보!$C$9)-MAX($K241-기준정보!$C$6,기준정보!$C$8)+1),IF(ISNUMBER(SEARCH("인도네시아",$U241)),MAX(0,MIN($K241,기준정보!$C$11)-MAX($K241-기준정보!$C$6,기준정보!$C$10)+1),0)))</f>
        <v/>
      </c>
      <c r="M241" s="22">
        <f>IF($K241="","",$K241-기준정보!$C$6-$L241)</f>
        <v/>
      </c>
      <c r="N241" s="24">
        <f>IF($M241="","",$M241-기준정보!$C$4)</f>
        <v/>
      </c>
      <c r="O241" s="21" t="n"/>
      <c r="P241" s="21" t="n"/>
      <c r="Q241" s="21" t="n"/>
      <c r="R241" s="25" t="n"/>
      <c r="S241" s="20">
        <f>IF($H241="","",IF($H241="C","본사(소재팀)",IF($H241="완","생산처","확인 필요")))</f>
        <v/>
      </c>
      <c r="T241" s="20" t="inlineStr">
        <is>
          <t>TBO</t>
        </is>
      </c>
      <c r="U241" s="20" t="inlineStr">
        <is>
          <t>베트남</t>
        </is>
      </c>
      <c r="V241" s="20" t="n"/>
      <c r="W241" s="26" t="n"/>
      <c r="X241" s="26" t="n"/>
      <c r="Y241" s="22" t="n"/>
      <c r="Z241" s="27" t="n">
        <v>3300</v>
      </c>
      <c r="AA241" s="27" t="n">
        <v>120040800</v>
      </c>
      <c r="AB241" s="27" t="n">
        <v>653400000</v>
      </c>
      <c r="AC241" s="20" t="n"/>
      <c r="AD241" s="20">
        <f>IF($J241="","출고일 미정",IF($P241="X","작지 미발행",IF($P241="부분","작지 일부 미발행",IF(AND($R241&lt;&gt;"",$R241&gt;$M241),"소재입고 마감("&amp;TEXT($M241,"MM/DD")&amp;") 초과",IF($P241="","발행여부 확인 필요",IF($R241="","소재 입고일정 확인 필요","정상"))))))</f>
        <v/>
      </c>
      <c r="AE241" s="19">
        <f>IF($J241="","",IF(OR(LEFT($AD241,2)="작지",LEFT($AD241,4)="소재입고"),IF(LEFT($G241,1)="A","★ 납기위험(A코드)","◆ 지연주의"),IF($AD241="정상","✓ 정상","? 확인필요")))</f>
        <v/>
      </c>
      <c r="AF241" s="21" t="n"/>
      <c r="AG241" s="28" t="n"/>
    </row>
    <row r="242">
      <c r="A242" s="19" t="n">
        <v>238</v>
      </c>
      <c r="B242" s="20" t="inlineStr">
        <is>
          <t>문도혁</t>
        </is>
      </c>
      <c r="C242" s="20" t="inlineStr">
        <is>
          <t>서은미</t>
        </is>
      </c>
      <c r="D242" s="20" t="inlineStr">
        <is>
          <t>TVPNW27642</t>
        </is>
      </c>
      <c r="E242" s="20" t="inlineStr">
        <is>
          <t>여성 소프트기모 조거 팬츠</t>
        </is>
      </c>
      <c r="F242" s="20" t="inlineStr">
        <is>
          <t>RBW/MID</t>
        </is>
      </c>
      <c r="G242" s="19">
        <f>IF($D242="","",IF(MID($D242,5,1)="A","A(가을)",IF(MID($D242,5,1)="W","W(겨울)",IF(MID($D242,5,1)="X","X(사계절)",MID($D242,5,1)))))</f>
        <v/>
      </c>
      <c r="H242" s="19" t="inlineStr">
        <is>
          <t>완</t>
        </is>
      </c>
      <c r="I242" s="21" t="inlineStr">
        <is>
          <t>9월1주</t>
        </is>
      </c>
      <c r="J242" s="22">
        <f>IF($I242="","",IFERROR(DATE(기준정보!$C$7,VALUE(LEFT($I242,FIND("월",$I242)-1)),1+7*(VALUE(SUBSTITUTE(MID($I242,FIND("월",$I242)+1,5),"주",""))-1)),""))</f>
        <v/>
      </c>
      <c r="K242" s="22">
        <f>IF($J242="","",IF(AND(ISNUMBER(SEARCH("미얀마",$U242)),$J242-기준정보!$C$5&gt;=기준정보!$C$8,$J242-기준정보!$C$5&lt;=기준정보!$C$9),기준정보!$C$8-1,IF(AND(ISNUMBER(SEARCH("인도네시아",$U242)),$J242-기준정보!$C$5&gt;=기준정보!$C$10,$J242-기준정보!$C$5&lt;=기준정보!$C$11),기준정보!$C$10-1,$J242-기준정보!$C$5)))</f>
        <v/>
      </c>
      <c r="L242" s="23">
        <f>IF($K242="","",IF(ISNUMBER(SEARCH("미얀마",$U242)),MAX(0,MIN($K242,기준정보!$C$9)-MAX($K242-기준정보!$C$6,기준정보!$C$8)+1),IF(ISNUMBER(SEARCH("인도네시아",$U242)),MAX(0,MIN($K242,기준정보!$C$11)-MAX($K242-기준정보!$C$6,기준정보!$C$10)+1),0)))</f>
        <v/>
      </c>
      <c r="M242" s="22">
        <f>IF($K242="","",$K242-기준정보!$C$6-$L242)</f>
        <v/>
      </c>
      <c r="N242" s="24">
        <f>IF($M242="","",$M242-기준정보!$C$4)</f>
        <v/>
      </c>
      <c r="O242" s="21" t="n"/>
      <c r="P242" s="21" t="n"/>
      <c r="Q242" s="21" t="n"/>
      <c r="R242" s="25" t="n"/>
      <c r="S242" s="20">
        <f>IF($H242="","",IF($H242="C","본사(소재팀)",IF($H242="완","생산처","확인 필요")))</f>
        <v/>
      </c>
      <c r="T242" s="20" t="inlineStr">
        <is>
          <t>태화</t>
        </is>
      </c>
      <c r="U242" s="20" t="inlineStr">
        <is>
          <t>베트남</t>
        </is>
      </c>
      <c r="V242" s="20" t="n"/>
      <c r="W242" s="26" t="n"/>
      <c r="X242" s="26" t="n"/>
      <c r="Y242" s="22" t="n"/>
      <c r="Z242" s="27" t="n">
        <v>3500</v>
      </c>
      <c r="AA242" s="27" t="n">
        <v>121040500</v>
      </c>
      <c r="AB242" s="27" t="n">
        <v>588000000</v>
      </c>
      <c r="AC242" s="20" t="n"/>
      <c r="AD242" s="20">
        <f>IF($J242="","출고일 미정",IF($P242="X","작지 미발행",IF($P242="부분","작지 일부 미발행",IF(AND($R242&lt;&gt;"",$R242&gt;$M242),"소재입고 마감("&amp;TEXT($M242,"MM/DD")&amp;") 초과",IF($P242="","발행여부 확인 필요",IF($R242="","소재 입고일정 확인 필요","정상"))))))</f>
        <v/>
      </c>
      <c r="AE242" s="19">
        <f>IF($J242="","",IF(OR(LEFT($AD242,2)="작지",LEFT($AD242,4)="소재입고"),IF(LEFT($G242,1)="A","★ 납기위험(A코드)","◆ 지연주의"),IF($AD242="정상","✓ 정상","? 확인필요")))</f>
        <v/>
      </c>
      <c r="AF242" s="21" t="n"/>
      <c r="AG242" s="28" t="n"/>
    </row>
    <row r="243">
      <c r="A243" s="19" t="n">
        <v>239</v>
      </c>
      <c r="B243" s="20" t="inlineStr">
        <is>
          <t>문도혁</t>
        </is>
      </c>
      <c r="C243" s="20" t="inlineStr">
        <is>
          <t>서은미</t>
        </is>
      </c>
      <c r="D243" s="20" t="inlineStr">
        <is>
          <t>TVPNW27644</t>
        </is>
      </c>
      <c r="E243" s="20" t="inlineStr">
        <is>
          <t>여성 소프트기모 팬츠</t>
        </is>
      </c>
      <c r="F243" s="20" t="inlineStr">
        <is>
          <t>OAT/DEB</t>
        </is>
      </c>
      <c r="G243" s="19">
        <f>IF($D243="","",IF(MID($D243,5,1)="A","A(가을)",IF(MID($D243,5,1)="W","W(겨울)",IF(MID($D243,5,1)="X","X(사계절)",MID($D243,5,1)))))</f>
        <v/>
      </c>
      <c r="H243" s="19" t="inlineStr">
        <is>
          <t>완</t>
        </is>
      </c>
      <c r="I243" s="21" t="inlineStr">
        <is>
          <t>9월1주</t>
        </is>
      </c>
      <c r="J243" s="22">
        <f>IF($I243="","",IFERROR(DATE(기준정보!$C$7,VALUE(LEFT($I243,FIND("월",$I243)-1)),1+7*(VALUE(SUBSTITUTE(MID($I243,FIND("월",$I243)+1,5),"주",""))-1)),""))</f>
        <v/>
      </c>
      <c r="K243" s="22">
        <f>IF($J243="","",IF(AND(ISNUMBER(SEARCH("미얀마",$U243)),$J243-기준정보!$C$5&gt;=기준정보!$C$8,$J243-기준정보!$C$5&lt;=기준정보!$C$9),기준정보!$C$8-1,IF(AND(ISNUMBER(SEARCH("인도네시아",$U243)),$J243-기준정보!$C$5&gt;=기준정보!$C$10,$J243-기준정보!$C$5&lt;=기준정보!$C$11),기준정보!$C$10-1,$J243-기준정보!$C$5)))</f>
        <v/>
      </c>
      <c r="L243" s="23">
        <f>IF($K243="","",IF(ISNUMBER(SEARCH("미얀마",$U243)),MAX(0,MIN($K243,기준정보!$C$9)-MAX($K243-기준정보!$C$6,기준정보!$C$8)+1),IF(ISNUMBER(SEARCH("인도네시아",$U243)),MAX(0,MIN($K243,기준정보!$C$11)-MAX($K243-기준정보!$C$6,기준정보!$C$10)+1),0)))</f>
        <v/>
      </c>
      <c r="M243" s="22">
        <f>IF($K243="","",$K243-기준정보!$C$6-$L243)</f>
        <v/>
      </c>
      <c r="N243" s="24">
        <f>IF($M243="","",$M243-기준정보!$C$4)</f>
        <v/>
      </c>
      <c r="O243" s="21" t="n"/>
      <c r="P243" s="21" t="n"/>
      <c r="Q243" s="21" t="n"/>
      <c r="R243" s="25" t="n"/>
      <c r="S243" s="20">
        <f>IF($H243="","",IF($H243="C","본사(소재팀)",IF($H243="완","생산처","확인 필요")))</f>
        <v/>
      </c>
      <c r="T243" s="20" t="inlineStr">
        <is>
          <t>태화</t>
        </is>
      </c>
      <c r="U243" s="20" t="inlineStr">
        <is>
          <t>베트남</t>
        </is>
      </c>
      <c r="V243" s="20" t="n"/>
      <c r="W243" s="26" t="n"/>
      <c r="X243" s="26" t="n"/>
      <c r="Y243" s="22" t="n"/>
      <c r="Z243" s="27" t="n">
        <v>3500</v>
      </c>
      <c r="AA243" s="27" t="n">
        <v>128037000</v>
      </c>
      <c r="AB243" s="27" t="n">
        <v>588000000</v>
      </c>
      <c r="AC243" s="20" t="n"/>
      <c r="AD243" s="20">
        <f>IF($J243="","출고일 미정",IF($P243="X","작지 미발행",IF($P243="부분","작지 일부 미발행",IF(AND($R243&lt;&gt;"",$R243&gt;$M243),"소재입고 마감("&amp;TEXT($M243,"MM/DD")&amp;") 초과",IF($P243="","발행여부 확인 필요",IF($R243="","소재 입고일정 확인 필요","정상"))))))</f>
        <v/>
      </c>
      <c r="AE243" s="19">
        <f>IF($J243="","",IF(OR(LEFT($AD243,2)="작지",LEFT($AD243,4)="소재입고"),IF(LEFT($G243,1)="A","★ 납기위험(A코드)","◆ 지연주의"),IF($AD243="정상","✓ 정상","? 확인필요")))</f>
        <v/>
      </c>
      <c r="AF243" s="21" t="n"/>
      <c r="AG243" s="28" t="n"/>
    </row>
    <row r="244">
      <c r="A244" s="19" t="n">
        <v>240</v>
      </c>
      <c r="B244" s="20" t="inlineStr">
        <is>
          <t>문도혁</t>
        </is>
      </c>
      <c r="C244" s="20" t="inlineStr">
        <is>
          <t>서은미</t>
        </is>
      </c>
      <c r="D244" s="20" t="inlineStr">
        <is>
          <t>TVPNW27646</t>
        </is>
      </c>
      <c r="E244" s="20" t="inlineStr">
        <is>
          <t>여성 코듀로이 루즈핏 팬츠</t>
        </is>
      </c>
      <c r="F244" s="20" t="inlineStr">
        <is>
          <t>DEB/ALI</t>
        </is>
      </c>
      <c r="G244" s="19">
        <f>IF($D244="","",IF(MID($D244,5,1)="A","A(가을)",IF(MID($D244,5,1)="W","W(겨울)",IF(MID($D244,5,1)="X","X(사계절)",MID($D244,5,1)))))</f>
        <v/>
      </c>
      <c r="H244" s="19" t="inlineStr">
        <is>
          <t>완</t>
        </is>
      </c>
      <c r="I244" s="21" t="inlineStr">
        <is>
          <t>9월1주</t>
        </is>
      </c>
      <c r="J244" s="22">
        <f>IF($I244="","",IFERROR(DATE(기준정보!$C$7,VALUE(LEFT($I244,FIND("월",$I244)-1)),1+7*(VALUE(SUBSTITUTE(MID($I244,FIND("월",$I244)+1,5),"주",""))-1)),""))</f>
        <v/>
      </c>
      <c r="K244" s="22">
        <f>IF($J244="","",IF(AND(ISNUMBER(SEARCH("미얀마",$U244)),$J244-기준정보!$C$5&gt;=기준정보!$C$8,$J244-기준정보!$C$5&lt;=기준정보!$C$9),기준정보!$C$8-1,IF(AND(ISNUMBER(SEARCH("인도네시아",$U244)),$J244-기준정보!$C$5&gt;=기준정보!$C$10,$J244-기준정보!$C$5&lt;=기준정보!$C$11),기준정보!$C$10-1,$J244-기준정보!$C$5)))</f>
        <v/>
      </c>
      <c r="L244" s="23">
        <f>IF($K244="","",IF(ISNUMBER(SEARCH("미얀마",$U244)),MAX(0,MIN($K244,기준정보!$C$9)-MAX($K244-기준정보!$C$6,기준정보!$C$8)+1),IF(ISNUMBER(SEARCH("인도네시아",$U244)),MAX(0,MIN($K244,기준정보!$C$11)-MAX($K244-기준정보!$C$6,기준정보!$C$10)+1),0)))</f>
        <v/>
      </c>
      <c r="M244" s="22">
        <f>IF($K244="","",$K244-기준정보!$C$6-$L244)</f>
        <v/>
      </c>
      <c r="N244" s="24">
        <f>IF($M244="","",$M244-기준정보!$C$4)</f>
        <v/>
      </c>
      <c r="O244" s="21" t="n"/>
      <c r="P244" s="21" t="n"/>
      <c r="Q244" s="21" t="n"/>
      <c r="R244" s="25" t="n"/>
      <c r="S244" s="20">
        <f>IF($H244="","",IF($H244="C","본사(소재팀)",IF($H244="완","생산처","확인 필요")))</f>
        <v/>
      </c>
      <c r="T244" s="20" t="inlineStr">
        <is>
          <t>장안</t>
        </is>
      </c>
      <c r="U244" s="20" t="inlineStr">
        <is>
          <t>베트남</t>
        </is>
      </c>
      <c r="V244" s="20" t="n"/>
      <c r="W244" s="26" t="n"/>
      <c r="X244" s="26" t="n"/>
      <c r="Y244" s="22" t="n"/>
      <c r="Z244" s="27" t="n">
        <v>2000</v>
      </c>
      <c r="AA244" s="27" t="n">
        <v>64870000</v>
      </c>
      <c r="AB244" s="27" t="n">
        <v>376000000</v>
      </c>
      <c r="AC244" s="20" t="n"/>
      <c r="AD244" s="20">
        <f>IF($J244="","출고일 미정",IF($P244="X","작지 미발행",IF($P244="부분","작지 일부 미발행",IF(AND($R244&lt;&gt;"",$R244&gt;$M244),"소재입고 마감("&amp;TEXT($M244,"MM/DD")&amp;") 초과",IF($P244="","발행여부 확인 필요",IF($R244="","소재 입고일정 확인 필요","정상"))))))</f>
        <v/>
      </c>
      <c r="AE244" s="19">
        <f>IF($J244="","",IF(OR(LEFT($AD244,2)="작지",LEFT($AD244,4)="소재입고"),IF(LEFT($G244,1)="A","★ 납기위험(A코드)","◆ 지연주의"),IF($AD244="정상","✓ 정상","? 확인필요")))</f>
        <v/>
      </c>
      <c r="AF244" s="21" t="n"/>
      <c r="AG244" s="28" t="n"/>
    </row>
    <row r="245">
      <c r="A245" s="19" t="n">
        <v>241</v>
      </c>
      <c r="B245" s="20" t="inlineStr">
        <is>
          <t>문도혁</t>
        </is>
      </c>
      <c r="C245" s="20" t="inlineStr">
        <is>
          <t>서은미</t>
        </is>
      </c>
      <c r="D245" s="20" t="inlineStr">
        <is>
          <t>TVPNW27648</t>
        </is>
      </c>
      <c r="E245" s="20" t="inlineStr">
        <is>
          <t>여성 트리코트 잔체크 팬츠</t>
        </is>
      </c>
      <c r="F245" s="20" t="inlineStr">
        <is>
          <t>MID</t>
        </is>
      </c>
      <c r="G245" s="19">
        <f>IF($D245="","",IF(MID($D245,5,1)="A","A(가을)",IF(MID($D245,5,1)="W","W(겨울)",IF(MID($D245,5,1)="X","X(사계절)",MID($D245,5,1)))))</f>
        <v/>
      </c>
      <c r="H245" s="19" t="inlineStr">
        <is>
          <t>C</t>
        </is>
      </c>
      <c r="I245" s="21" t="inlineStr">
        <is>
          <t>9월1주</t>
        </is>
      </c>
      <c r="J245" s="22">
        <f>IF($I245="","",IFERROR(DATE(기준정보!$C$7,VALUE(LEFT($I245,FIND("월",$I245)-1)),1+7*(VALUE(SUBSTITUTE(MID($I245,FIND("월",$I245)+1,5),"주",""))-1)),""))</f>
        <v/>
      </c>
      <c r="K245" s="22">
        <f>IF($J245="","",IF(AND(ISNUMBER(SEARCH("미얀마",$U245)),$J245-기준정보!$C$5&gt;=기준정보!$C$8,$J245-기준정보!$C$5&lt;=기준정보!$C$9),기준정보!$C$8-1,IF(AND(ISNUMBER(SEARCH("인도네시아",$U245)),$J245-기준정보!$C$5&gt;=기준정보!$C$10,$J245-기준정보!$C$5&lt;=기준정보!$C$11),기준정보!$C$10-1,$J245-기준정보!$C$5)))</f>
        <v/>
      </c>
      <c r="L245" s="23">
        <f>IF($K245="","",IF(ISNUMBER(SEARCH("미얀마",$U245)),MAX(0,MIN($K245,기준정보!$C$9)-MAX($K245-기준정보!$C$6,기준정보!$C$8)+1),IF(ISNUMBER(SEARCH("인도네시아",$U245)),MAX(0,MIN($K245,기준정보!$C$11)-MAX($K245-기준정보!$C$6,기준정보!$C$10)+1),0)))</f>
        <v/>
      </c>
      <c r="M245" s="22">
        <f>IF($K245="","",$K245-기준정보!$C$6-$L245)</f>
        <v/>
      </c>
      <c r="N245" s="24">
        <f>IF($M245="","",$M245-기준정보!$C$4)</f>
        <v/>
      </c>
      <c r="O245" s="21" t="n"/>
      <c r="P245" s="21" t="n"/>
      <c r="Q245" s="21" t="n"/>
      <c r="R245" s="25" t="n"/>
      <c r="S245" s="20">
        <f>IF($H245="","",IF($H245="C","본사(소재팀)",IF($H245="완","생산처","확인 필요")))</f>
        <v/>
      </c>
      <c r="T245" s="20" t="inlineStr">
        <is>
          <t>거림</t>
        </is>
      </c>
      <c r="U245" s="20" t="inlineStr">
        <is>
          <t>베트남</t>
        </is>
      </c>
      <c r="V245" s="20" t="n"/>
      <c r="W245" s="26" t="n"/>
      <c r="X245" s="26" t="n"/>
      <c r="Y245" s="22" t="n"/>
      <c r="Z245" s="27" t="n">
        <v>1000</v>
      </c>
      <c r="AA245" s="27" t="n">
        <v>38081000</v>
      </c>
      <c r="AB245" s="27" t="n">
        <v>188000000</v>
      </c>
      <c r="AC245" s="20" t="n"/>
      <c r="AD245" s="20">
        <f>IF($J245="","출고일 미정",IF($P245="X","작지 미발행",IF($P245="부분","작지 일부 미발행",IF(AND($R245&lt;&gt;"",$R245&gt;$M245),"소재입고 마감("&amp;TEXT($M245,"MM/DD")&amp;") 초과",IF($P245="","발행여부 확인 필요",IF($R245="","소재 입고일정 확인 필요","정상"))))))</f>
        <v/>
      </c>
      <c r="AE245" s="19">
        <f>IF($J245="","",IF(OR(LEFT($AD245,2)="작지",LEFT($AD245,4)="소재입고"),IF(LEFT($G245,1)="A","★ 납기위험(A코드)","◆ 지연주의"),IF($AD245="정상","✓ 정상","? 확인필요")))</f>
        <v/>
      </c>
      <c r="AF245" s="21" t="n"/>
      <c r="AG245" s="28" t="n"/>
    </row>
    <row r="246">
      <c r="A246" s="19" t="n">
        <v>242</v>
      </c>
      <c r="B246" s="20" t="inlineStr">
        <is>
          <t>문도혁</t>
        </is>
      </c>
      <c r="C246" s="20" t="inlineStr">
        <is>
          <t>서은미</t>
        </is>
      </c>
      <c r="D246" s="20" t="inlineStr">
        <is>
          <t>TVPOW27632</t>
        </is>
      </c>
      <c r="E246" s="20" t="inlineStr">
        <is>
          <t>여성 퀼팅 숏 스커트</t>
        </is>
      </c>
      <c r="F246" s="20" t="inlineStr">
        <is>
          <t>CO1/CO2</t>
        </is>
      </c>
      <c r="G246" s="19">
        <f>IF($D246="","",IF(MID($D246,5,1)="A","A(가을)",IF(MID($D246,5,1)="W","W(겨울)",IF(MID($D246,5,1)="X","X(사계절)",MID($D246,5,1)))))</f>
        <v/>
      </c>
      <c r="H246" s="19" t="n"/>
      <c r="I246" s="21" t="inlineStr">
        <is>
          <t>9월1주</t>
        </is>
      </c>
      <c r="J246" s="22">
        <f>IF($I246="","",IFERROR(DATE(기준정보!$C$7,VALUE(LEFT($I246,FIND("월",$I246)-1)),1+7*(VALUE(SUBSTITUTE(MID($I246,FIND("월",$I246)+1,5),"주",""))-1)),""))</f>
        <v/>
      </c>
      <c r="K246" s="22">
        <f>IF($J246="","",IF(AND(ISNUMBER(SEARCH("미얀마",$U246)),$J246-기준정보!$C$5&gt;=기준정보!$C$8,$J246-기준정보!$C$5&lt;=기준정보!$C$9),기준정보!$C$8-1,IF(AND(ISNUMBER(SEARCH("인도네시아",$U246)),$J246-기준정보!$C$5&gt;=기준정보!$C$10,$J246-기준정보!$C$5&lt;=기준정보!$C$11),기준정보!$C$10-1,$J246-기준정보!$C$5)))</f>
        <v/>
      </c>
      <c r="L246" s="23">
        <f>IF($K246="","",IF(ISNUMBER(SEARCH("미얀마",$U246)),MAX(0,MIN($K246,기준정보!$C$9)-MAX($K246-기준정보!$C$6,기준정보!$C$8)+1),IF(ISNUMBER(SEARCH("인도네시아",$U246)),MAX(0,MIN($K246,기준정보!$C$11)-MAX($K246-기준정보!$C$6,기준정보!$C$10)+1),0)))</f>
        <v/>
      </c>
      <c r="M246" s="22">
        <f>IF($K246="","",$K246-기준정보!$C$6-$L246)</f>
        <v/>
      </c>
      <c r="N246" s="24">
        <f>IF($M246="","",$M246-기준정보!$C$4)</f>
        <v/>
      </c>
      <c r="O246" s="21" t="n"/>
      <c r="P246" s="21" t="n"/>
      <c r="Q246" s="21" t="n"/>
      <c r="R246" s="25" t="n"/>
      <c r="S246" s="20">
        <f>IF($H246="","",IF($H246="C","본사(소재팀)",IF($H246="완","생산처","확인 필요")))</f>
        <v/>
      </c>
      <c r="T246" s="20" t="n"/>
      <c r="U246" s="20" t="n"/>
      <c r="V246" s="20" t="n"/>
      <c r="W246" s="26" t="n"/>
      <c r="X246" s="26" t="n"/>
      <c r="Y246" s="22" t="n"/>
      <c r="Z246" s="27" t="n">
        <v>600</v>
      </c>
      <c r="AA246" s="27" t="n">
        <v>19800000</v>
      </c>
      <c r="AB246" s="27" t="n">
        <v>112800000</v>
      </c>
      <c r="AC246" s="20" t="n"/>
      <c r="AD246" s="20">
        <f>IF($J246="","출고일 미정",IF($P246="X","작지 미발행",IF($P246="부분","작지 일부 미발행",IF(AND($R246&lt;&gt;"",$R246&gt;$M246),"소재입고 마감("&amp;TEXT($M246,"MM/DD")&amp;") 초과",IF($P246="","발행여부 확인 필요",IF($R246="","소재 입고일정 확인 필요","정상"))))))</f>
        <v/>
      </c>
      <c r="AE246" s="19">
        <f>IF($J246="","",IF(OR(LEFT($AD246,2)="작지",LEFT($AD246,4)="소재입고"),IF(LEFT($G246,1)="A","★ 납기위험(A코드)","◆ 지연주의"),IF($AD246="정상","✓ 정상","? 확인필요")))</f>
        <v/>
      </c>
      <c r="AF246" s="21" t="n"/>
      <c r="AG246" s="28" t="n"/>
    </row>
    <row r="247">
      <c r="A247" s="19" t="n">
        <v>243</v>
      </c>
      <c r="B247" s="20" t="inlineStr">
        <is>
          <t>최진민</t>
        </is>
      </c>
      <c r="C247" s="20" t="inlineStr">
        <is>
          <t>권혁일</t>
        </is>
      </c>
      <c r="D247" s="20" t="inlineStr">
        <is>
          <t>TVVAW27404</t>
        </is>
      </c>
      <c r="E247" s="20" t="inlineStr">
        <is>
          <t>여성 프리마로프트 스탠드넥 방풍 베스트</t>
        </is>
      </c>
      <c r="F247" s="20" t="inlineStr">
        <is>
          <t>DNA/ABE</t>
        </is>
      </c>
      <c r="G247" s="19">
        <f>IF($D247="","",IF(MID($D247,5,1)="A","A(가을)",IF(MID($D247,5,1)="W","W(겨울)",IF(MID($D247,5,1)="X","X(사계절)",MID($D247,5,1)))))</f>
        <v/>
      </c>
      <c r="H247" s="19" t="n"/>
      <c r="I247" s="21" t="inlineStr">
        <is>
          <t>9월1주</t>
        </is>
      </c>
      <c r="J247" s="22">
        <f>IF($I247="","",IFERROR(DATE(기준정보!$C$7,VALUE(LEFT($I247,FIND("월",$I247)-1)),1+7*(VALUE(SUBSTITUTE(MID($I247,FIND("월",$I247)+1,5),"주",""))-1)),""))</f>
        <v/>
      </c>
      <c r="K247" s="22">
        <f>IF($J247="","",IF(AND(ISNUMBER(SEARCH("미얀마",$U247)),$J247-기준정보!$C$5&gt;=기준정보!$C$8,$J247-기준정보!$C$5&lt;=기준정보!$C$9),기준정보!$C$8-1,IF(AND(ISNUMBER(SEARCH("인도네시아",$U247)),$J247-기준정보!$C$5&gt;=기준정보!$C$10,$J247-기준정보!$C$5&lt;=기준정보!$C$11),기준정보!$C$10-1,$J247-기준정보!$C$5)))</f>
        <v/>
      </c>
      <c r="L247" s="23">
        <f>IF($K247="","",IF(ISNUMBER(SEARCH("미얀마",$U247)),MAX(0,MIN($K247,기준정보!$C$9)-MAX($K247-기준정보!$C$6,기준정보!$C$8)+1),IF(ISNUMBER(SEARCH("인도네시아",$U247)),MAX(0,MIN($K247,기준정보!$C$11)-MAX($K247-기준정보!$C$6,기준정보!$C$10)+1),0)))</f>
        <v/>
      </c>
      <c r="M247" s="22">
        <f>IF($K247="","",$K247-기준정보!$C$6-$L247)</f>
        <v/>
      </c>
      <c r="N247" s="24">
        <f>IF($M247="","",$M247-기준정보!$C$4)</f>
        <v/>
      </c>
      <c r="O247" s="21" t="n"/>
      <c r="P247" s="21" t="n"/>
      <c r="Q247" s="21" t="n"/>
      <c r="R247" s="25" t="n"/>
      <c r="S247" s="20">
        <f>IF($H247="","",IF($H247="C","본사(소재팀)",IF($H247="완","생산처","확인 필요")))</f>
        <v/>
      </c>
      <c r="T247" s="20" t="inlineStr">
        <is>
          <t>기도</t>
        </is>
      </c>
      <c r="U247" s="20" t="inlineStr">
        <is>
          <t>미얀마</t>
        </is>
      </c>
      <c r="V247" s="20" t="n"/>
      <c r="W247" s="26" t="n"/>
      <c r="X247" s="26" t="n"/>
      <c r="Y247" s="22" t="n"/>
      <c r="Z247" s="27" t="n">
        <v>1800</v>
      </c>
      <c r="AA247" s="27" t="n">
        <v>63000000</v>
      </c>
      <c r="AB247" s="27" t="n">
        <v>338400000</v>
      </c>
      <c r="AC247" s="20" t="n"/>
      <c r="AD247" s="20">
        <f>IF($J247="","출고일 미정",IF($P247="X","작지 미발행",IF($P247="부분","작지 일부 미발행",IF(AND($R247&lt;&gt;"",$R247&gt;$M247),"소재입고 마감("&amp;TEXT($M247,"MM/DD")&amp;") 초과",IF($P247="","발행여부 확인 필요",IF($R247="","소재 입고일정 확인 필요","정상"))))))</f>
        <v/>
      </c>
      <c r="AE247" s="19">
        <f>IF($J247="","",IF(OR(LEFT($AD247,2)="작지",LEFT($AD247,4)="소재입고"),IF(LEFT($G247,1)="A","★ 납기위험(A코드)","◆ 지연주의"),IF($AD247="정상","✓ 정상","? 확인필요")))</f>
        <v/>
      </c>
      <c r="AF247" s="21" t="n"/>
      <c r="AG247" s="28" t="n"/>
    </row>
    <row r="248">
      <c r="A248" s="19" t="n">
        <v>244</v>
      </c>
      <c r="B248" s="20" t="inlineStr">
        <is>
          <t>최진민</t>
        </is>
      </c>
      <c r="C248" s="20" t="inlineStr">
        <is>
          <t>권혁일</t>
        </is>
      </c>
      <c r="D248" s="20" t="inlineStr">
        <is>
          <t>TVVAW27406</t>
        </is>
      </c>
      <c r="E248" s="20" t="inlineStr">
        <is>
          <t>여성 슬림핏 스탠드넥 베스트</t>
        </is>
      </c>
      <c r="F248" s="20" t="inlineStr">
        <is>
          <t>DTL/CHR</t>
        </is>
      </c>
      <c r="G248" s="19">
        <f>IF($D248="","",IF(MID($D248,5,1)="A","A(가을)",IF(MID($D248,5,1)="W","W(겨울)",IF(MID($D248,5,1)="X","X(사계절)",MID($D248,5,1)))))</f>
        <v/>
      </c>
      <c r="H248" s="19" t="n"/>
      <c r="I248" s="21" t="inlineStr">
        <is>
          <t>9월1주</t>
        </is>
      </c>
      <c r="J248" s="22">
        <f>IF($I248="","",IFERROR(DATE(기준정보!$C$7,VALUE(LEFT($I248,FIND("월",$I248)-1)),1+7*(VALUE(SUBSTITUTE(MID($I248,FIND("월",$I248)+1,5),"주",""))-1)),""))</f>
        <v/>
      </c>
      <c r="K248" s="22">
        <f>IF($J248="","",IF(AND(ISNUMBER(SEARCH("미얀마",$U248)),$J248-기준정보!$C$5&gt;=기준정보!$C$8,$J248-기준정보!$C$5&lt;=기준정보!$C$9),기준정보!$C$8-1,IF(AND(ISNUMBER(SEARCH("인도네시아",$U248)),$J248-기준정보!$C$5&gt;=기준정보!$C$10,$J248-기준정보!$C$5&lt;=기준정보!$C$11),기준정보!$C$10-1,$J248-기준정보!$C$5)))</f>
        <v/>
      </c>
      <c r="L248" s="23">
        <f>IF($K248="","",IF(ISNUMBER(SEARCH("미얀마",$U248)),MAX(0,MIN($K248,기준정보!$C$9)-MAX($K248-기준정보!$C$6,기준정보!$C$8)+1),IF(ISNUMBER(SEARCH("인도네시아",$U248)),MAX(0,MIN($K248,기준정보!$C$11)-MAX($K248-기준정보!$C$6,기준정보!$C$10)+1),0)))</f>
        <v/>
      </c>
      <c r="M248" s="22">
        <f>IF($K248="","",$K248-기준정보!$C$6-$L248)</f>
        <v/>
      </c>
      <c r="N248" s="24">
        <f>IF($M248="","",$M248-기준정보!$C$4)</f>
        <v/>
      </c>
      <c r="O248" s="21" t="n"/>
      <c r="P248" s="21" t="n"/>
      <c r="Q248" s="21" t="n"/>
      <c r="R248" s="25" t="n"/>
      <c r="S248" s="20">
        <f>IF($H248="","",IF($H248="C","본사(소재팀)",IF($H248="완","생산처","확인 필요")))</f>
        <v/>
      </c>
      <c r="T248" s="20" t="inlineStr">
        <is>
          <t>기도</t>
        </is>
      </c>
      <c r="U248" s="20" t="inlineStr">
        <is>
          <t>미얀마</t>
        </is>
      </c>
      <c r="V248" s="20" t="n"/>
      <c r="W248" s="26" t="n"/>
      <c r="X248" s="26" t="n"/>
      <c r="Y248" s="22" t="n"/>
      <c r="Z248" s="27" t="n">
        <v>1200</v>
      </c>
      <c r="AA248" s="27" t="n">
        <v>39600000</v>
      </c>
      <c r="AB248" s="27" t="n">
        <v>213600000</v>
      </c>
      <c r="AC248" s="20" t="n"/>
      <c r="AD248" s="20">
        <f>IF($J248="","출고일 미정",IF($P248="X","작지 미발행",IF($P248="부분","작지 일부 미발행",IF(AND($R248&lt;&gt;"",$R248&gt;$M248),"소재입고 마감("&amp;TEXT($M248,"MM/DD")&amp;") 초과",IF($P248="","발행여부 확인 필요",IF($R248="","소재 입고일정 확인 필요","정상"))))))</f>
        <v/>
      </c>
      <c r="AE248" s="19">
        <f>IF($J248="","",IF(OR(LEFT($AD248,2)="작지",LEFT($AD248,4)="소재입고"),IF(LEFT($G248,1)="A","★ 납기위험(A코드)","◆ 지연주의"),IF($AD248="정상","✓ 정상","? 확인필요")))</f>
        <v/>
      </c>
      <c r="AF248" s="21" t="n"/>
      <c r="AG248" s="28" t="n"/>
    </row>
    <row r="249">
      <c r="A249" s="19" t="n">
        <v>245</v>
      </c>
      <c r="B249" s="20" t="inlineStr">
        <is>
          <t>김준래</t>
        </is>
      </c>
      <c r="C249" s="20" t="inlineStr">
        <is>
          <t>서은미</t>
        </is>
      </c>
      <c r="D249" s="20" t="inlineStr">
        <is>
          <t>TVVAW27612</t>
        </is>
      </c>
      <c r="E249" s="20" t="inlineStr">
        <is>
          <t>여성 솟솟 경량 후드 다운 베스트</t>
        </is>
      </c>
      <c r="F249" s="20" t="inlineStr">
        <is>
          <t>ECR/MID</t>
        </is>
      </c>
      <c r="G249" s="19">
        <f>IF($D249="","",IF(MID($D249,5,1)="A","A(가을)",IF(MID($D249,5,1)="W","W(겨울)",IF(MID($D249,5,1)="X","X(사계절)",MID($D249,5,1)))))</f>
        <v/>
      </c>
      <c r="H249" s="19" t="inlineStr">
        <is>
          <t>완</t>
        </is>
      </c>
      <c r="I249" s="21" t="inlineStr">
        <is>
          <t>9월1주</t>
        </is>
      </c>
      <c r="J249" s="22">
        <f>IF($I249="","",IFERROR(DATE(기준정보!$C$7,VALUE(LEFT($I249,FIND("월",$I249)-1)),1+7*(VALUE(SUBSTITUTE(MID($I249,FIND("월",$I249)+1,5),"주",""))-1)),""))</f>
        <v/>
      </c>
      <c r="K249" s="22">
        <f>IF($J249="","",IF(AND(ISNUMBER(SEARCH("미얀마",$U249)),$J249-기준정보!$C$5&gt;=기준정보!$C$8,$J249-기준정보!$C$5&lt;=기준정보!$C$9),기준정보!$C$8-1,IF(AND(ISNUMBER(SEARCH("인도네시아",$U249)),$J249-기준정보!$C$5&gt;=기준정보!$C$10,$J249-기준정보!$C$5&lt;=기준정보!$C$11),기준정보!$C$10-1,$J249-기준정보!$C$5)))</f>
        <v/>
      </c>
      <c r="L249" s="23">
        <f>IF($K249="","",IF(ISNUMBER(SEARCH("미얀마",$U249)),MAX(0,MIN($K249,기준정보!$C$9)-MAX($K249-기준정보!$C$6,기준정보!$C$8)+1),IF(ISNUMBER(SEARCH("인도네시아",$U249)),MAX(0,MIN($K249,기준정보!$C$11)-MAX($K249-기준정보!$C$6,기준정보!$C$10)+1),0)))</f>
        <v/>
      </c>
      <c r="M249" s="22">
        <f>IF($K249="","",$K249-기준정보!$C$6-$L249)</f>
        <v/>
      </c>
      <c r="N249" s="24">
        <f>IF($M249="","",$M249-기준정보!$C$4)</f>
        <v/>
      </c>
      <c r="O249" s="21" t="n"/>
      <c r="P249" s="21" t="n"/>
      <c r="Q249" s="21" t="n"/>
      <c r="R249" s="25" t="n"/>
      <c r="S249" s="20">
        <f>IF($H249="","",IF($H249="C","본사(소재팀)",IF($H249="완","생산처","확인 필요")))</f>
        <v/>
      </c>
      <c r="T249" s="20" t="inlineStr">
        <is>
          <t>기도</t>
        </is>
      </c>
      <c r="U249" s="20" t="inlineStr">
        <is>
          <t>미얀마</t>
        </is>
      </c>
      <c r="V249" s="20" t="n"/>
      <c r="W249" s="26" t="n"/>
      <c r="X249" s="26" t="n"/>
      <c r="Y249" s="22" t="n"/>
      <c r="Z249" s="27" t="n">
        <v>8000</v>
      </c>
      <c r="AA249" s="27" t="n">
        <v>468464000</v>
      </c>
      <c r="AB249" s="27" t="n">
        <v>2160000000</v>
      </c>
      <c r="AC249" s="20" t="n"/>
      <c r="AD249" s="20">
        <f>IF($J249="","출고일 미정",IF($P249="X","작지 미발행",IF($P249="부분","작지 일부 미발행",IF(AND($R249&lt;&gt;"",$R249&gt;$M249),"소재입고 마감("&amp;TEXT($M249,"MM/DD")&amp;") 초과",IF($P249="","발행여부 확인 필요",IF($R249="","소재 입고일정 확인 필요","정상"))))))</f>
        <v/>
      </c>
      <c r="AE249" s="19">
        <f>IF($J249="","",IF(OR(LEFT($AD249,2)="작지",LEFT($AD249,4)="소재입고"),IF(LEFT($G249,1)="A","★ 납기위험(A코드)","◆ 지연주의"),IF($AD249="정상","✓ 정상","? 확인필요")))</f>
        <v/>
      </c>
      <c r="AF249" s="21" t="n"/>
      <c r="AG249" s="28" t="n"/>
    </row>
    <row r="250">
      <c r="A250" s="19" t="n">
        <v>246</v>
      </c>
      <c r="B250" s="20" t="inlineStr">
        <is>
          <t>박지인</t>
        </is>
      </c>
      <c r="C250" s="20" t="inlineStr">
        <is>
          <t>심현숙</t>
        </is>
      </c>
      <c r="D250" s="20" t="inlineStr">
        <is>
          <t>JKJDW27512</t>
        </is>
      </c>
      <c r="E250" s="20" t="inlineStr">
        <is>
          <t>여성 UL 미드 다운 후드 재킷</t>
        </is>
      </c>
      <c r="F250" s="20" t="inlineStr">
        <is>
          <t>DPL/ABU/DEB</t>
        </is>
      </c>
      <c r="G250" s="19">
        <f>IF($D250="","",IF(MID($D250,5,1)="A","A(가을)",IF(MID($D250,5,1)="W","W(겨울)",IF(MID($D250,5,1)="X","X(사계절)",MID($D250,5,1)))))</f>
        <v/>
      </c>
      <c r="H250" s="19" t="n"/>
      <c r="I250" s="21" t="inlineStr">
        <is>
          <t>9월2주</t>
        </is>
      </c>
      <c r="J250" s="22">
        <f>IF($I250="","",IFERROR(DATE(기준정보!$C$7,VALUE(LEFT($I250,FIND("월",$I250)-1)),1+7*(VALUE(SUBSTITUTE(MID($I250,FIND("월",$I250)+1,5),"주",""))-1)),""))</f>
        <v/>
      </c>
      <c r="K250" s="22">
        <f>IF($J250="","",IF(AND(ISNUMBER(SEARCH("미얀마",$U250)),$J250-기준정보!$C$5&gt;=기준정보!$C$8,$J250-기준정보!$C$5&lt;=기준정보!$C$9),기준정보!$C$8-1,IF(AND(ISNUMBER(SEARCH("인도네시아",$U250)),$J250-기준정보!$C$5&gt;=기준정보!$C$10,$J250-기준정보!$C$5&lt;=기준정보!$C$11),기준정보!$C$10-1,$J250-기준정보!$C$5)))</f>
        <v/>
      </c>
      <c r="L250" s="23">
        <f>IF($K250="","",IF(ISNUMBER(SEARCH("미얀마",$U250)),MAX(0,MIN($K250,기준정보!$C$9)-MAX($K250-기준정보!$C$6,기준정보!$C$8)+1),IF(ISNUMBER(SEARCH("인도네시아",$U250)),MAX(0,MIN($K250,기준정보!$C$11)-MAX($K250-기준정보!$C$6,기준정보!$C$10)+1),0)))</f>
        <v/>
      </c>
      <c r="M250" s="22">
        <f>IF($K250="","",$K250-기준정보!$C$6-$L250)</f>
        <v/>
      </c>
      <c r="N250" s="24">
        <f>IF($M250="","",$M250-기준정보!$C$4)</f>
        <v/>
      </c>
      <c r="O250" s="21" t="n"/>
      <c r="P250" s="21" t="n"/>
      <c r="Q250" s="21" t="n"/>
      <c r="R250" s="25" t="n"/>
      <c r="S250" s="20">
        <f>IF($H250="","",IF($H250="C","본사(소재팀)",IF($H250="완","생산처","확인 필요")))</f>
        <v/>
      </c>
      <c r="T250" s="20" t="inlineStr">
        <is>
          <t>포마트</t>
        </is>
      </c>
      <c r="U250" s="20" t="inlineStr">
        <is>
          <t>베트남</t>
        </is>
      </c>
      <c r="V250" s="20" t="n"/>
      <c r="W250" s="26" t="n"/>
      <c r="X250" s="26" t="n"/>
      <c r="Y250" s="22" t="n"/>
      <c r="Z250" s="27" t="n">
        <v>800</v>
      </c>
      <c r="AA250" s="27" t="n">
        <v>108180000</v>
      </c>
      <c r="AB250" s="27" t="n">
        <v>416000000</v>
      </c>
      <c r="AC250" s="20" t="n"/>
      <c r="AD250" s="20">
        <f>IF($J250="","출고일 미정",IF($P250="X","작지 미발행",IF($P250="부분","작지 일부 미발행",IF(AND($R250&lt;&gt;"",$R250&gt;$M250),"소재입고 마감("&amp;TEXT($M250,"MM/DD")&amp;") 초과",IF($P250="","발행여부 확인 필요",IF($R250="","소재 입고일정 확인 필요","정상"))))))</f>
        <v/>
      </c>
      <c r="AE250" s="19">
        <f>IF($J250="","",IF(OR(LEFT($AD250,2)="작지",LEFT($AD250,4)="소재입고"),IF(LEFT($G250,1)="A","★ 납기위험(A코드)","◆ 지연주의"),IF($AD250="정상","✓ 정상","? 확인필요")))</f>
        <v/>
      </c>
      <c r="AF250" s="21" t="n"/>
      <c r="AG250" s="28" t="n"/>
    </row>
    <row r="251">
      <c r="A251" s="19" t="n">
        <v>247</v>
      </c>
      <c r="B251" s="20" t="inlineStr">
        <is>
          <t>박지인</t>
        </is>
      </c>
      <c r="C251" s="20" t="inlineStr">
        <is>
          <t>심현숙</t>
        </is>
      </c>
      <c r="D251" s="20" t="inlineStr">
        <is>
          <t>JKJDW27522</t>
        </is>
      </c>
      <c r="E251" s="20" t="inlineStr">
        <is>
          <t>여성 UL 경량 스탠드넥 다운 재킷</t>
        </is>
      </c>
      <c r="F251" s="20" t="inlineStr">
        <is>
          <t>BPK/DEB</t>
        </is>
      </c>
      <c r="G251" s="19">
        <f>IF($D251="","",IF(MID($D251,5,1)="A","A(가을)",IF(MID($D251,5,1)="W","W(겨울)",IF(MID($D251,5,1)="X","X(사계절)",MID($D251,5,1)))))</f>
        <v/>
      </c>
      <c r="H251" s="19" t="n"/>
      <c r="I251" s="21" t="inlineStr">
        <is>
          <t>9월2주</t>
        </is>
      </c>
      <c r="J251" s="22">
        <f>IF($I251="","",IFERROR(DATE(기준정보!$C$7,VALUE(LEFT($I251,FIND("월",$I251)-1)),1+7*(VALUE(SUBSTITUTE(MID($I251,FIND("월",$I251)+1,5),"주",""))-1)),""))</f>
        <v/>
      </c>
      <c r="K251" s="22">
        <f>IF($J251="","",IF(AND(ISNUMBER(SEARCH("미얀마",$U251)),$J251-기준정보!$C$5&gt;=기준정보!$C$8,$J251-기준정보!$C$5&lt;=기준정보!$C$9),기준정보!$C$8-1,IF(AND(ISNUMBER(SEARCH("인도네시아",$U251)),$J251-기준정보!$C$5&gt;=기준정보!$C$10,$J251-기준정보!$C$5&lt;=기준정보!$C$11),기준정보!$C$10-1,$J251-기준정보!$C$5)))</f>
        <v/>
      </c>
      <c r="L251" s="23">
        <f>IF($K251="","",IF(ISNUMBER(SEARCH("미얀마",$U251)),MAX(0,MIN($K251,기준정보!$C$9)-MAX($K251-기준정보!$C$6,기준정보!$C$8)+1),IF(ISNUMBER(SEARCH("인도네시아",$U251)),MAX(0,MIN($K251,기준정보!$C$11)-MAX($K251-기준정보!$C$6,기준정보!$C$10)+1),0)))</f>
        <v/>
      </c>
      <c r="M251" s="22">
        <f>IF($K251="","",$K251-기준정보!$C$6-$L251)</f>
        <v/>
      </c>
      <c r="N251" s="24">
        <f>IF($M251="","",$M251-기준정보!$C$4)</f>
        <v/>
      </c>
      <c r="O251" s="21" t="n"/>
      <c r="P251" s="21" t="n"/>
      <c r="Q251" s="21" t="n"/>
      <c r="R251" s="25" t="n"/>
      <c r="S251" s="20">
        <f>IF($H251="","",IF($H251="C","본사(소재팀)",IF($H251="완","생산처","확인 필요")))</f>
        <v/>
      </c>
      <c r="T251" s="20" t="inlineStr">
        <is>
          <t>원전</t>
        </is>
      </c>
      <c r="U251" s="20" t="inlineStr">
        <is>
          <t>인도네시아</t>
        </is>
      </c>
      <c r="V251" s="20" t="n"/>
      <c r="W251" s="26" t="n"/>
      <c r="X251" s="26" t="n"/>
      <c r="Y251" s="22" t="n"/>
      <c r="Z251" s="27" t="n">
        <v>1100</v>
      </c>
      <c r="AA251" s="27" t="n">
        <v>121669900</v>
      </c>
      <c r="AB251" s="27" t="n">
        <v>495000000</v>
      </c>
      <c r="AC251" s="20" t="n"/>
      <c r="AD251" s="20">
        <f>IF($J251="","출고일 미정",IF($P251="X","작지 미발행",IF($P251="부분","작지 일부 미발행",IF(AND($R251&lt;&gt;"",$R251&gt;$M251),"소재입고 마감("&amp;TEXT($M251,"MM/DD")&amp;") 초과",IF($P251="","발행여부 확인 필요",IF($R251="","소재 입고일정 확인 필요","정상"))))))</f>
        <v/>
      </c>
      <c r="AE251" s="19">
        <f>IF($J251="","",IF(OR(LEFT($AD251,2)="작지",LEFT($AD251,4)="소재입고"),IF(LEFT($G251,1)="A","★ 납기위험(A코드)","◆ 지연주의"),IF($AD251="정상","✓ 정상","? 확인필요")))</f>
        <v/>
      </c>
      <c r="AF251" s="21" t="n"/>
      <c r="AG251" s="28" t="n"/>
    </row>
    <row r="252">
      <c r="A252" s="19" t="n">
        <v>248</v>
      </c>
      <c r="B252" s="20" t="inlineStr">
        <is>
          <t>박진아</t>
        </is>
      </c>
      <c r="C252" s="20" t="inlineStr">
        <is>
          <t>김지원</t>
        </is>
      </c>
      <c r="D252" s="20" t="inlineStr">
        <is>
          <t>JNSXW27401</t>
        </is>
      </c>
      <c r="E252" s="20" t="inlineStr">
        <is>
          <t>남녀공용 테크니컬 셔츠</t>
        </is>
      </c>
      <c r="F252" s="20" t="inlineStr">
        <is>
          <t>ABE/CHR</t>
        </is>
      </c>
      <c r="G252" s="19">
        <f>IF($D252="","",IF(MID($D252,5,1)="A","A(가을)",IF(MID($D252,5,1)="W","W(겨울)",IF(MID($D252,5,1)="X","X(사계절)",MID($D252,5,1)))))</f>
        <v/>
      </c>
      <c r="H252" s="19" t="n"/>
      <c r="I252" s="21" t="inlineStr">
        <is>
          <t>9월2주</t>
        </is>
      </c>
      <c r="J252" s="22">
        <f>IF($I252="","",IFERROR(DATE(기준정보!$C$7,VALUE(LEFT($I252,FIND("월",$I252)-1)),1+7*(VALUE(SUBSTITUTE(MID($I252,FIND("월",$I252)+1,5),"주",""))-1)),""))</f>
        <v/>
      </c>
      <c r="K252" s="22">
        <f>IF($J252="","",IF(AND(ISNUMBER(SEARCH("미얀마",$U252)),$J252-기준정보!$C$5&gt;=기준정보!$C$8,$J252-기준정보!$C$5&lt;=기준정보!$C$9),기준정보!$C$8-1,IF(AND(ISNUMBER(SEARCH("인도네시아",$U252)),$J252-기준정보!$C$5&gt;=기준정보!$C$10,$J252-기준정보!$C$5&lt;=기준정보!$C$11),기준정보!$C$10-1,$J252-기준정보!$C$5)))</f>
        <v/>
      </c>
      <c r="L252" s="23">
        <f>IF($K252="","",IF(ISNUMBER(SEARCH("미얀마",$U252)),MAX(0,MIN($K252,기준정보!$C$9)-MAX($K252-기준정보!$C$6,기준정보!$C$8)+1),IF(ISNUMBER(SEARCH("인도네시아",$U252)),MAX(0,MIN($K252,기준정보!$C$11)-MAX($K252-기준정보!$C$6,기준정보!$C$10)+1),0)))</f>
        <v/>
      </c>
      <c r="M252" s="22">
        <f>IF($K252="","",$K252-기준정보!$C$6-$L252)</f>
        <v/>
      </c>
      <c r="N252" s="24">
        <f>IF($M252="","",$M252-기준정보!$C$4)</f>
        <v/>
      </c>
      <c r="O252" s="21" t="n"/>
      <c r="P252" s="21" t="n"/>
      <c r="Q252" s="21" t="n"/>
      <c r="R252" s="25" t="n"/>
      <c r="S252" s="20">
        <f>IF($H252="","",IF($H252="C","본사(소재팀)",IF($H252="완","생산처","확인 필요")))</f>
        <v/>
      </c>
      <c r="T252" s="20" t="inlineStr">
        <is>
          <t>성원</t>
        </is>
      </c>
      <c r="U252" s="20" t="inlineStr">
        <is>
          <t>베트남</t>
        </is>
      </c>
      <c r="V252" s="20" t="n"/>
      <c r="W252" s="26" t="n"/>
      <c r="X252" s="26" t="n"/>
      <c r="Y252" s="22" t="n"/>
      <c r="Z252" s="27" t="n">
        <v>800</v>
      </c>
      <c r="AA252" s="27" t="n">
        <v>37878400</v>
      </c>
      <c r="AB252" s="27" t="n">
        <v>158400000</v>
      </c>
      <c r="AC252" s="20" t="n"/>
      <c r="AD252" s="20">
        <f>IF($J252="","출고일 미정",IF($P252="X","작지 미발행",IF($P252="부분","작지 일부 미발행",IF(AND($R252&lt;&gt;"",$R252&gt;$M252),"소재입고 마감("&amp;TEXT($M252,"MM/DD")&amp;") 초과",IF($P252="","발행여부 확인 필요",IF($R252="","소재 입고일정 확인 필요","정상"))))))</f>
        <v/>
      </c>
      <c r="AE252" s="19">
        <f>IF($J252="","",IF(OR(LEFT($AD252,2)="작지",LEFT($AD252,4)="소재입고"),IF(LEFT($G252,1)="A","★ 납기위험(A코드)","◆ 지연주의"),IF($AD252="정상","✓ 정상","? 확인필요")))</f>
        <v/>
      </c>
      <c r="AF252" s="21" t="n"/>
      <c r="AG252" s="28" t="n"/>
    </row>
    <row r="253">
      <c r="A253" s="19" t="n">
        <v>249</v>
      </c>
      <c r="B253" s="20" t="inlineStr">
        <is>
          <t>박지인</t>
        </is>
      </c>
      <c r="C253" s="20" t="inlineStr">
        <is>
          <t>심현숙</t>
        </is>
      </c>
      <c r="D253" s="20" t="inlineStr">
        <is>
          <t>JWJDW27511</t>
        </is>
      </c>
      <c r="E253" s="20" t="inlineStr">
        <is>
          <t>남성 UL 미드 다운 후드 재킷</t>
        </is>
      </c>
      <c r="F253" s="20" t="inlineStr">
        <is>
          <t>AWH/DEB</t>
        </is>
      </c>
      <c r="G253" s="19">
        <f>IF($D253="","",IF(MID($D253,5,1)="A","A(가을)",IF(MID($D253,5,1)="W","W(겨울)",IF(MID($D253,5,1)="X","X(사계절)",MID($D253,5,1)))))</f>
        <v/>
      </c>
      <c r="H253" s="19" t="n"/>
      <c r="I253" s="21" t="inlineStr">
        <is>
          <t>9월2주</t>
        </is>
      </c>
      <c r="J253" s="22">
        <f>IF($I253="","",IFERROR(DATE(기준정보!$C$7,VALUE(LEFT($I253,FIND("월",$I253)-1)),1+7*(VALUE(SUBSTITUTE(MID($I253,FIND("월",$I253)+1,5),"주",""))-1)),""))</f>
        <v/>
      </c>
      <c r="K253" s="22">
        <f>IF($J253="","",IF(AND(ISNUMBER(SEARCH("미얀마",$U253)),$J253-기준정보!$C$5&gt;=기준정보!$C$8,$J253-기준정보!$C$5&lt;=기준정보!$C$9),기준정보!$C$8-1,IF(AND(ISNUMBER(SEARCH("인도네시아",$U253)),$J253-기준정보!$C$5&gt;=기준정보!$C$10,$J253-기준정보!$C$5&lt;=기준정보!$C$11),기준정보!$C$10-1,$J253-기준정보!$C$5)))</f>
        <v/>
      </c>
      <c r="L253" s="23">
        <f>IF($K253="","",IF(ISNUMBER(SEARCH("미얀마",$U253)),MAX(0,MIN($K253,기준정보!$C$9)-MAX($K253-기준정보!$C$6,기준정보!$C$8)+1),IF(ISNUMBER(SEARCH("인도네시아",$U253)),MAX(0,MIN($K253,기준정보!$C$11)-MAX($K253-기준정보!$C$6,기준정보!$C$10)+1),0)))</f>
        <v/>
      </c>
      <c r="M253" s="22">
        <f>IF($K253="","",$K253-기준정보!$C$6-$L253)</f>
        <v/>
      </c>
      <c r="N253" s="24">
        <f>IF($M253="","",$M253-기준정보!$C$4)</f>
        <v/>
      </c>
      <c r="O253" s="21" t="n"/>
      <c r="P253" s="21" t="n"/>
      <c r="Q253" s="21" t="n"/>
      <c r="R253" s="25" t="n"/>
      <c r="S253" s="20">
        <f>IF($H253="","",IF($H253="C","본사(소재팀)",IF($H253="완","생산처","확인 필요")))</f>
        <v/>
      </c>
      <c r="T253" s="20" t="inlineStr">
        <is>
          <t>포마트</t>
        </is>
      </c>
      <c r="U253" s="20" t="inlineStr">
        <is>
          <t>베트남</t>
        </is>
      </c>
      <c r="V253" s="20" t="n"/>
      <c r="W253" s="26" t="n"/>
      <c r="X253" s="26" t="n"/>
      <c r="Y253" s="22" t="n"/>
      <c r="Z253" s="27" t="n">
        <v>1200</v>
      </c>
      <c r="AA253" s="27" t="n">
        <v>169419600</v>
      </c>
      <c r="AB253" s="27" t="n">
        <v>624000000</v>
      </c>
      <c r="AC253" s="20" t="n"/>
      <c r="AD253" s="20">
        <f>IF($J253="","출고일 미정",IF($P253="X","작지 미발행",IF($P253="부분","작지 일부 미발행",IF(AND($R253&lt;&gt;"",$R253&gt;$M253),"소재입고 마감("&amp;TEXT($M253,"MM/DD")&amp;") 초과",IF($P253="","발행여부 확인 필요",IF($R253="","소재 입고일정 확인 필요","정상"))))))</f>
        <v/>
      </c>
      <c r="AE253" s="19">
        <f>IF($J253="","",IF(OR(LEFT($AD253,2)="작지",LEFT($AD253,4)="소재입고"),IF(LEFT($G253,1)="A","★ 납기위험(A코드)","◆ 지연주의"),IF($AD253="정상","✓ 정상","? 확인필요")))</f>
        <v/>
      </c>
      <c r="AF253" s="21" t="n"/>
      <c r="AG253" s="28" t="n"/>
    </row>
    <row r="254">
      <c r="A254" s="19" t="n">
        <v>250</v>
      </c>
      <c r="B254" s="20" t="inlineStr">
        <is>
          <t>박지인</t>
        </is>
      </c>
      <c r="C254" s="20" t="inlineStr">
        <is>
          <t>심현숙</t>
        </is>
      </c>
      <c r="D254" s="20" t="inlineStr">
        <is>
          <t>JWJDW27521</t>
        </is>
      </c>
      <c r="E254" s="20" t="inlineStr">
        <is>
          <t>남성 UL 경량 스탠드넥 다운 재킷</t>
        </is>
      </c>
      <c r="F254" s="20" t="inlineStr">
        <is>
          <t>ABU/CHR/DEB</t>
        </is>
      </c>
      <c r="G254" s="19">
        <f>IF($D254="","",IF(MID($D254,5,1)="A","A(가을)",IF(MID($D254,5,1)="W","W(겨울)",IF(MID($D254,5,1)="X","X(사계절)",MID($D254,5,1)))))</f>
        <v/>
      </c>
      <c r="H254" s="19" t="n"/>
      <c r="I254" s="21" t="inlineStr">
        <is>
          <t>9월2주</t>
        </is>
      </c>
      <c r="J254" s="22">
        <f>IF($I254="","",IFERROR(DATE(기준정보!$C$7,VALUE(LEFT($I254,FIND("월",$I254)-1)),1+7*(VALUE(SUBSTITUTE(MID($I254,FIND("월",$I254)+1,5),"주",""))-1)),""))</f>
        <v/>
      </c>
      <c r="K254" s="22">
        <f>IF($J254="","",IF(AND(ISNUMBER(SEARCH("미얀마",$U254)),$J254-기준정보!$C$5&gt;=기준정보!$C$8,$J254-기준정보!$C$5&lt;=기준정보!$C$9),기준정보!$C$8-1,IF(AND(ISNUMBER(SEARCH("인도네시아",$U254)),$J254-기준정보!$C$5&gt;=기준정보!$C$10,$J254-기준정보!$C$5&lt;=기준정보!$C$11),기준정보!$C$10-1,$J254-기준정보!$C$5)))</f>
        <v/>
      </c>
      <c r="L254" s="23">
        <f>IF($K254="","",IF(ISNUMBER(SEARCH("미얀마",$U254)),MAX(0,MIN($K254,기준정보!$C$9)-MAX($K254-기준정보!$C$6,기준정보!$C$8)+1),IF(ISNUMBER(SEARCH("인도네시아",$U254)),MAX(0,MIN($K254,기준정보!$C$11)-MAX($K254-기준정보!$C$6,기준정보!$C$10)+1),0)))</f>
        <v/>
      </c>
      <c r="M254" s="22">
        <f>IF($K254="","",$K254-기준정보!$C$6-$L254)</f>
        <v/>
      </c>
      <c r="N254" s="24">
        <f>IF($M254="","",$M254-기준정보!$C$4)</f>
        <v/>
      </c>
      <c r="O254" s="21" t="n"/>
      <c r="P254" s="21" t="n"/>
      <c r="Q254" s="21" t="n"/>
      <c r="R254" s="25" t="n"/>
      <c r="S254" s="20">
        <f>IF($H254="","",IF($H254="C","본사(소재팀)",IF($H254="완","생산처","확인 필요")))</f>
        <v/>
      </c>
      <c r="T254" s="20" t="inlineStr">
        <is>
          <t>원전</t>
        </is>
      </c>
      <c r="U254" s="20" t="inlineStr">
        <is>
          <t>인도네시아</t>
        </is>
      </c>
      <c r="V254" s="20" t="n"/>
      <c r="W254" s="26" t="n"/>
      <c r="X254" s="26" t="n"/>
      <c r="Y254" s="22" t="n"/>
      <c r="Z254" s="27" t="n">
        <v>2000</v>
      </c>
      <c r="AA254" s="27" t="n">
        <v>235808000</v>
      </c>
      <c r="AB254" s="27" t="n">
        <v>900000000</v>
      </c>
      <c r="AC254" s="20" t="n"/>
      <c r="AD254" s="20">
        <f>IF($J254="","출고일 미정",IF($P254="X","작지 미발행",IF($P254="부분","작지 일부 미발행",IF(AND($R254&lt;&gt;"",$R254&gt;$M254),"소재입고 마감("&amp;TEXT($M254,"MM/DD")&amp;") 초과",IF($P254="","발행여부 확인 필요",IF($R254="","소재 입고일정 확인 필요","정상"))))))</f>
        <v/>
      </c>
      <c r="AE254" s="19">
        <f>IF($J254="","",IF(OR(LEFT($AD254,2)="작지",LEFT($AD254,4)="소재입고"),IF(LEFT($G254,1)="A","★ 납기위험(A코드)","◆ 지연주의"),IF($AD254="정상","✓ 정상","? 확인필요")))</f>
        <v/>
      </c>
      <c r="AF254" s="21" t="n"/>
      <c r="AG254" s="28" t="n"/>
    </row>
    <row r="255">
      <c r="A255" s="19" t="n">
        <v>251</v>
      </c>
      <c r="B255" s="20" t="inlineStr">
        <is>
          <t>박지인</t>
        </is>
      </c>
      <c r="C255" s="20" t="inlineStr">
        <is>
          <t>조은선</t>
        </is>
      </c>
      <c r="D255" s="20" t="inlineStr">
        <is>
          <t>QEHFW27021</t>
        </is>
      </c>
      <c r="E255" s="20" t="inlineStr">
        <is>
          <t>남녀공용 방수 인슐레이션 미튼</t>
        </is>
      </c>
      <c r="F255" s="20" t="inlineStr">
        <is>
          <t>DOE</t>
        </is>
      </c>
      <c r="G255" s="19">
        <f>IF($D255="","",IF(MID($D255,5,1)="A","A(가을)",IF(MID($D255,5,1)="W","W(겨울)",IF(MID($D255,5,1)="X","X(사계절)",MID($D255,5,1)))))</f>
        <v/>
      </c>
      <c r="H255" s="19" t="n"/>
      <c r="I255" s="21" t="inlineStr">
        <is>
          <t>9월2주</t>
        </is>
      </c>
      <c r="J255" s="22">
        <f>IF($I255="","",IFERROR(DATE(기준정보!$C$7,VALUE(LEFT($I255,FIND("월",$I255)-1)),1+7*(VALUE(SUBSTITUTE(MID($I255,FIND("월",$I255)+1,5),"주",""))-1)),""))</f>
        <v/>
      </c>
      <c r="K255" s="22">
        <f>IF($J255="","",IF(AND(ISNUMBER(SEARCH("미얀마",$U255)),$J255-기준정보!$C$5&gt;=기준정보!$C$8,$J255-기준정보!$C$5&lt;=기준정보!$C$9),기준정보!$C$8-1,IF(AND(ISNUMBER(SEARCH("인도네시아",$U255)),$J255-기준정보!$C$5&gt;=기준정보!$C$10,$J255-기준정보!$C$5&lt;=기준정보!$C$11),기준정보!$C$10-1,$J255-기준정보!$C$5)))</f>
        <v/>
      </c>
      <c r="L255" s="23">
        <f>IF($K255="","",IF(ISNUMBER(SEARCH("미얀마",$U255)),MAX(0,MIN($K255,기준정보!$C$9)-MAX($K255-기준정보!$C$6,기준정보!$C$8)+1),IF(ISNUMBER(SEARCH("인도네시아",$U255)),MAX(0,MIN($K255,기준정보!$C$11)-MAX($K255-기준정보!$C$6,기준정보!$C$10)+1),0)))</f>
        <v/>
      </c>
      <c r="M255" s="22">
        <f>IF($K255="","",$K255-기준정보!$C$6-$L255)</f>
        <v/>
      </c>
      <c r="N255" s="24">
        <f>IF($M255="","",$M255-기준정보!$C$4)</f>
        <v/>
      </c>
      <c r="O255" s="21" t="n"/>
      <c r="P255" s="21" t="n"/>
      <c r="Q255" s="21" t="n"/>
      <c r="R255" s="25" t="n"/>
      <c r="S255" s="20">
        <f>IF($H255="","",IF($H255="C","본사(소재팀)",IF($H255="완","생산처","확인 필요")))</f>
        <v/>
      </c>
      <c r="T255" s="20" t="inlineStr">
        <is>
          <t>시즈글로벌</t>
        </is>
      </c>
      <c r="U255" s="20" t="inlineStr">
        <is>
          <t>베트남</t>
        </is>
      </c>
      <c r="V255" s="20" t="n"/>
      <c r="W255" s="26" t="n"/>
      <c r="X255" s="26" t="n"/>
      <c r="Y255" s="22" t="n"/>
      <c r="Z255" s="27" t="n">
        <v>300</v>
      </c>
      <c r="AA255" s="27" t="n">
        <v>7199100</v>
      </c>
      <c r="AB255" s="27" t="n">
        <v>27000000</v>
      </c>
      <c r="AC255" s="20" t="n"/>
      <c r="AD255" s="20">
        <f>IF($J255="","출고일 미정",IF($P255="X","작지 미발행",IF($P255="부분","작지 일부 미발행",IF(AND($R255&lt;&gt;"",$R255&gt;$M255),"소재입고 마감("&amp;TEXT($M255,"MM/DD")&amp;") 초과",IF($P255="","발행여부 확인 필요",IF($R255="","소재 입고일정 확인 필요","정상"))))))</f>
        <v/>
      </c>
      <c r="AE255" s="19">
        <f>IF($J255="","",IF(OR(LEFT($AD255,2)="작지",LEFT($AD255,4)="소재입고"),IF(LEFT($G255,1)="A","★ 납기위험(A코드)","◆ 지연주의"),IF($AD255="정상","✓ 정상","? 확인필요")))</f>
        <v/>
      </c>
      <c r="AF255" s="21" t="n"/>
      <c r="AG255" s="28" t="n"/>
    </row>
    <row r="256">
      <c r="A256" s="19" t="n">
        <v>252</v>
      </c>
      <c r="B256" s="20" t="inlineStr">
        <is>
          <t>최지희</t>
        </is>
      </c>
      <c r="C256" s="20" t="inlineStr">
        <is>
          <t>조은선</t>
        </is>
      </c>
      <c r="D256" s="20" t="inlineStr">
        <is>
          <t>QEHFW27403</t>
        </is>
      </c>
      <c r="E256" s="20" t="inlineStr">
        <is>
          <t>남녀공용 프리마로프트 인슐레이션 장갑</t>
        </is>
      </c>
      <c r="F256" s="20" t="inlineStr">
        <is>
          <t>DOE/PEG</t>
        </is>
      </c>
      <c r="G256" s="19">
        <f>IF($D256="","",IF(MID($D256,5,1)="A","A(가을)",IF(MID($D256,5,1)="W","W(겨울)",IF(MID($D256,5,1)="X","X(사계절)",MID($D256,5,1)))))</f>
        <v/>
      </c>
      <c r="H256" s="19" t="n"/>
      <c r="I256" s="21" t="inlineStr">
        <is>
          <t>9월2주</t>
        </is>
      </c>
      <c r="J256" s="22">
        <f>IF($I256="","",IFERROR(DATE(기준정보!$C$7,VALUE(LEFT($I256,FIND("월",$I256)-1)),1+7*(VALUE(SUBSTITUTE(MID($I256,FIND("월",$I256)+1,5),"주",""))-1)),""))</f>
        <v/>
      </c>
      <c r="K256" s="22">
        <f>IF($J256="","",IF(AND(ISNUMBER(SEARCH("미얀마",$U256)),$J256-기준정보!$C$5&gt;=기준정보!$C$8,$J256-기준정보!$C$5&lt;=기준정보!$C$9),기준정보!$C$8-1,IF(AND(ISNUMBER(SEARCH("인도네시아",$U256)),$J256-기준정보!$C$5&gt;=기준정보!$C$10,$J256-기준정보!$C$5&lt;=기준정보!$C$11),기준정보!$C$10-1,$J256-기준정보!$C$5)))</f>
        <v/>
      </c>
      <c r="L256" s="23">
        <f>IF($K256="","",IF(ISNUMBER(SEARCH("미얀마",$U256)),MAX(0,MIN($K256,기준정보!$C$9)-MAX($K256-기준정보!$C$6,기준정보!$C$8)+1),IF(ISNUMBER(SEARCH("인도네시아",$U256)),MAX(0,MIN($K256,기준정보!$C$11)-MAX($K256-기준정보!$C$6,기준정보!$C$10)+1),0)))</f>
        <v/>
      </c>
      <c r="M256" s="22">
        <f>IF($K256="","",$K256-기준정보!$C$6-$L256)</f>
        <v/>
      </c>
      <c r="N256" s="24">
        <f>IF($M256="","",$M256-기준정보!$C$4)</f>
        <v/>
      </c>
      <c r="O256" s="21" t="n"/>
      <c r="P256" s="21" t="n"/>
      <c r="Q256" s="21" t="n"/>
      <c r="R256" s="25" t="n"/>
      <c r="S256" s="20">
        <f>IF($H256="","",IF($H256="C","본사(소재팀)",IF($H256="완","생산처","확인 필요")))</f>
        <v/>
      </c>
      <c r="T256" s="20" t="inlineStr">
        <is>
          <t>시즈글로벌</t>
        </is>
      </c>
      <c r="U256" s="20" t="inlineStr">
        <is>
          <t>베트남</t>
        </is>
      </c>
      <c r="V256" s="20" t="n"/>
      <c r="W256" s="26" t="n"/>
      <c r="X256" s="26" t="n"/>
      <c r="Y256" s="22" t="n"/>
      <c r="Z256" s="27" t="n">
        <v>2000</v>
      </c>
      <c r="AA256" s="27" t="n">
        <v>31448000</v>
      </c>
      <c r="AB256" s="27" t="n">
        <v>216000000</v>
      </c>
      <c r="AC256" s="20" t="n"/>
      <c r="AD256" s="20">
        <f>IF($J256="","출고일 미정",IF($P256="X","작지 미발행",IF($P256="부분","작지 일부 미발행",IF(AND($R256&lt;&gt;"",$R256&gt;$M256),"소재입고 마감("&amp;TEXT($M256,"MM/DD")&amp;") 초과",IF($P256="","발행여부 확인 필요",IF($R256="","소재 입고일정 확인 필요","정상"))))))</f>
        <v/>
      </c>
      <c r="AE256" s="19">
        <f>IF($J256="","",IF(OR(LEFT($AD256,2)="작지",LEFT($AD256,4)="소재입고"),IF(LEFT($G256,1)="A","★ 납기위험(A코드)","◆ 지연주의"),IF($AD256="정상","✓ 정상","? 확인필요")))</f>
        <v/>
      </c>
      <c r="AF256" s="21" t="n"/>
      <c r="AG256" s="28" t="n"/>
    </row>
    <row r="257">
      <c r="A257" s="19" t="n">
        <v>253</v>
      </c>
      <c r="B257" s="20" t="inlineStr">
        <is>
          <t>박지인</t>
        </is>
      </c>
      <c r="C257" s="20" t="inlineStr">
        <is>
          <t>조은선</t>
        </is>
      </c>
      <c r="D257" s="20" t="inlineStr">
        <is>
          <t>QELAW27011</t>
        </is>
      </c>
      <c r="E257" s="20" t="inlineStr">
        <is>
          <t>남녀공용 인슐레이션 부티</t>
        </is>
      </c>
      <c r="F257" s="20" t="inlineStr">
        <is>
          <t>DOE</t>
        </is>
      </c>
      <c r="G257" s="19">
        <f>IF($D257="","",IF(MID($D257,5,1)="A","A(가을)",IF(MID($D257,5,1)="W","W(겨울)",IF(MID($D257,5,1)="X","X(사계절)",MID($D257,5,1)))))</f>
        <v/>
      </c>
      <c r="H257" s="19" t="n"/>
      <c r="I257" s="21" t="inlineStr">
        <is>
          <t>9월2주</t>
        </is>
      </c>
      <c r="J257" s="22">
        <f>IF($I257="","",IFERROR(DATE(기준정보!$C$7,VALUE(LEFT($I257,FIND("월",$I257)-1)),1+7*(VALUE(SUBSTITUTE(MID($I257,FIND("월",$I257)+1,5),"주",""))-1)),""))</f>
        <v/>
      </c>
      <c r="K257" s="22">
        <f>IF($J257="","",IF(AND(ISNUMBER(SEARCH("미얀마",$U257)),$J257-기준정보!$C$5&gt;=기준정보!$C$8,$J257-기준정보!$C$5&lt;=기준정보!$C$9),기준정보!$C$8-1,IF(AND(ISNUMBER(SEARCH("인도네시아",$U257)),$J257-기준정보!$C$5&gt;=기준정보!$C$10,$J257-기준정보!$C$5&lt;=기준정보!$C$11),기준정보!$C$10-1,$J257-기준정보!$C$5)))</f>
        <v/>
      </c>
      <c r="L257" s="23">
        <f>IF($K257="","",IF(ISNUMBER(SEARCH("미얀마",$U257)),MAX(0,MIN($K257,기준정보!$C$9)-MAX($K257-기준정보!$C$6,기준정보!$C$8)+1),IF(ISNUMBER(SEARCH("인도네시아",$U257)),MAX(0,MIN($K257,기준정보!$C$11)-MAX($K257-기준정보!$C$6,기준정보!$C$10)+1),0)))</f>
        <v/>
      </c>
      <c r="M257" s="22">
        <f>IF($K257="","",$K257-기준정보!$C$6-$L257)</f>
        <v/>
      </c>
      <c r="N257" s="24">
        <f>IF($M257="","",$M257-기준정보!$C$4)</f>
        <v/>
      </c>
      <c r="O257" s="21" t="n"/>
      <c r="P257" s="21" t="n"/>
      <c r="Q257" s="21" t="n"/>
      <c r="R257" s="25" t="n"/>
      <c r="S257" s="20">
        <f>IF($H257="","",IF($H257="C","본사(소재팀)",IF($H257="완","생산처","확인 필요")))</f>
        <v/>
      </c>
      <c r="T257" s="20" t="inlineStr">
        <is>
          <t>원전</t>
        </is>
      </c>
      <c r="U257" s="20" t="inlineStr">
        <is>
          <t>베트남</t>
        </is>
      </c>
      <c r="V257" s="20" t="n"/>
      <c r="W257" s="26" t="n"/>
      <c r="X257" s="26" t="n"/>
      <c r="Y257" s="22" t="n"/>
      <c r="Z257" s="27" t="n">
        <v>100</v>
      </c>
      <c r="AA257" s="27" t="n">
        <v>2419400</v>
      </c>
      <c r="AB257" s="27" t="n">
        <v>11000000</v>
      </c>
      <c r="AC257" s="20" t="n"/>
      <c r="AD257" s="20">
        <f>IF($J257="","출고일 미정",IF($P257="X","작지 미발행",IF($P257="부분","작지 일부 미발행",IF(AND($R257&lt;&gt;"",$R257&gt;$M257),"소재입고 마감("&amp;TEXT($M257,"MM/DD")&amp;") 초과",IF($P257="","발행여부 확인 필요",IF($R257="","소재 입고일정 확인 필요","정상"))))))</f>
        <v/>
      </c>
      <c r="AE257" s="19">
        <f>IF($J257="","",IF(OR(LEFT($AD257,2)="작지",LEFT($AD257,4)="소재입고"),IF(LEFT($G257,1)="A","★ 납기위험(A코드)","◆ 지연주의"),IF($AD257="정상","✓ 정상","? 확인필요")))</f>
        <v/>
      </c>
      <c r="AF257" s="21" t="n"/>
      <c r="AG257" s="28" t="n"/>
    </row>
    <row r="258">
      <c r="A258" s="19" t="n">
        <v>254</v>
      </c>
      <c r="B258" s="20" t="inlineStr">
        <is>
          <t>최진민</t>
        </is>
      </c>
      <c r="C258" s="20" t="inlineStr">
        <is>
          <t>김지원</t>
        </is>
      </c>
      <c r="D258" s="20" t="inlineStr">
        <is>
          <t>JNJDW27085</t>
        </is>
      </c>
      <c r="E258" s="20" t="inlineStr">
        <is>
          <t>남녀공용 퍼텍스 미드 다운</t>
        </is>
      </c>
      <c r="F258" s="20" t="inlineStr">
        <is>
          <t>DEB/ASB/EFL</t>
        </is>
      </c>
      <c r="G258" s="19">
        <f>IF($D258="","",IF(MID($D258,5,1)="A","A(가을)",IF(MID($D258,5,1)="W","W(겨울)",IF(MID($D258,5,1)="X","X(사계절)",MID($D258,5,1)))))</f>
        <v/>
      </c>
      <c r="H258" s="19" t="inlineStr">
        <is>
          <t>완</t>
        </is>
      </c>
      <c r="I258" s="21" t="inlineStr">
        <is>
          <t>9월3주</t>
        </is>
      </c>
      <c r="J258" s="22">
        <f>IF($I258="","",IFERROR(DATE(기준정보!$C$7,VALUE(LEFT($I258,FIND("월",$I258)-1)),1+7*(VALUE(SUBSTITUTE(MID($I258,FIND("월",$I258)+1,5),"주",""))-1)),""))</f>
        <v/>
      </c>
      <c r="K258" s="22">
        <f>IF($J258="","",IF(AND(ISNUMBER(SEARCH("미얀마",$U258)),$J258-기준정보!$C$5&gt;=기준정보!$C$8,$J258-기준정보!$C$5&lt;=기준정보!$C$9),기준정보!$C$8-1,IF(AND(ISNUMBER(SEARCH("인도네시아",$U258)),$J258-기준정보!$C$5&gt;=기준정보!$C$10,$J258-기준정보!$C$5&lt;=기준정보!$C$11),기준정보!$C$10-1,$J258-기준정보!$C$5)))</f>
        <v/>
      </c>
      <c r="L258" s="23">
        <f>IF($K258="","",IF(ISNUMBER(SEARCH("미얀마",$U258)),MAX(0,MIN($K258,기준정보!$C$9)-MAX($K258-기준정보!$C$6,기준정보!$C$8)+1),IF(ISNUMBER(SEARCH("인도네시아",$U258)),MAX(0,MIN($K258,기준정보!$C$11)-MAX($K258-기준정보!$C$6,기준정보!$C$10)+1),0)))</f>
        <v/>
      </c>
      <c r="M258" s="22">
        <f>IF($K258="","",$K258-기준정보!$C$6-$L258)</f>
        <v/>
      </c>
      <c r="N258" s="24">
        <f>IF($M258="","",$M258-기준정보!$C$4)</f>
        <v/>
      </c>
      <c r="O258" s="21" t="n"/>
      <c r="P258" s="21" t="n"/>
      <c r="Q258" s="21" t="n"/>
      <c r="R258" s="25" t="n"/>
      <c r="S258" s="20">
        <f>IF($H258="","",IF($H258="C","본사(소재팀)",IF($H258="완","생산처","확인 필요")))</f>
        <v/>
      </c>
      <c r="T258" s="20" t="inlineStr">
        <is>
          <t>아이블</t>
        </is>
      </c>
      <c r="U258" s="20" t="inlineStr">
        <is>
          <t>베트남</t>
        </is>
      </c>
      <c r="V258" s="20" t="n"/>
      <c r="W258" s="26" t="n"/>
      <c r="X258" s="26" t="n"/>
      <c r="Y258" s="22" t="n"/>
      <c r="Z258" s="27" t="n">
        <v>510</v>
      </c>
      <c r="AA258" s="27" t="n">
        <v>99672870</v>
      </c>
      <c r="AB258" s="27" t="n">
        <v>351900000</v>
      </c>
      <c r="AC258" s="20" t="n"/>
      <c r="AD258" s="20">
        <f>IF($J258="","출고일 미정",IF($P258="X","작지 미발행",IF($P258="부분","작지 일부 미발행",IF(AND($R258&lt;&gt;"",$R258&gt;$M258),"소재입고 마감("&amp;TEXT($M258,"MM/DD")&amp;") 초과",IF($P258="","발행여부 확인 필요",IF($R258="","소재 입고일정 확인 필요","정상"))))))</f>
        <v/>
      </c>
      <c r="AE258" s="19">
        <f>IF($J258="","",IF(OR(LEFT($AD258,2)="작지",LEFT($AD258,4)="소재입고"),IF(LEFT($G258,1)="A","★ 납기위험(A코드)","◆ 지연주의"),IF($AD258="정상","✓ 정상","? 확인필요")))</f>
        <v/>
      </c>
      <c r="AF258" s="21" t="n"/>
      <c r="AG258" s="28" t="n"/>
    </row>
    <row r="259">
      <c r="A259" s="19" t="n">
        <v>255</v>
      </c>
      <c r="B259" s="20" t="inlineStr">
        <is>
          <t>문도혁</t>
        </is>
      </c>
      <c r="C259" s="20" t="inlineStr">
        <is>
          <t>엄창용</t>
        </is>
      </c>
      <c r="D259" s="20" t="inlineStr">
        <is>
          <t>JNJDW27611</t>
        </is>
      </c>
      <c r="E259" s="20" t="inlineStr">
        <is>
          <t>남녀공용 퍼텍스 경량 스탠드넥 다운</t>
        </is>
      </c>
      <c r="F259" s="20" t="inlineStr">
        <is>
          <t>DEB/ASB</t>
        </is>
      </c>
      <c r="G259" s="19">
        <f>IF($D259="","",IF(MID($D259,5,1)="A","A(가을)",IF(MID($D259,5,1)="W","W(겨울)",IF(MID($D259,5,1)="X","X(사계절)",MID($D259,5,1)))))</f>
        <v/>
      </c>
      <c r="H259" s="19" t="n"/>
      <c r="I259" s="21" t="inlineStr">
        <is>
          <t>9월3주</t>
        </is>
      </c>
      <c r="J259" s="22">
        <f>IF($I259="","",IFERROR(DATE(기준정보!$C$7,VALUE(LEFT($I259,FIND("월",$I259)-1)),1+7*(VALUE(SUBSTITUTE(MID($I259,FIND("월",$I259)+1,5),"주",""))-1)),""))</f>
        <v/>
      </c>
      <c r="K259" s="22">
        <f>IF($J259="","",IF(AND(ISNUMBER(SEARCH("미얀마",$U259)),$J259-기준정보!$C$5&gt;=기준정보!$C$8,$J259-기준정보!$C$5&lt;=기준정보!$C$9),기준정보!$C$8-1,IF(AND(ISNUMBER(SEARCH("인도네시아",$U259)),$J259-기준정보!$C$5&gt;=기준정보!$C$10,$J259-기준정보!$C$5&lt;=기준정보!$C$11),기준정보!$C$10-1,$J259-기준정보!$C$5)))</f>
        <v/>
      </c>
      <c r="L259" s="23">
        <f>IF($K259="","",IF(ISNUMBER(SEARCH("미얀마",$U259)),MAX(0,MIN($K259,기준정보!$C$9)-MAX($K259-기준정보!$C$6,기준정보!$C$8)+1),IF(ISNUMBER(SEARCH("인도네시아",$U259)),MAX(0,MIN($K259,기준정보!$C$11)-MAX($K259-기준정보!$C$6,기준정보!$C$10)+1),0)))</f>
        <v/>
      </c>
      <c r="M259" s="22">
        <f>IF($K259="","",$K259-기준정보!$C$6-$L259)</f>
        <v/>
      </c>
      <c r="N259" s="24">
        <f>IF($M259="","",$M259-기준정보!$C$4)</f>
        <v/>
      </c>
      <c r="O259" s="21" t="n"/>
      <c r="P259" s="21" t="n"/>
      <c r="Q259" s="21" t="n"/>
      <c r="R259" s="25" t="n"/>
      <c r="S259" s="20">
        <f>IF($H259="","",IF($H259="C","본사(소재팀)",IF($H259="완","생산처","확인 필요")))</f>
        <v/>
      </c>
      <c r="T259" s="20" t="inlineStr">
        <is>
          <t>포마트</t>
        </is>
      </c>
      <c r="U259" s="20" t="inlineStr">
        <is>
          <t>베트남</t>
        </is>
      </c>
      <c r="V259" s="20" t="n"/>
      <c r="W259" s="26" t="n"/>
      <c r="X259" s="26" t="n"/>
      <c r="Y259" s="22" t="n"/>
      <c r="Z259" s="27" t="n">
        <v>1000</v>
      </c>
      <c r="AA259" s="27" t="n">
        <v>100000000</v>
      </c>
      <c r="AB259" s="27" t="n">
        <v>450000000</v>
      </c>
      <c r="AC259" s="20" t="n"/>
      <c r="AD259" s="20">
        <f>IF($J259="","출고일 미정",IF($P259="X","작지 미발행",IF($P259="부분","작지 일부 미발행",IF(AND($R259&lt;&gt;"",$R259&gt;$M259),"소재입고 마감("&amp;TEXT($M259,"MM/DD")&amp;") 초과",IF($P259="","발행여부 확인 필요",IF($R259="","소재 입고일정 확인 필요","정상"))))))</f>
        <v/>
      </c>
      <c r="AE259" s="19">
        <f>IF($J259="","",IF(OR(LEFT($AD259,2)="작지",LEFT($AD259,4)="소재입고"),IF(LEFT($G259,1)="A","★ 납기위험(A코드)","◆ 지연주의"),IF($AD259="정상","✓ 정상","? 확인필요")))</f>
        <v/>
      </c>
      <c r="AF259" s="21" t="n"/>
      <c r="AG259" s="28" t="n"/>
    </row>
    <row r="260">
      <c r="A260" s="19" t="n">
        <v>256</v>
      </c>
      <c r="B260" s="20" t="inlineStr">
        <is>
          <t>문도혁</t>
        </is>
      </c>
      <c r="C260" s="20" t="inlineStr">
        <is>
          <t>강기환</t>
        </is>
      </c>
      <c r="D260" s="20" t="inlineStr">
        <is>
          <t>JNJDW27661</t>
        </is>
      </c>
      <c r="E260" s="20" t="inlineStr">
        <is>
          <t>남녀공용 소프트 미드 다운</t>
        </is>
      </c>
      <c r="F260" s="20" t="inlineStr">
        <is>
          <t>CO1/RBW/DEB</t>
        </is>
      </c>
      <c r="G260" s="19">
        <f>IF($D260="","",IF(MID($D260,5,1)="A","A(가을)",IF(MID($D260,5,1)="W","W(겨울)",IF(MID($D260,5,1)="X","X(사계절)",MID($D260,5,1)))))</f>
        <v/>
      </c>
      <c r="H260" s="19" t="n"/>
      <c r="I260" s="21" t="inlineStr">
        <is>
          <t>9월3주</t>
        </is>
      </c>
      <c r="J260" s="22">
        <f>IF($I260="","",IFERROR(DATE(기준정보!$C$7,VALUE(LEFT($I260,FIND("월",$I260)-1)),1+7*(VALUE(SUBSTITUTE(MID($I260,FIND("월",$I260)+1,5),"주",""))-1)),""))</f>
        <v/>
      </c>
      <c r="K260" s="22">
        <f>IF($J260="","",IF(AND(ISNUMBER(SEARCH("미얀마",$U260)),$J260-기준정보!$C$5&gt;=기준정보!$C$8,$J260-기준정보!$C$5&lt;=기준정보!$C$9),기준정보!$C$8-1,IF(AND(ISNUMBER(SEARCH("인도네시아",$U260)),$J260-기준정보!$C$5&gt;=기준정보!$C$10,$J260-기준정보!$C$5&lt;=기준정보!$C$11),기준정보!$C$10-1,$J260-기준정보!$C$5)))</f>
        <v/>
      </c>
      <c r="L260" s="23">
        <f>IF($K260="","",IF(ISNUMBER(SEARCH("미얀마",$U260)),MAX(0,MIN($K260,기준정보!$C$9)-MAX($K260-기준정보!$C$6,기준정보!$C$8)+1),IF(ISNUMBER(SEARCH("인도네시아",$U260)),MAX(0,MIN($K260,기준정보!$C$11)-MAX($K260-기준정보!$C$6,기준정보!$C$10)+1),0)))</f>
        <v/>
      </c>
      <c r="M260" s="22">
        <f>IF($K260="","",$K260-기준정보!$C$6-$L260)</f>
        <v/>
      </c>
      <c r="N260" s="24">
        <f>IF($M260="","",$M260-기준정보!$C$4)</f>
        <v/>
      </c>
      <c r="O260" s="21" t="n"/>
      <c r="P260" s="21" t="n"/>
      <c r="Q260" s="21" t="n"/>
      <c r="R260" s="25" t="n"/>
      <c r="S260" s="20">
        <f>IF($H260="","",IF($H260="C","본사(소재팀)",IF($H260="완","생산처","확인 필요")))</f>
        <v/>
      </c>
      <c r="T260" s="20" t="inlineStr">
        <is>
          <t>포마트</t>
        </is>
      </c>
      <c r="U260" s="20" t="inlineStr">
        <is>
          <t>베트남</t>
        </is>
      </c>
      <c r="V260" s="20" t="n"/>
      <c r="W260" s="26" t="n"/>
      <c r="X260" s="26" t="n"/>
      <c r="Y260" s="22" t="n"/>
      <c r="Z260" s="27" t="n">
        <v>1500</v>
      </c>
      <c r="AA260" s="27" t="n">
        <v>145500000</v>
      </c>
      <c r="AB260" s="27" t="n">
        <v>675000000</v>
      </c>
      <c r="AC260" s="20" t="n"/>
      <c r="AD260" s="20">
        <f>IF($J260="","출고일 미정",IF($P260="X","작지 미발행",IF($P260="부분","작지 일부 미발행",IF(AND($R260&lt;&gt;"",$R260&gt;$M260),"소재입고 마감("&amp;TEXT($M260,"MM/DD")&amp;") 초과",IF($P260="","발행여부 확인 필요",IF($R260="","소재 입고일정 확인 필요","정상"))))))</f>
        <v/>
      </c>
      <c r="AE260" s="19">
        <f>IF($J260="","",IF(OR(LEFT($AD260,2)="작지",LEFT($AD260,4)="소재입고"),IF(LEFT($G260,1)="A","★ 납기위험(A코드)","◆ 지연주의"),IF($AD260="정상","✓ 정상","? 확인필요")))</f>
        <v/>
      </c>
      <c r="AF260" s="21" t="n"/>
      <c r="AG260" s="28" t="n"/>
    </row>
    <row r="261">
      <c r="A261" s="19" t="n">
        <v>257</v>
      </c>
      <c r="B261" s="20" t="inlineStr">
        <is>
          <t>최진민</t>
        </is>
      </c>
      <c r="C261" s="20" t="inlineStr">
        <is>
          <t>김지원</t>
        </is>
      </c>
      <c r="D261" s="20" t="inlineStr">
        <is>
          <t>JNJJW27007</t>
        </is>
      </c>
      <c r="E261" s="20" t="inlineStr">
        <is>
          <t>남녀공용 프리마로프트 헤비 파카</t>
        </is>
      </c>
      <c r="F261" s="20" t="inlineStr">
        <is>
          <t>DEB</t>
        </is>
      </c>
      <c r="G261" s="19">
        <f>IF($D261="","",IF(MID($D261,5,1)="A","A(가을)",IF(MID($D261,5,1)="W","W(겨울)",IF(MID($D261,5,1)="X","X(사계절)",MID($D261,5,1)))))</f>
        <v/>
      </c>
      <c r="H261" s="19" t="inlineStr">
        <is>
          <t>완</t>
        </is>
      </c>
      <c r="I261" s="21" t="inlineStr">
        <is>
          <t>9월3주</t>
        </is>
      </c>
      <c r="J261" s="22">
        <f>IF($I261="","",IFERROR(DATE(기준정보!$C$7,VALUE(LEFT($I261,FIND("월",$I261)-1)),1+7*(VALUE(SUBSTITUTE(MID($I261,FIND("월",$I261)+1,5),"주",""))-1)),""))</f>
        <v/>
      </c>
      <c r="K261" s="22">
        <f>IF($J261="","",IF(AND(ISNUMBER(SEARCH("미얀마",$U261)),$J261-기준정보!$C$5&gt;=기준정보!$C$8,$J261-기준정보!$C$5&lt;=기준정보!$C$9),기준정보!$C$8-1,IF(AND(ISNUMBER(SEARCH("인도네시아",$U261)),$J261-기준정보!$C$5&gt;=기준정보!$C$10,$J261-기준정보!$C$5&lt;=기준정보!$C$11),기준정보!$C$10-1,$J261-기준정보!$C$5)))</f>
        <v/>
      </c>
      <c r="L261" s="23">
        <f>IF($K261="","",IF(ISNUMBER(SEARCH("미얀마",$U261)),MAX(0,MIN($K261,기준정보!$C$9)-MAX($K261-기준정보!$C$6,기준정보!$C$8)+1),IF(ISNUMBER(SEARCH("인도네시아",$U261)),MAX(0,MIN($K261,기준정보!$C$11)-MAX($K261-기준정보!$C$6,기준정보!$C$10)+1),0)))</f>
        <v/>
      </c>
      <c r="M261" s="22">
        <f>IF($K261="","",$K261-기준정보!$C$6-$L261)</f>
        <v/>
      </c>
      <c r="N261" s="24">
        <f>IF($M261="","",$M261-기준정보!$C$4)</f>
        <v/>
      </c>
      <c r="O261" s="21" t="n"/>
      <c r="P261" s="21" t="n"/>
      <c r="Q261" s="21" t="n"/>
      <c r="R261" s="25" t="n"/>
      <c r="S261" s="20">
        <f>IF($H261="","",IF($H261="C","본사(소재팀)",IF($H261="완","생산처","확인 필요")))</f>
        <v/>
      </c>
      <c r="T261" s="20" t="inlineStr">
        <is>
          <t>원전</t>
        </is>
      </c>
      <c r="U261" s="20" t="inlineStr">
        <is>
          <t>베트남</t>
        </is>
      </c>
      <c r="V261" s="20" t="n"/>
      <c r="W261" s="26" t="n"/>
      <c r="X261" s="26" t="n"/>
      <c r="Y261" s="22" t="n"/>
      <c r="Z261" s="27" t="n">
        <v>150</v>
      </c>
      <c r="AA261" s="27" t="n">
        <v>31573200</v>
      </c>
      <c r="AB261" s="27" t="n">
        <v>103500000</v>
      </c>
      <c r="AC261" s="20" t="n"/>
      <c r="AD261" s="20">
        <f>IF($J261="","출고일 미정",IF($P261="X","작지 미발행",IF($P261="부분","작지 일부 미발행",IF(AND($R261&lt;&gt;"",$R261&gt;$M261),"소재입고 마감("&amp;TEXT($M261,"MM/DD")&amp;") 초과",IF($P261="","발행여부 확인 필요",IF($R261="","소재 입고일정 확인 필요","정상"))))))</f>
        <v/>
      </c>
      <c r="AE261" s="19">
        <f>IF($J261="","",IF(OR(LEFT($AD261,2)="작지",LEFT($AD261,4)="소재입고"),IF(LEFT($G261,1)="A","★ 납기위험(A코드)","◆ 지연주의"),IF($AD261="정상","✓ 정상","? 확인필요")))</f>
        <v/>
      </c>
      <c r="AF261" s="21" t="n"/>
      <c r="AG261" s="28" t="n"/>
    </row>
    <row r="262">
      <c r="A262" s="19" t="n">
        <v>258</v>
      </c>
      <c r="B262" s="20" t="inlineStr">
        <is>
          <t>최진민</t>
        </is>
      </c>
      <c r="C262" s="20" t="inlineStr">
        <is>
          <t>김지원</t>
        </is>
      </c>
      <c r="D262" s="20" t="inlineStr">
        <is>
          <t>JNPNW27091</t>
        </is>
      </c>
      <c r="E262" s="20" t="inlineStr">
        <is>
          <t>남녀공용 고어텍스 3L PRO 루즈핏 오버트라우저</t>
        </is>
      </c>
      <c r="F262" s="20" t="inlineStr">
        <is>
          <t>CHR</t>
        </is>
      </c>
      <c r="G262" s="19">
        <f>IF($D262="","",IF(MID($D262,5,1)="A","A(가을)",IF(MID($D262,5,1)="W","W(겨울)",IF(MID($D262,5,1)="X","X(사계절)",MID($D262,5,1)))))</f>
        <v/>
      </c>
      <c r="H262" s="19" t="inlineStr">
        <is>
          <t>완</t>
        </is>
      </c>
      <c r="I262" s="21" t="inlineStr">
        <is>
          <t>9월3주</t>
        </is>
      </c>
      <c r="J262" s="22">
        <f>IF($I262="","",IFERROR(DATE(기준정보!$C$7,VALUE(LEFT($I262,FIND("월",$I262)-1)),1+7*(VALUE(SUBSTITUTE(MID($I262,FIND("월",$I262)+1,5),"주",""))-1)),""))</f>
        <v/>
      </c>
      <c r="K262" s="22">
        <f>IF($J262="","",IF(AND(ISNUMBER(SEARCH("미얀마",$U262)),$J262-기준정보!$C$5&gt;=기준정보!$C$8,$J262-기준정보!$C$5&lt;=기준정보!$C$9),기준정보!$C$8-1,IF(AND(ISNUMBER(SEARCH("인도네시아",$U262)),$J262-기준정보!$C$5&gt;=기준정보!$C$10,$J262-기준정보!$C$5&lt;=기준정보!$C$11),기준정보!$C$10-1,$J262-기준정보!$C$5)))</f>
        <v/>
      </c>
      <c r="L262" s="23">
        <f>IF($K262="","",IF(ISNUMBER(SEARCH("미얀마",$U262)),MAX(0,MIN($K262,기준정보!$C$9)-MAX($K262-기준정보!$C$6,기준정보!$C$8)+1),IF(ISNUMBER(SEARCH("인도네시아",$U262)),MAX(0,MIN($K262,기준정보!$C$11)-MAX($K262-기준정보!$C$6,기준정보!$C$10)+1),0)))</f>
        <v/>
      </c>
      <c r="M262" s="22">
        <f>IF($K262="","",$K262-기준정보!$C$6-$L262)</f>
        <v/>
      </c>
      <c r="N262" s="24">
        <f>IF($M262="","",$M262-기준정보!$C$4)</f>
        <v/>
      </c>
      <c r="O262" s="21" t="n"/>
      <c r="P262" s="21" t="n"/>
      <c r="Q262" s="21" t="n"/>
      <c r="R262" s="25" t="n"/>
      <c r="S262" s="20">
        <f>IF($H262="","",IF($H262="C","본사(소재팀)",IF($H262="완","생산처","확인 필요")))</f>
        <v/>
      </c>
      <c r="T262" s="20" t="inlineStr">
        <is>
          <t>포마트</t>
        </is>
      </c>
      <c r="U262" s="20" t="inlineStr">
        <is>
          <t>베트남</t>
        </is>
      </c>
      <c r="V262" s="20" t="n"/>
      <c r="W262" s="26" t="n"/>
      <c r="X262" s="26" t="n"/>
      <c r="Y262" s="22" t="n"/>
      <c r="Z262" s="27" t="n">
        <v>30</v>
      </c>
      <c r="AA262" s="27" t="n">
        <v>10903740</v>
      </c>
      <c r="AB262" s="27" t="n">
        <v>28500000</v>
      </c>
      <c r="AC262" s="20" t="n"/>
      <c r="AD262" s="20">
        <f>IF($J262="","출고일 미정",IF($P262="X","작지 미발행",IF($P262="부분","작지 일부 미발행",IF(AND($R262&lt;&gt;"",$R262&gt;$M262),"소재입고 마감("&amp;TEXT($M262,"MM/DD")&amp;") 초과",IF($P262="","발행여부 확인 필요",IF($R262="","소재 입고일정 확인 필요","정상"))))))</f>
        <v/>
      </c>
      <c r="AE262" s="19">
        <f>IF($J262="","",IF(OR(LEFT($AD262,2)="작지",LEFT($AD262,4)="소재입고"),IF(LEFT($G262,1)="A","★ 납기위험(A코드)","◆ 지연주의"),IF($AD262="정상","✓ 정상","? 확인필요")))</f>
        <v/>
      </c>
      <c r="AF262" s="21" t="n"/>
      <c r="AG262" s="28" t="n"/>
    </row>
    <row r="263">
      <c r="A263" s="19" t="n">
        <v>259</v>
      </c>
      <c r="B263" s="20" t="inlineStr">
        <is>
          <t>문도혁</t>
        </is>
      </c>
      <c r="C263" s="20" t="inlineStr">
        <is>
          <t>강기환</t>
        </is>
      </c>
      <c r="D263" s="20" t="inlineStr">
        <is>
          <t>JWJDW27603</t>
        </is>
      </c>
      <c r="E263" s="20" t="inlineStr">
        <is>
          <t>마조테크 2L 미드 스탠드넥 다운</t>
        </is>
      </c>
      <c r="F263" s="20" t="inlineStr">
        <is>
          <t>CO1</t>
        </is>
      </c>
      <c r="G263" s="19">
        <f>IF($D263="","",IF(MID($D263,5,1)="A","A(가을)",IF(MID($D263,5,1)="W","W(겨울)",IF(MID($D263,5,1)="X","X(사계절)",MID($D263,5,1)))))</f>
        <v/>
      </c>
      <c r="H263" s="19" t="n"/>
      <c r="I263" s="21" t="inlineStr">
        <is>
          <t>9월3주</t>
        </is>
      </c>
      <c r="J263" s="22">
        <f>IF($I263="","",IFERROR(DATE(기준정보!$C$7,VALUE(LEFT($I263,FIND("월",$I263)-1)),1+7*(VALUE(SUBSTITUTE(MID($I263,FIND("월",$I263)+1,5),"주",""))-1)),""))</f>
        <v/>
      </c>
      <c r="K263" s="22">
        <f>IF($J263="","",IF(AND(ISNUMBER(SEARCH("미얀마",$U263)),$J263-기준정보!$C$5&gt;=기준정보!$C$8,$J263-기준정보!$C$5&lt;=기준정보!$C$9),기준정보!$C$8-1,IF(AND(ISNUMBER(SEARCH("인도네시아",$U263)),$J263-기준정보!$C$5&gt;=기준정보!$C$10,$J263-기준정보!$C$5&lt;=기준정보!$C$11),기준정보!$C$10-1,$J263-기준정보!$C$5)))</f>
        <v/>
      </c>
      <c r="L263" s="23">
        <f>IF($K263="","",IF(ISNUMBER(SEARCH("미얀마",$U263)),MAX(0,MIN($K263,기준정보!$C$9)-MAX($K263-기준정보!$C$6,기준정보!$C$8)+1),IF(ISNUMBER(SEARCH("인도네시아",$U263)),MAX(0,MIN($K263,기준정보!$C$11)-MAX($K263-기준정보!$C$6,기준정보!$C$10)+1),0)))</f>
        <v/>
      </c>
      <c r="M263" s="22">
        <f>IF($K263="","",$K263-기준정보!$C$6-$L263)</f>
        <v/>
      </c>
      <c r="N263" s="24">
        <f>IF($M263="","",$M263-기준정보!$C$4)</f>
        <v/>
      </c>
      <c r="O263" s="21" t="n"/>
      <c r="P263" s="21" t="n"/>
      <c r="Q263" s="21" t="n"/>
      <c r="R263" s="25" t="n"/>
      <c r="S263" s="20">
        <f>IF($H263="","",IF($H263="C","본사(소재팀)",IF($H263="완","생산처","확인 필요")))</f>
        <v/>
      </c>
      <c r="T263" s="20" t="inlineStr">
        <is>
          <t>포마트</t>
        </is>
      </c>
      <c r="U263" s="20" t="inlineStr">
        <is>
          <t>베트남</t>
        </is>
      </c>
      <c r="V263" s="20" t="n"/>
      <c r="W263" s="26" t="n"/>
      <c r="X263" s="26" t="n"/>
      <c r="Y263" s="22" t="n"/>
      <c r="Z263" s="27" t="n">
        <v>50</v>
      </c>
      <c r="AA263" s="27" t="n">
        <v>13500000</v>
      </c>
      <c r="AB263" s="27" t="n">
        <v>60000000</v>
      </c>
      <c r="AC263" s="20" t="n"/>
      <c r="AD263" s="20">
        <f>IF($J263="","출고일 미정",IF($P263="X","작지 미발행",IF($P263="부분","작지 일부 미발행",IF(AND($R263&lt;&gt;"",$R263&gt;$M263),"소재입고 마감("&amp;TEXT($M263,"MM/DD")&amp;") 초과",IF($P263="","발행여부 확인 필요",IF($R263="","소재 입고일정 확인 필요","정상"))))))</f>
        <v/>
      </c>
      <c r="AE263" s="19">
        <f>IF($J263="","",IF(OR(LEFT($AD263,2)="작지",LEFT($AD263,4)="소재입고"),IF(LEFT($G263,1)="A","★ 납기위험(A코드)","◆ 지연주의"),IF($AD263="정상","✓ 정상","? 확인필요")))</f>
        <v/>
      </c>
      <c r="AF263" s="21" t="n"/>
      <c r="AG263" s="28" t="n"/>
    </row>
    <row r="264">
      <c r="A264" s="19" t="n">
        <v>260</v>
      </c>
      <c r="B264" s="20" t="inlineStr">
        <is>
          <t>문도혁</t>
        </is>
      </c>
      <c r="C264" s="20" t="inlineStr">
        <is>
          <t>이민선</t>
        </is>
      </c>
      <c r="D264" s="20" t="inlineStr">
        <is>
          <t>TLJDW27611</t>
        </is>
      </c>
      <c r="E264" s="20" t="inlineStr">
        <is>
          <t>남성 쿠치 미드 다운</t>
        </is>
      </c>
      <c r="F264" s="20" t="inlineStr">
        <is>
          <t>MUD/DTL/DEB</t>
        </is>
      </c>
      <c r="G264" s="19">
        <f>IF($D264="","",IF(MID($D264,5,1)="A","A(가을)",IF(MID($D264,5,1)="W","W(겨울)",IF(MID($D264,5,1)="X","X(사계절)",MID($D264,5,1)))))</f>
        <v/>
      </c>
      <c r="H264" s="19" t="inlineStr">
        <is>
          <t>C</t>
        </is>
      </c>
      <c r="I264" s="21" t="inlineStr">
        <is>
          <t>9월3주</t>
        </is>
      </c>
      <c r="J264" s="22">
        <f>IF($I264="","",IFERROR(DATE(기준정보!$C$7,VALUE(LEFT($I264,FIND("월",$I264)-1)),1+7*(VALUE(SUBSTITUTE(MID($I264,FIND("월",$I264)+1,5),"주",""))-1)),""))</f>
        <v/>
      </c>
      <c r="K264" s="22">
        <f>IF($J264="","",IF(AND(ISNUMBER(SEARCH("미얀마",$U264)),$J264-기준정보!$C$5&gt;=기준정보!$C$8,$J264-기준정보!$C$5&lt;=기준정보!$C$9),기준정보!$C$8-1,IF(AND(ISNUMBER(SEARCH("인도네시아",$U264)),$J264-기준정보!$C$5&gt;=기준정보!$C$10,$J264-기준정보!$C$5&lt;=기준정보!$C$11),기준정보!$C$10-1,$J264-기준정보!$C$5)))</f>
        <v/>
      </c>
      <c r="L264" s="23">
        <f>IF($K264="","",IF(ISNUMBER(SEARCH("미얀마",$U264)),MAX(0,MIN($K264,기준정보!$C$9)-MAX($K264-기준정보!$C$6,기준정보!$C$8)+1),IF(ISNUMBER(SEARCH("인도네시아",$U264)),MAX(0,MIN($K264,기준정보!$C$11)-MAX($K264-기준정보!$C$6,기준정보!$C$10)+1),0)))</f>
        <v/>
      </c>
      <c r="M264" s="22">
        <f>IF($K264="","",$K264-기준정보!$C$6-$L264)</f>
        <v/>
      </c>
      <c r="N264" s="24">
        <f>IF($M264="","",$M264-기준정보!$C$4)</f>
        <v/>
      </c>
      <c r="O264" s="21" t="n"/>
      <c r="P264" s="21" t="n"/>
      <c r="Q264" s="21" t="n"/>
      <c r="R264" s="25" t="n"/>
      <c r="S264" s="20">
        <f>IF($H264="","",IF($H264="C","본사(소재팀)",IF($H264="완","생산처","확인 필요")))</f>
        <v/>
      </c>
      <c r="T264" s="20" t="inlineStr">
        <is>
          <t>기도</t>
        </is>
      </c>
      <c r="U264" s="20" t="inlineStr">
        <is>
          <t>미얀마</t>
        </is>
      </c>
      <c r="V264" s="20" t="n"/>
      <c r="W264" s="26" t="n"/>
      <c r="X264" s="26" t="n"/>
      <c r="Y264" s="22" t="n"/>
      <c r="Z264" s="27" t="n">
        <v>30000</v>
      </c>
      <c r="AA264" s="27" t="n">
        <v>3013050000</v>
      </c>
      <c r="AB264" s="27" t="n">
        <v>16500000000</v>
      </c>
      <c r="AC264" s="20" t="n"/>
      <c r="AD264" s="20">
        <f>IF($J264="","출고일 미정",IF($P264="X","작지 미발행",IF($P264="부분","작지 일부 미발행",IF(AND($R264&lt;&gt;"",$R264&gt;$M264),"소재입고 마감("&amp;TEXT($M264,"MM/DD")&amp;") 초과",IF($P264="","발행여부 확인 필요",IF($R264="","소재 입고일정 확인 필요","정상"))))))</f>
        <v/>
      </c>
      <c r="AE264" s="19">
        <f>IF($J264="","",IF(OR(LEFT($AD264,2)="작지",LEFT($AD264,4)="소재입고"),IF(LEFT($G264,1)="A","★ 납기위험(A코드)","◆ 지연주의"),IF($AD264="정상","✓ 정상","? 확인필요")))</f>
        <v/>
      </c>
      <c r="AF264" s="21" t="n"/>
      <c r="AG264" s="28" t="n"/>
    </row>
    <row r="265">
      <c r="A265" s="19" t="n">
        <v>261</v>
      </c>
      <c r="B265" s="20" t="inlineStr">
        <is>
          <t>문도혁</t>
        </is>
      </c>
      <c r="C265" s="20" t="inlineStr">
        <is>
          <t>이민선</t>
        </is>
      </c>
      <c r="D265" s="20" t="inlineStr">
        <is>
          <t>TLJDW27613</t>
        </is>
      </c>
      <c r="E265" s="20" t="inlineStr">
        <is>
          <t>남성 쿠치 중기장 미드 다운</t>
        </is>
      </c>
      <c r="F265" s="20" t="inlineStr">
        <is>
          <t>SKA/MID</t>
        </is>
      </c>
      <c r="G265" s="19">
        <f>IF($D265="","",IF(MID($D265,5,1)="A","A(가을)",IF(MID($D265,5,1)="W","W(겨울)",IF(MID($D265,5,1)="X","X(사계절)",MID($D265,5,1)))))</f>
        <v/>
      </c>
      <c r="H265" s="19" t="inlineStr">
        <is>
          <t>C</t>
        </is>
      </c>
      <c r="I265" s="21" t="inlineStr">
        <is>
          <t>9월3주</t>
        </is>
      </c>
      <c r="J265" s="22">
        <f>IF($I265="","",IFERROR(DATE(기준정보!$C$7,VALUE(LEFT($I265,FIND("월",$I265)-1)),1+7*(VALUE(SUBSTITUTE(MID($I265,FIND("월",$I265)+1,5),"주",""))-1)),""))</f>
        <v/>
      </c>
      <c r="K265" s="22">
        <f>IF($J265="","",IF(AND(ISNUMBER(SEARCH("미얀마",$U265)),$J265-기준정보!$C$5&gt;=기준정보!$C$8,$J265-기준정보!$C$5&lt;=기준정보!$C$9),기준정보!$C$8-1,IF(AND(ISNUMBER(SEARCH("인도네시아",$U265)),$J265-기준정보!$C$5&gt;=기준정보!$C$10,$J265-기준정보!$C$5&lt;=기준정보!$C$11),기준정보!$C$10-1,$J265-기준정보!$C$5)))</f>
        <v/>
      </c>
      <c r="L265" s="23">
        <f>IF($K265="","",IF(ISNUMBER(SEARCH("미얀마",$U265)),MAX(0,MIN($K265,기준정보!$C$9)-MAX($K265-기준정보!$C$6,기준정보!$C$8)+1),IF(ISNUMBER(SEARCH("인도네시아",$U265)),MAX(0,MIN($K265,기준정보!$C$11)-MAX($K265-기준정보!$C$6,기준정보!$C$10)+1),0)))</f>
        <v/>
      </c>
      <c r="M265" s="22">
        <f>IF($K265="","",$K265-기준정보!$C$6-$L265)</f>
        <v/>
      </c>
      <c r="N265" s="24">
        <f>IF($M265="","",$M265-기준정보!$C$4)</f>
        <v/>
      </c>
      <c r="O265" s="21" t="n"/>
      <c r="P265" s="21" t="n"/>
      <c r="Q265" s="21" t="n"/>
      <c r="R265" s="25" t="n"/>
      <c r="S265" s="20">
        <f>IF($H265="","",IF($H265="C","본사(소재팀)",IF($H265="완","생산처","확인 필요")))</f>
        <v/>
      </c>
      <c r="T265" s="20" t="inlineStr">
        <is>
          <t>기도</t>
        </is>
      </c>
      <c r="U265" s="20" t="inlineStr">
        <is>
          <t>미얀마</t>
        </is>
      </c>
      <c r="V265" s="20" t="n"/>
      <c r="W265" s="26" t="n"/>
      <c r="X265" s="26" t="n"/>
      <c r="Y265" s="22" t="n"/>
      <c r="Z265" s="27" t="n">
        <v>5000</v>
      </c>
      <c r="AA265" s="27" t="n">
        <v>661815000</v>
      </c>
      <c r="AB265" s="27" t="n">
        <v>3100000000</v>
      </c>
      <c r="AC265" s="20" t="n"/>
      <c r="AD265" s="20">
        <f>IF($J265="","출고일 미정",IF($P265="X","작지 미발행",IF($P265="부분","작지 일부 미발행",IF(AND($R265&lt;&gt;"",$R265&gt;$M265),"소재입고 마감("&amp;TEXT($M265,"MM/DD")&amp;") 초과",IF($P265="","발행여부 확인 필요",IF($R265="","소재 입고일정 확인 필요","정상"))))))</f>
        <v/>
      </c>
      <c r="AE265" s="19">
        <f>IF($J265="","",IF(OR(LEFT($AD265,2)="작지",LEFT($AD265,4)="소재입고"),IF(LEFT($G265,1)="A","★ 납기위험(A코드)","◆ 지연주의"),IF($AD265="정상","✓ 정상","? 확인필요")))</f>
        <v/>
      </c>
      <c r="AF265" s="21" t="n"/>
      <c r="AG265" s="28" t="n"/>
    </row>
    <row r="266">
      <c r="A266" s="19" t="n">
        <v>262</v>
      </c>
      <c r="B266" s="20" t="inlineStr">
        <is>
          <t>문도혁</t>
        </is>
      </c>
      <c r="C266" s="20" t="inlineStr">
        <is>
          <t>이민선</t>
        </is>
      </c>
      <c r="D266" s="20" t="inlineStr">
        <is>
          <t>TLJDW27615</t>
        </is>
      </c>
      <c r="E266" s="20" t="inlineStr">
        <is>
          <t>남성 쿠치 컴포트 미드 다운</t>
        </is>
      </c>
      <c r="F266" s="20" t="inlineStr">
        <is>
          <t>CTP/DOE/DEB</t>
        </is>
      </c>
      <c r="G266" s="19">
        <f>IF($D266="","",IF(MID($D266,5,1)="A","A(가을)",IF(MID($D266,5,1)="W","W(겨울)",IF(MID($D266,5,1)="X","X(사계절)",MID($D266,5,1)))))</f>
        <v/>
      </c>
      <c r="H266" s="19" t="inlineStr">
        <is>
          <t>C</t>
        </is>
      </c>
      <c r="I266" s="21" t="inlineStr">
        <is>
          <t>9월3주</t>
        </is>
      </c>
      <c r="J266" s="22">
        <f>IF($I266="","",IFERROR(DATE(기준정보!$C$7,VALUE(LEFT($I266,FIND("월",$I266)-1)),1+7*(VALUE(SUBSTITUTE(MID($I266,FIND("월",$I266)+1,5),"주",""))-1)),""))</f>
        <v/>
      </c>
      <c r="K266" s="22">
        <f>IF($J266="","",IF(AND(ISNUMBER(SEARCH("미얀마",$U266)),$J266-기준정보!$C$5&gt;=기준정보!$C$8,$J266-기준정보!$C$5&lt;=기준정보!$C$9),기준정보!$C$8-1,IF(AND(ISNUMBER(SEARCH("인도네시아",$U266)),$J266-기준정보!$C$5&gt;=기준정보!$C$10,$J266-기준정보!$C$5&lt;=기준정보!$C$11),기준정보!$C$10-1,$J266-기준정보!$C$5)))</f>
        <v/>
      </c>
      <c r="L266" s="23">
        <f>IF($K266="","",IF(ISNUMBER(SEARCH("미얀마",$U266)),MAX(0,MIN($K266,기준정보!$C$9)-MAX($K266-기준정보!$C$6,기준정보!$C$8)+1),IF(ISNUMBER(SEARCH("인도네시아",$U266)),MAX(0,MIN($K266,기준정보!$C$11)-MAX($K266-기준정보!$C$6,기준정보!$C$10)+1),0)))</f>
        <v/>
      </c>
      <c r="M266" s="22">
        <f>IF($K266="","",$K266-기준정보!$C$6-$L266)</f>
        <v/>
      </c>
      <c r="N266" s="24">
        <f>IF($M266="","",$M266-기준정보!$C$4)</f>
        <v/>
      </c>
      <c r="O266" s="21" t="n"/>
      <c r="P266" s="21" t="n"/>
      <c r="Q266" s="21" t="n"/>
      <c r="R266" s="25" t="n"/>
      <c r="S266" s="20">
        <f>IF($H266="","",IF($H266="C","본사(소재팀)",IF($H266="완","생산처","확인 필요")))</f>
        <v/>
      </c>
      <c r="T266" s="20" t="inlineStr">
        <is>
          <t>호전</t>
        </is>
      </c>
      <c r="U266" s="20" t="inlineStr">
        <is>
          <t>인도네시아</t>
        </is>
      </c>
      <c r="V266" s="20" t="n"/>
      <c r="W266" s="26" t="n"/>
      <c r="X266" s="26" t="n"/>
      <c r="Y266" s="22" t="n"/>
      <c r="Z266" s="27" t="n">
        <v>13000</v>
      </c>
      <c r="AA266" s="27" t="n">
        <v>1424969000</v>
      </c>
      <c r="AB266" s="27" t="n">
        <v>6370000000</v>
      </c>
      <c r="AC266" s="20" t="n"/>
      <c r="AD266" s="20">
        <f>IF($J266="","출고일 미정",IF($P266="X","작지 미발행",IF($P266="부분","작지 일부 미발행",IF(AND($R266&lt;&gt;"",$R266&gt;$M266),"소재입고 마감("&amp;TEXT($M266,"MM/DD")&amp;") 초과",IF($P266="","발행여부 확인 필요",IF($R266="","소재 입고일정 확인 필요","정상"))))))</f>
        <v/>
      </c>
      <c r="AE266" s="19">
        <f>IF($J266="","",IF(OR(LEFT($AD266,2)="작지",LEFT($AD266,4)="소재입고"),IF(LEFT($G266,1)="A","★ 납기위험(A코드)","◆ 지연주의"),IF($AD266="정상","✓ 정상","? 확인필요")))</f>
        <v/>
      </c>
      <c r="AF266" s="21" t="n"/>
      <c r="AG266" s="28" t="n"/>
    </row>
    <row r="267">
      <c r="A267" s="19" t="n">
        <v>263</v>
      </c>
      <c r="B267" s="20" t="inlineStr">
        <is>
          <t>문도혁</t>
        </is>
      </c>
      <c r="C267" s="20" t="inlineStr">
        <is>
          <t>이민선</t>
        </is>
      </c>
      <c r="D267" s="20" t="inlineStr">
        <is>
          <t>TLJDW27661</t>
        </is>
      </c>
      <c r="E267" s="20" t="inlineStr">
        <is>
          <t>남성 에어소프트 미드 스탠드넥 다운</t>
        </is>
      </c>
      <c r="F267" s="20" t="inlineStr">
        <is>
          <t>GBU/MID</t>
        </is>
      </c>
      <c r="G267" s="19">
        <f>IF($D267="","",IF(MID($D267,5,1)="A","A(가을)",IF(MID($D267,5,1)="W","W(겨울)",IF(MID($D267,5,1)="X","X(사계절)",MID($D267,5,1)))))</f>
        <v/>
      </c>
      <c r="H267" s="19" t="inlineStr">
        <is>
          <t>C</t>
        </is>
      </c>
      <c r="I267" s="21" t="inlineStr">
        <is>
          <t>9월3주</t>
        </is>
      </c>
      <c r="J267" s="22">
        <f>IF($I267="","",IFERROR(DATE(기준정보!$C$7,VALUE(LEFT($I267,FIND("월",$I267)-1)),1+7*(VALUE(SUBSTITUTE(MID($I267,FIND("월",$I267)+1,5),"주",""))-1)),""))</f>
        <v/>
      </c>
      <c r="K267" s="22">
        <f>IF($J267="","",IF(AND(ISNUMBER(SEARCH("미얀마",$U267)),$J267-기준정보!$C$5&gt;=기준정보!$C$8,$J267-기준정보!$C$5&lt;=기준정보!$C$9),기준정보!$C$8-1,IF(AND(ISNUMBER(SEARCH("인도네시아",$U267)),$J267-기준정보!$C$5&gt;=기준정보!$C$10,$J267-기준정보!$C$5&lt;=기준정보!$C$11),기준정보!$C$10-1,$J267-기준정보!$C$5)))</f>
        <v/>
      </c>
      <c r="L267" s="23">
        <f>IF($K267="","",IF(ISNUMBER(SEARCH("미얀마",$U267)),MAX(0,MIN($K267,기준정보!$C$9)-MAX($K267-기준정보!$C$6,기준정보!$C$8)+1),IF(ISNUMBER(SEARCH("인도네시아",$U267)),MAX(0,MIN($K267,기준정보!$C$11)-MAX($K267-기준정보!$C$6,기준정보!$C$10)+1),0)))</f>
        <v/>
      </c>
      <c r="M267" s="22">
        <f>IF($K267="","",$K267-기준정보!$C$6-$L267)</f>
        <v/>
      </c>
      <c r="N267" s="24">
        <f>IF($M267="","",$M267-기준정보!$C$4)</f>
        <v/>
      </c>
      <c r="O267" s="21" t="n"/>
      <c r="P267" s="21" t="n"/>
      <c r="Q267" s="21" t="n"/>
      <c r="R267" s="25" t="n"/>
      <c r="S267" s="20">
        <f>IF($H267="","",IF($H267="C","본사(소재팀)",IF($H267="완","생산처","확인 필요")))</f>
        <v/>
      </c>
      <c r="T267" s="20" t="inlineStr">
        <is>
          <t>포마트</t>
        </is>
      </c>
      <c r="U267" s="20" t="inlineStr">
        <is>
          <t>베트남</t>
        </is>
      </c>
      <c r="V267" s="20" t="n"/>
      <c r="W267" s="26" t="n"/>
      <c r="X267" s="26" t="n"/>
      <c r="Y267" s="22" t="n"/>
      <c r="Z267" s="27" t="n">
        <v>5000</v>
      </c>
      <c r="AA267" s="27" t="n">
        <v>549635000</v>
      </c>
      <c r="AB267" s="27" t="n">
        <v>2450000000</v>
      </c>
      <c r="AC267" s="20" t="n"/>
      <c r="AD267" s="20">
        <f>IF($J267="","출고일 미정",IF($P267="X","작지 미발행",IF($P267="부분","작지 일부 미발행",IF(AND($R267&lt;&gt;"",$R267&gt;$M267),"소재입고 마감("&amp;TEXT($M267,"MM/DD")&amp;") 초과",IF($P267="","발행여부 확인 필요",IF($R267="","소재 입고일정 확인 필요","정상"))))))</f>
        <v/>
      </c>
      <c r="AE267" s="19">
        <f>IF($J267="","",IF(OR(LEFT($AD267,2)="작지",LEFT($AD267,4)="소재입고"),IF(LEFT($G267,1)="A","★ 납기위험(A코드)","◆ 지연주의"),IF($AD267="정상","✓ 정상","? 확인필요")))</f>
        <v/>
      </c>
      <c r="AF267" s="21" t="n"/>
      <c r="AG267" s="28" t="n"/>
    </row>
    <row r="268">
      <c r="A268" s="19" t="n">
        <v>264</v>
      </c>
      <c r="B268" s="20" t="inlineStr">
        <is>
          <t>문도혁</t>
        </is>
      </c>
      <c r="C268" s="20" t="inlineStr">
        <is>
          <t>이민선</t>
        </is>
      </c>
      <c r="D268" s="20" t="inlineStr">
        <is>
          <t>TLJDW27663</t>
        </is>
      </c>
      <c r="E268" s="20" t="inlineStr">
        <is>
          <t>남성 에어소프트 미드 후드 다운</t>
        </is>
      </c>
      <c r="F268" s="20" t="inlineStr">
        <is>
          <t>RBW/CHR</t>
        </is>
      </c>
      <c r="G268" s="19">
        <f>IF($D268="","",IF(MID($D268,5,1)="A","A(가을)",IF(MID($D268,5,1)="W","W(겨울)",IF(MID($D268,5,1)="X","X(사계절)",MID($D268,5,1)))))</f>
        <v/>
      </c>
      <c r="H268" s="19" t="inlineStr">
        <is>
          <t>C</t>
        </is>
      </c>
      <c r="I268" s="21" t="inlineStr">
        <is>
          <t>9월3주</t>
        </is>
      </c>
      <c r="J268" s="22">
        <f>IF($I268="","",IFERROR(DATE(기준정보!$C$7,VALUE(LEFT($I268,FIND("월",$I268)-1)),1+7*(VALUE(SUBSTITUTE(MID($I268,FIND("월",$I268)+1,5),"주",""))-1)),""))</f>
        <v/>
      </c>
      <c r="K268" s="22">
        <f>IF($J268="","",IF(AND(ISNUMBER(SEARCH("미얀마",$U268)),$J268-기준정보!$C$5&gt;=기준정보!$C$8,$J268-기준정보!$C$5&lt;=기준정보!$C$9),기준정보!$C$8-1,IF(AND(ISNUMBER(SEARCH("인도네시아",$U268)),$J268-기준정보!$C$5&gt;=기준정보!$C$10,$J268-기준정보!$C$5&lt;=기준정보!$C$11),기준정보!$C$10-1,$J268-기준정보!$C$5)))</f>
        <v/>
      </c>
      <c r="L268" s="23">
        <f>IF($K268="","",IF(ISNUMBER(SEARCH("미얀마",$U268)),MAX(0,MIN($K268,기준정보!$C$9)-MAX($K268-기준정보!$C$6,기준정보!$C$8)+1),IF(ISNUMBER(SEARCH("인도네시아",$U268)),MAX(0,MIN($K268,기준정보!$C$11)-MAX($K268-기준정보!$C$6,기준정보!$C$10)+1),0)))</f>
        <v/>
      </c>
      <c r="M268" s="22">
        <f>IF($K268="","",$K268-기준정보!$C$6-$L268)</f>
        <v/>
      </c>
      <c r="N268" s="24">
        <f>IF($M268="","",$M268-기준정보!$C$4)</f>
        <v/>
      </c>
      <c r="O268" s="21" t="n"/>
      <c r="P268" s="21" t="n"/>
      <c r="Q268" s="21" t="n"/>
      <c r="R268" s="25" t="n"/>
      <c r="S268" s="20">
        <f>IF($H268="","",IF($H268="C","본사(소재팀)",IF($H268="완","생산처","확인 필요")))</f>
        <v/>
      </c>
      <c r="T268" s="20" t="inlineStr">
        <is>
          <t>포마트</t>
        </is>
      </c>
      <c r="U268" s="20" t="inlineStr">
        <is>
          <t>베트남</t>
        </is>
      </c>
      <c r="V268" s="20" t="n"/>
      <c r="W268" s="26" t="n"/>
      <c r="X268" s="26" t="n"/>
      <c r="Y268" s="22" t="n"/>
      <c r="Z268" s="27" t="n">
        <v>8000</v>
      </c>
      <c r="AA268" s="27" t="n">
        <v>928312000</v>
      </c>
      <c r="AB268" s="27" t="n">
        <v>4160000000</v>
      </c>
      <c r="AC268" s="20" t="n"/>
      <c r="AD268" s="20">
        <f>IF($J268="","출고일 미정",IF($P268="X","작지 미발행",IF($P268="부분","작지 일부 미발행",IF(AND($R268&lt;&gt;"",$R268&gt;$M268),"소재입고 마감("&amp;TEXT($M268,"MM/DD")&amp;") 초과",IF($P268="","발행여부 확인 필요",IF($R268="","소재 입고일정 확인 필요","정상"))))))</f>
        <v/>
      </c>
      <c r="AE268" s="19">
        <f>IF($J268="","",IF(OR(LEFT($AD268,2)="작지",LEFT($AD268,4)="소재입고"),IF(LEFT($G268,1)="A","★ 납기위험(A코드)","◆ 지연주의"),IF($AD268="정상","✓ 정상","? 확인필요")))</f>
        <v/>
      </c>
      <c r="AF268" s="21" t="n"/>
      <c r="AG268" s="28" t="n"/>
    </row>
    <row r="269">
      <c r="A269" s="19" t="n">
        <v>265</v>
      </c>
      <c r="B269" s="20" t="inlineStr">
        <is>
          <t>문도혁</t>
        </is>
      </c>
      <c r="C269" s="20" t="inlineStr">
        <is>
          <t>이민선</t>
        </is>
      </c>
      <c r="D269" s="20" t="inlineStr">
        <is>
          <t>TLJDW27671</t>
        </is>
      </c>
      <c r="E269" s="20" t="inlineStr">
        <is>
          <t>남성 뉴랜드 미드 후드 다운</t>
        </is>
      </c>
      <c r="F269" s="20" t="inlineStr">
        <is>
          <t>DOE/CHR</t>
        </is>
      </c>
      <c r="G269" s="19">
        <f>IF($D269="","",IF(MID($D269,5,1)="A","A(가을)",IF(MID($D269,5,1)="W","W(겨울)",IF(MID($D269,5,1)="X","X(사계절)",MID($D269,5,1)))))</f>
        <v/>
      </c>
      <c r="H269" s="19" t="inlineStr">
        <is>
          <t>C</t>
        </is>
      </c>
      <c r="I269" s="21" t="inlineStr">
        <is>
          <t>9월3주</t>
        </is>
      </c>
      <c r="J269" s="22">
        <f>IF($I269="","",IFERROR(DATE(기준정보!$C$7,VALUE(LEFT($I269,FIND("월",$I269)-1)),1+7*(VALUE(SUBSTITUTE(MID($I269,FIND("월",$I269)+1,5),"주",""))-1)),""))</f>
        <v/>
      </c>
      <c r="K269" s="22">
        <f>IF($J269="","",IF(AND(ISNUMBER(SEARCH("미얀마",$U269)),$J269-기준정보!$C$5&gt;=기준정보!$C$8,$J269-기준정보!$C$5&lt;=기준정보!$C$9),기준정보!$C$8-1,IF(AND(ISNUMBER(SEARCH("인도네시아",$U269)),$J269-기준정보!$C$5&gt;=기준정보!$C$10,$J269-기준정보!$C$5&lt;=기준정보!$C$11),기준정보!$C$10-1,$J269-기준정보!$C$5)))</f>
        <v/>
      </c>
      <c r="L269" s="23">
        <f>IF($K269="","",IF(ISNUMBER(SEARCH("미얀마",$U269)),MAX(0,MIN($K269,기준정보!$C$9)-MAX($K269-기준정보!$C$6,기준정보!$C$8)+1),IF(ISNUMBER(SEARCH("인도네시아",$U269)),MAX(0,MIN($K269,기준정보!$C$11)-MAX($K269-기준정보!$C$6,기준정보!$C$10)+1),0)))</f>
        <v/>
      </c>
      <c r="M269" s="22">
        <f>IF($K269="","",$K269-기준정보!$C$6-$L269)</f>
        <v/>
      </c>
      <c r="N269" s="24">
        <f>IF($M269="","",$M269-기준정보!$C$4)</f>
        <v/>
      </c>
      <c r="O269" s="21" t="n"/>
      <c r="P269" s="21" t="n"/>
      <c r="Q269" s="21" t="n"/>
      <c r="R269" s="25" t="n"/>
      <c r="S269" s="20">
        <f>IF($H269="","",IF($H269="C","본사(소재팀)",IF($H269="완","생산처","확인 필요")))</f>
        <v/>
      </c>
      <c r="T269" s="20" t="inlineStr">
        <is>
          <t>포마트</t>
        </is>
      </c>
      <c r="U269" s="20" t="inlineStr">
        <is>
          <t>베트남</t>
        </is>
      </c>
      <c r="V269" s="20" t="n"/>
      <c r="W269" s="26" t="n"/>
      <c r="X269" s="26" t="n"/>
      <c r="Y269" s="22" t="n"/>
      <c r="Z269" s="27" t="n">
        <v>4500</v>
      </c>
      <c r="AA269" s="27" t="n">
        <v>513283500</v>
      </c>
      <c r="AB269" s="27" t="n">
        <v>2475000000</v>
      </c>
      <c r="AC269" s="20" t="n"/>
      <c r="AD269" s="20">
        <f>IF($J269="","출고일 미정",IF($P269="X","작지 미발행",IF($P269="부분","작지 일부 미발행",IF(AND($R269&lt;&gt;"",$R269&gt;$M269),"소재입고 마감("&amp;TEXT($M269,"MM/DD")&amp;") 초과",IF($P269="","발행여부 확인 필요",IF($R269="","소재 입고일정 확인 필요","정상"))))))</f>
        <v/>
      </c>
      <c r="AE269" s="19">
        <f>IF($J269="","",IF(OR(LEFT($AD269,2)="작지",LEFT($AD269,4)="소재입고"),IF(LEFT($G269,1)="A","★ 납기위험(A코드)","◆ 지연주의"),IF($AD269="정상","✓ 정상","? 확인필요")))</f>
        <v/>
      </c>
      <c r="AF269" s="21" t="n"/>
      <c r="AG269" s="28" t="n"/>
    </row>
    <row r="270">
      <c r="A270" s="19" t="n">
        <v>266</v>
      </c>
      <c r="B270" s="20" t="inlineStr">
        <is>
          <t>문도혁</t>
        </is>
      </c>
      <c r="C270" s="20" t="inlineStr">
        <is>
          <t>이민선</t>
        </is>
      </c>
      <c r="D270" s="20" t="inlineStr">
        <is>
          <t>TLJDW27681</t>
        </is>
      </c>
      <c r="E270" s="20" t="inlineStr">
        <is>
          <t>남성 로버 미드 다운</t>
        </is>
      </c>
      <c r="F270" s="20" t="inlineStr">
        <is>
          <t>MUS/DEB</t>
        </is>
      </c>
      <c r="G270" s="19">
        <f>IF($D270="","",IF(MID($D270,5,1)="A","A(가을)",IF(MID($D270,5,1)="W","W(겨울)",IF(MID($D270,5,1)="X","X(사계절)",MID($D270,5,1)))))</f>
        <v/>
      </c>
      <c r="H270" s="19" t="inlineStr">
        <is>
          <t>C</t>
        </is>
      </c>
      <c r="I270" s="21" t="inlineStr">
        <is>
          <t>9월3주</t>
        </is>
      </c>
      <c r="J270" s="22">
        <f>IF($I270="","",IFERROR(DATE(기준정보!$C$7,VALUE(LEFT($I270,FIND("월",$I270)-1)),1+7*(VALUE(SUBSTITUTE(MID($I270,FIND("월",$I270)+1,5),"주",""))-1)),""))</f>
        <v/>
      </c>
      <c r="K270" s="22">
        <f>IF($J270="","",IF(AND(ISNUMBER(SEARCH("미얀마",$U270)),$J270-기준정보!$C$5&gt;=기준정보!$C$8,$J270-기준정보!$C$5&lt;=기준정보!$C$9),기준정보!$C$8-1,IF(AND(ISNUMBER(SEARCH("인도네시아",$U270)),$J270-기준정보!$C$5&gt;=기준정보!$C$10,$J270-기준정보!$C$5&lt;=기준정보!$C$11),기준정보!$C$10-1,$J270-기준정보!$C$5)))</f>
        <v/>
      </c>
      <c r="L270" s="23">
        <f>IF($K270="","",IF(ISNUMBER(SEARCH("미얀마",$U270)),MAX(0,MIN($K270,기준정보!$C$9)-MAX($K270-기준정보!$C$6,기준정보!$C$8)+1),IF(ISNUMBER(SEARCH("인도네시아",$U270)),MAX(0,MIN($K270,기준정보!$C$11)-MAX($K270-기준정보!$C$6,기준정보!$C$10)+1),0)))</f>
        <v/>
      </c>
      <c r="M270" s="22">
        <f>IF($K270="","",$K270-기준정보!$C$6-$L270)</f>
        <v/>
      </c>
      <c r="N270" s="24">
        <f>IF($M270="","",$M270-기준정보!$C$4)</f>
        <v/>
      </c>
      <c r="O270" s="21" t="n"/>
      <c r="P270" s="21" t="n"/>
      <c r="Q270" s="21" t="n"/>
      <c r="R270" s="25" t="n"/>
      <c r="S270" s="20">
        <f>IF($H270="","",IF($H270="C","본사(소재팀)",IF($H270="완","생산처","확인 필요")))</f>
        <v/>
      </c>
      <c r="T270" s="20" t="inlineStr">
        <is>
          <t>원전</t>
        </is>
      </c>
      <c r="U270" s="20" t="inlineStr">
        <is>
          <t>인도네시아</t>
        </is>
      </c>
      <c r="V270" s="20" t="n"/>
      <c r="W270" s="26" t="n"/>
      <c r="X270" s="26" t="n"/>
      <c r="Y270" s="22" t="n"/>
      <c r="Z270" s="27" t="n">
        <v>3000</v>
      </c>
      <c r="AA270" s="27" t="n">
        <v>386523000</v>
      </c>
      <c r="AB270" s="27" t="n">
        <v>1950000000</v>
      </c>
      <c r="AC270" s="20" t="n"/>
      <c r="AD270" s="20">
        <f>IF($J270="","출고일 미정",IF($P270="X","작지 미발행",IF($P270="부분","작지 일부 미발행",IF(AND($R270&lt;&gt;"",$R270&gt;$M270),"소재입고 마감("&amp;TEXT($M270,"MM/DD")&amp;") 초과",IF($P270="","발행여부 확인 필요",IF($R270="","소재 입고일정 확인 필요","정상"))))))</f>
        <v/>
      </c>
      <c r="AE270" s="19">
        <f>IF($J270="","",IF(OR(LEFT($AD270,2)="작지",LEFT($AD270,4)="소재입고"),IF(LEFT($G270,1)="A","★ 납기위험(A코드)","◆ 지연주의"),IF($AD270="정상","✓ 정상","? 확인필요")))</f>
        <v/>
      </c>
      <c r="AF270" s="21" t="n"/>
      <c r="AG270" s="28" t="n"/>
    </row>
    <row r="271">
      <c r="A271" s="19" t="n">
        <v>267</v>
      </c>
      <c r="B271" s="20" t="inlineStr">
        <is>
          <t>최진민</t>
        </is>
      </c>
      <c r="C271" s="20" t="inlineStr">
        <is>
          <t>조이슬</t>
        </is>
      </c>
      <c r="D271" s="20" t="inlineStr">
        <is>
          <t>TLJFW27405</t>
        </is>
      </c>
      <c r="E271" s="20" t="inlineStr">
        <is>
          <t>남성 니트페이스 스탠드넥 재킷</t>
        </is>
      </c>
      <c r="F271" s="20" t="inlineStr">
        <is>
          <t>PEG/DTL</t>
        </is>
      </c>
      <c r="G271" s="19">
        <f>IF($D271="","",IF(MID($D271,5,1)="A","A(가을)",IF(MID($D271,5,1)="W","W(겨울)",IF(MID($D271,5,1)="X","X(사계절)",MID($D271,5,1)))))</f>
        <v/>
      </c>
      <c r="H271" s="19" t="n"/>
      <c r="I271" s="21" t="inlineStr">
        <is>
          <t>9월3주</t>
        </is>
      </c>
      <c r="J271" s="22">
        <f>IF($I271="","",IFERROR(DATE(기준정보!$C$7,VALUE(LEFT($I271,FIND("월",$I271)-1)),1+7*(VALUE(SUBSTITUTE(MID($I271,FIND("월",$I271)+1,5),"주",""))-1)),""))</f>
        <v/>
      </c>
      <c r="K271" s="22">
        <f>IF($J271="","",IF(AND(ISNUMBER(SEARCH("미얀마",$U271)),$J271-기준정보!$C$5&gt;=기준정보!$C$8,$J271-기준정보!$C$5&lt;=기준정보!$C$9),기준정보!$C$8-1,IF(AND(ISNUMBER(SEARCH("인도네시아",$U271)),$J271-기준정보!$C$5&gt;=기준정보!$C$10,$J271-기준정보!$C$5&lt;=기준정보!$C$11),기준정보!$C$10-1,$J271-기준정보!$C$5)))</f>
        <v/>
      </c>
      <c r="L271" s="23">
        <f>IF($K271="","",IF(ISNUMBER(SEARCH("미얀마",$U271)),MAX(0,MIN($K271,기준정보!$C$9)-MAX($K271-기준정보!$C$6,기준정보!$C$8)+1),IF(ISNUMBER(SEARCH("인도네시아",$U271)),MAX(0,MIN($K271,기준정보!$C$11)-MAX($K271-기준정보!$C$6,기준정보!$C$10)+1),0)))</f>
        <v/>
      </c>
      <c r="M271" s="22">
        <f>IF($K271="","",$K271-기준정보!$C$6-$L271)</f>
        <v/>
      </c>
      <c r="N271" s="24">
        <f>IF($M271="","",$M271-기준정보!$C$4)</f>
        <v/>
      </c>
      <c r="O271" s="21" t="n"/>
      <c r="P271" s="21" t="n"/>
      <c r="Q271" s="21" t="n"/>
      <c r="R271" s="25" t="n"/>
      <c r="S271" s="20">
        <f>IF($H271="","",IF($H271="C","본사(소재팀)",IF($H271="완","생산처","확인 필요")))</f>
        <v/>
      </c>
      <c r="T271" s="20" t="inlineStr">
        <is>
          <t>원전</t>
        </is>
      </c>
      <c r="U271" s="20" t="inlineStr">
        <is>
          <t>인도네시아</t>
        </is>
      </c>
      <c r="V271" s="20" t="n"/>
      <c r="W271" s="26" t="n"/>
      <c r="X271" s="26" t="n"/>
      <c r="Y271" s="22" t="n"/>
      <c r="Z271" s="27" t="n">
        <v>2500</v>
      </c>
      <c r="AA271" s="27" t="n">
        <v>90000000</v>
      </c>
      <c r="AB271" s="27" t="n">
        <v>550000000</v>
      </c>
      <c r="AC271" s="20" t="n"/>
      <c r="AD271" s="20">
        <f>IF($J271="","출고일 미정",IF($P271="X","작지 미발행",IF($P271="부분","작지 일부 미발행",IF(AND($R271&lt;&gt;"",$R271&gt;$M271),"소재입고 마감("&amp;TEXT($M271,"MM/DD")&amp;") 초과",IF($P271="","발행여부 확인 필요",IF($R271="","소재 입고일정 확인 필요","정상"))))))</f>
        <v/>
      </c>
      <c r="AE271" s="19">
        <f>IF($J271="","",IF(OR(LEFT($AD271,2)="작지",LEFT($AD271,4)="소재입고"),IF(LEFT($G271,1)="A","★ 납기위험(A코드)","◆ 지연주의"),IF($AD271="정상","✓ 정상","? 확인필요")))</f>
        <v/>
      </c>
      <c r="AF271" s="21" t="n"/>
      <c r="AG271" s="28" t="n"/>
    </row>
    <row r="272">
      <c r="A272" s="19" t="n">
        <v>268</v>
      </c>
      <c r="B272" s="20" t="inlineStr">
        <is>
          <t>최진민</t>
        </is>
      </c>
      <c r="C272" s="20" t="inlineStr">
        <is>
          <t>조이슬</t>
        </is>
      </c>
      <c r="D272" s="20" t="inlineStr">
        <is>
          <t>TLJFW27451</t>
        </is>
      </c>
      <c r="E272" s="20" t="inlineStr">
        <is>
          <t>남성 솟솟플리스 후디드 재킷</t>
        </is>
      </c>
      <c r="F272" s="20" t="inlineStr">
        <is>
          <t>DNV/MUD</t>
        </is>
      </c>
      <c r="G272" s="19">
        <f>IF($D272="","",IF(MID($D272,5,1)="A","A(가을)",IF(MID($D272,5,1)="W","W(겨울)",IF(MID($D272,5,1)="X","X(사계절)",MID($D272,5,1)))))</f>
        <v/>
      </c>
      <c r="H272" s="19" t="n"/>
      <c r="I272" s="21" t="inlineStr">
        <is>
          <t>9월3주</t>
        </is>
      </c>
      <c r="J272" s="22">
        <f>IF($I272="","",IFERROR(DATE(기준정보!$C$7,VALUE(LEFT($I272,FIND("월",$I272)-1)),1+7*(VALUE(SUBSTITUTE(MID($I272,FIND("월",$I272)+1,5),"주",""))-1)),""))</f>
        <v/>
      </c>
      <c r="K272" s="22">
        <f>IF($J272="","",IF(AND(ISNUMBER(SEARCH("미얀마",$U272)),$J272-기준정보!$C$5&gt;=기준정보!$C$8,$J272-기준정보!$C$5&lt;=기준정보!$C$9),기준정보!$C$8-1,IF(AND(ISNUMBER(SEARCH("인도네시아",$U272)),$J272-기준정보!$C$5&gt;=기준정보!$C$10,$J272-기준정보!$C$5&lt;=기준정보!$C$11),기준정보!$C$10-1,$J272-기준정보!$C$5)))</f>
        <v/>
      </c>
      <c r="L272" s="23">
        <f>IF($K272="","",IF(ISNUMBER(SEARCH("미얀마",$U272)),MAX(0,MIN($K272,기준정보!$C$9)-MAX($K272-기준정보!$C$6,기준정보!$C$8)+1),IF(ISNUMBER(SEARCH("인도네시아",$U272)),MAX(0,MIN($K272,기준정보!$C$11)-MAX($K272-기준정보!$C$6,기준정보!$C$10)+1),0)))</f>
        <v/>
      </c>
      <c r="M272" s="22">
        <f>IF($K272="","",$K272-기준정보!$C$6-$L272)</f>
        <v/>
      </c>
      <c r="N272" s="24">
        <f>IF($M272="","",$M272-기준정보!$C$4)</f>
        <v/>
      </c>
      <c r="O272" s="21" t="n"/>
      <c r="P272" s="21" t="n"/>
      <c r="Q272" s="21" t="n"/>
      <c r="R272" s="25" t="n"/>
      <c r="S272" s="20">
        <f>IF($H272="","",IF($H272="C","본사(소재팀)",IF($H272="완","생산처","확인 필요")))</f>
        <v/>
      </c>
      <c r="T272" s="20" t="inlineStr">
        <is>
          <t>원전</t>
        </is>
      </c>
      <c r="U272" s="20" t="inlineStr">
        <is>
          <t>인도네시아</t>
        </is>
      </c>
      <c r="V272" s="20" t="n"/>
      <c r="W272" s="26" t="n"/>
      <c r="X272" s="26" t="n"/>
      <c r="Y272" s="22" t="n"/>
      <c r="Z272" s="27" t="n">
        <v>2000</v>
      </c>
      <c r="AA272" s="27" t="n">
        <v>78000000</v>
      </c>
      <c r="AB272" s="27" t="n">
        <v>396000000</v>
      </c>
      <c r="AC272" s="20" t="n"/>
      <c r="AD272" s="20">
        <f>IF($J272="","출고일 미정",IF($P272="X","작지 미발행",IF($P272="부분","작지 일부 미발행",IF(AND($R272&lt;&gt;"",$R272&gt;$M272),"소재입고 마감("&amp;TEXT($M272,"MM/DD")&amp;") 초과",IF($P272="","발행여부 확인 필요",IF($R272="","소재 입고일정 확인 필요","정상"))))))</f>
        <v/>
      </c>
      <c r="AE272" s="19">
        <f>IF($J272="","",IF(OR(LEFT($AD272,2)="작지",LEFT($AD272,4)="소재입고"),IF(LEFT($G272,1)="A","★ 납기위험(A코드)","◆ 지연주의"),IF($AD272="정상","✓ 정상","? 확인필요")))</f>
        <v/>
      </c>
      <c r="AF272" s="21" t="n"/>
      <c r="AG272" s="28" t="n"/>
    </row>
    <row r="273">
      <c r="A273" s="19" t="n">
        <v>269</v>
      </c>
      <c r="B273" s="20" t="inlineStr">
        <is>
          <t>최진민</t>
        </is>
      </c>
      <c r="C273" s="20" t="inlineStr">
        <is>
          <t>조이슬</t>
        </is>
      </c>
      <c r="D273" s="20" t="inlineStr">
        <is>
          <t>TLJFW27461</t>
        </is>
      </c>
      <c r="E273" s="20" t="inlineStr">
        <is>
          <t>남성 슬림핏 스탠드넥 트레이닝 재킷</t>
        </is>
      </c>
      <c r="F273" s="20" t="inlineStr">
        <is>
          <t>DEB/CHR</t>
        </is>
      </c>
      <c r="G273" s="19">
        <f>IF($D273="","",IF(MID($D273,5,1)="A","A(가을)",IF(MID($D273,5,1)="W","W(겨울)",IF(MID($D273,5,1)="X","X(사계절)",MID($D273,5,1)))))</f>
        <v/>
      </c>
      <c r="H273" s="19" t="n"/>
      <c r="I273" s="21" t="inlineStr">
        <is>
          <t>9월3주</t>
        </is>
      </c>
      <c r="J273" s="22">
        <f>IF($I273="","",IFERROR(DATE(기준정보!$C$7,VALUE(LEFT($I273,FIND("월",$I273)-1)),1+7*(VALUE(SUBSTITUTE(MID($I273,FIND("월",$I273)+1,5),"주",""))-1)),""))</f>
        <v/>
      </c>
      <c r="K273" s="22">
        <f>IF($J273="","",IF(AND(ISNUMBER(SEARCH("미얀마",$U273)),$J273-기준정보!$C$5&gt;=기준정보!$C$8,$J273-기준정보!$C$5&lt;=기준정보!$C$9),기준정보!$C$8-1,IF(AND(ISNUMBER(SEARCH("인도네시아",$U273)),$J273-기준정보!$C$5&gt;=기준정보!$C$10,$J273-기준정보!$C$5&lt;=기준정보!$C$11),기준정보!$C$10-1,$J273-기준정보!$C$5)))</f>
        <v/>
      </c>
      <c r="L273" s="23">
        <f>IF($K273="","",IF(ISNUMBER(SEARCH("미얀마",$U273)),MAX(0,MIN($K273,기준정보!$C$9)-MAX($K273-기준정보!$C$6,기준정보!$C$8)+1),IF(ISNUMBER(SEARCH("인도네시아",$U273)),MAX(0,MIN($K273,기준정보!$C$11)-MAX($K273-기준정보!$C$6,기준정보!$C$10)+1),0)))</f>
        <v/>
      </c>
      <c r="M273" s="22">
        <f>IF($K273="","",$K273-기준정보!$C$6-$L273)</f>
        <v/>
      </c>
      <c r="N273" s="24">
        <f>IF($M273="","",$M273-기준정보!$C$4)</f>
        <v/>
      </c>
      <c r="O273" s="21" t="n"/>
      <c r="P273" s="21" t="n"/>
      <c r="Q273" s="21" t="n"/>
      <c r="R273" s="25" t="n"/>
      <c r="S273" s="20">
        <f>IF($H273="","",IF($H273="C","본사(소재팀)",IF($H273="완","생산처","확인 필요")))</f>
        <v/>
      </c>
      <c r="T273" s="20" t="inlineStr">
        <is>
          <t>YIC</t>
        </is>
      </c>
      <c r="U273" s="20" t="inlineStr">
        <is>
          <t>베트남</t>
        </is>
      </c>
      <c r="V273" s="20" t="n"/>
      <c r="W273" s="26" t="n"/>
      <c r="X273" s="26" t="n"/>
      <c r="Y273" s="22" t="n"/>
      <c r="Z273" s="27" t="n">
        <v>3500</v>
      </c>
      <c r="AA273" s="27" t="n">
        <v>143500000</v>
      </c>
      <c r="AB273" s="27" t="n">
        <v>693000000</v>
      </c>
      <c r="AC273" s="20" t="n"/>
      <c r="AD273" s="20">
        <f>IF($J273="","출고일 미정",IF($P273="X","작지 미발행",IF($P273="부분","작지 일부 미발행",IF(AND($R273&lt;&gt;"",$R273&gt;$M273),"소재입고 마감("&amp;TEXT($M273,"MM/DD")&amp;") 초과",IF($P273="","발행여부 확인 필요",IF($R273="","소재 입고일정 확인 필요","정상"))))))</f>
        <v/>
      </c>
      <c r="AE273" s="19">
        <f>IF($J273="","",IF(OR(LEFT($AD273,2)="작지",LEFT($AD273,4)="소재입고"),IF(LEFT($G273,1)="A","★ 납기위험(A코드)","◆ 지연주의"),IF($AD273="정상","✓ 정상","? 확인필요")))</f>
        <v/>
      </c>
      <c r="AF273" s="21" t="n"/>
      <c r="AG273" s="28" t="n"/>
    </row>
    <row r="274">
      <c r="A274" s="19" t="n">
        <v>270</v>
      </c>
      <c r="B274" s="20" t="inlineStr">
        <is>
          <t>김준래</t>
        </is>
      </c>
      <c r="C274" s="20" t="inlineStr">
        <is>
          <t>정희영</t>
        </is>
      </c>
      <c r="D274" s="20" t="inlineStr">
        <is>
          <t>TLPNW27609</t>
        </is>
      </c>
      <c r="E274" s="20" t="inlineStr">
        <is>
          <t>남성 융기모 베이직 스트레이츠 팬츠</t>
        </is>
      </c>
      <c r="F274" s="20" t="inlineStr">
        <is>
          <t>CHR/DEB</t>
        </is>
      </c>
      <c r="G274" s="19">
        <f>IF($D274="","",IF(MID($D274,5,1)="A","A(가을)",IF(MID($D274,5,1)="W","W(겨울)",IF(MID($D274,5,1)="X","X(사계절)",MID($D274,5,1)))))</f>
        <v/>
      </c>
      <c r="H274" s="19" t="inlineStr">
        <is>
          <t>완</t>
        </is>
      </c>
      <c r="I274" s="21" t="inlineStr">
        <is>
          <t>9월3주</t>
        </is>
      </c>
      <c r="J274" s="22">
        <f>IF($I274="","",IFERROR(DATE(기준정보!$C$7,VALUE(LEFT($I274,FIND("월",$I274)-1)),1+7*(VALUE(SUBSTITUTE(MID($I274,FIND("월",$I274)+1,5),"주",""))-1)),""))</f>
        <v/>
      </c>
      <c r="K274" s="22">
        <f>IF($J274="","",IF(AND(ISNUMBER(SEARCH("미얀마",$U274)),$J274-기준정보!$C$5&gt;=기준정보!$C$8,$J274-기준정보!$C$5&lt;=기준정보!$C$9),기준정보!$C$8-1,IF(AND(ISNUMBER(SEARCH("인도네시아",$U274)),$J274-기준정보!$C$5&gt;=기준정보!$C$10,$J274-기준정보!$C$5&lt;=기준정보!$C$11),기준정보!$C$10-1,$J274-기준정보!$C$5)))</f>
        <v/>
      </c>
      <c r="L274" s="23">
        <f>IF($K274="","",IF(ISNUMBER(SEARCH("미얀마",$U274)),MAX(0,MIN($K274,기준정보!$C$9)-MAX($K274-기준정보!$C$6,기준정보!$C$8)+1),IF(ISNUMBER(SEARCH("인도네시아",$U274)),MAX(0,MIN($K274,기준정보!$C$11)-MAX($K274-기준정보!$C$6,기준정보!$C$10)+1),0)))</f>
        <v/>
      </c>
      <c r="M274" s="22">
        <f>IF($K274="","",$K274-기준정보!$C$6-$L274)</f>
        <v/>
      </c>
      <c r="N274" s="24">
        <f>IF($M274="","",$M274-기준정보!$C$4)</f>
        <v/>
      </c>
      <c r="O274" s="21" t="n"/>
      <c r="P274" s="21" t="n"/>
      <c r="Q274" s="21" t="n"/>
      <c r="R274" s="25" t="n"/>
      <c r="S274" s="20">
        <f>IF($H274="","",IF($H274="C","본사(소재팀)",IF($H274="완","생산처","확인 필요")))</f>
        <v/>
      </c>
      <c r="T274" s="20" t="inlineStr">
        <is>
          <t>YIC</t>
        </is>
      </c>
      <c r="U274" s="20" t="inlineStr">
        <is>
          <t>베트남</t>
        </is>
      </c>
      <c r="V274" s="20" t="n"/>
      <c r="W274" s="26" t="n"/>
      <c r="X274" s="26" t="n"/>
      <c r="Y274" s="22" t="n"/>
      <c r="Z274" s="27" t="n">
        <v>3000</v>
      </c>
      <c r="AA274" s="27" t="n">
        <v>123393000</v>
      </c>
      <c r="AB274" s="27" t="n">
        <v>564000000</v>
      </c>
      <c r="AC274" s="20" t="n"/>
      <c r="AD274" s="20">
        <f>IF($J274="","출고일 미정",IF($P274="X","작지 미발행",IF($P274="부분","작지 일부 미발행",IF(AND($R274&lt;&gt;"",$R274&gt;$M274),"소재입고 마감("&amp;TEXT($M274,"MM/DD")&amp;") 초과",IF($P274="","발행여부 확인 필요",IF($R274="","소재 입고일정 확인 필요","정상"))))))</f>
        <v/>
      </c>
      <c r="AE274" s="19">
        <f>IF($J274="","",IF(OR(LEFT($AD274,2)="작지",LEFT($AD274,4)="소재입고"),IF(LEFT($G274,1)="A","★ 납기위험(A코드)","◆ 지연주의"),IF($AD274="정상","✓ 정상","? 확인필요")))</f>
        <v/>
      </c>
      <c r="AF274" s="21" t="n"/>
      <c r="AG274" s="28" t="n"/>
    </row>
    <row r="275">
      <c r="A275" s="19" t="n">
        <v>271</v>
      </c>
      <c r="B275" s="20" t="inlineStr">
        <is>
          <t>김준래</t>
        </is>
      </c>
      <c r="C275" s="20" t="inlineStr">
        <is>
          <t>정희영</t>
        </is>
      </c>
      <c r="D275" s="20" t="inlineStr">
        <is>
          <t>TLPNW27617</t>
        </is>
      </c>
      <c r="E275" s="20" t="inlineStr">
        <is>
          <t>남성 코듀로이 기모 스트레이트 팬츠</t>
        </is>
      </c>
      <c r="F275" s="20" t="inlineStr">
        <is>
          <t>RBW/MID</t>
        </is>
      </c>
      <c r="G275" s="19">
        <f>IF($D275="","",IF(MID($D275,5,1)="A","A(가을)",IF(MID($D275,5,1)="W","W(겨울)",IF(MID($D275,5,1)="X","X(사계절)",MID($D275,5,1)))))</f>
        <v/>
      </c>
      <c r="H275" s="19" t="inlineStr">
        <is>
          <t>완</t>
        </is>
      </c>
      <c r="I275" s="21" t="inlineStr">
        <is>
          <t>9월3주</t>
        </is>
      </c>
      <c r="J275" s="22">
        <f>IF($I275="","",IFERROR(DATE(기준정보!$C$7,VALUE(LEFT($I275,FIND("월",$I275)-1)),1+7*(VALUE(SUBSTITUTE(MID($I275,FIND("월",$I275)+1,5),"주",""))-1)),""))</f>
        <v/>
      </c>
      <c r="K275" s="22">
        <f>IF($J275="","",IF(AND(ISNUMBER(SEARCH("미얀마",$U275)),$J275-기준정보!$C$5&gt;=기준정보!$C$8,$J275-기준정보!$C$5&lt;=기준정보!$C$9),기준정보!$C$8-1,IF(AND(ISNUMBER(SEARCH("인도네시아",$U275)),$J275-기준정보!$C$5&gt;=기준정보!$C$10,$J275-기준정보!$C$5&lt;=기준정보!$C$11),기준정보!$C$10-1,$J275-기준정보!$C$5)))</f>
        <v/>
      </c>
      <c r="L275" s="23">
        <f>IF($K275="","",IF(ISNUMBER(SEARCH("미얀마",$U275)),MAX(0,MIN($K275,기준정보!$C$9)-MAX($K275-기준정보!$C$6,기준정보!$C$8)+1),IF(ISNUMBER(SEARCH("인도네시아",$U275)),MAX(0,MIN($K275,기준정보!$C$11)-MAX($K275-기준정보!$C$6,기준정보!$C$10)+1),0)))</f>
        <v/>
      </c>
      <c r="M275" s="22">
        <f>IF($K275="","",$K275-기준정보!$C$6-$L275)</f>
        <v/>
      </c>
      <c r="N275" s="24">
        <f>IF($M275="","",$M275-기준정보!$C$4)</f>
        <v/>
      </c>
      <c r="O275" s="21" t="n"/>
      <c r="P275" s="21" t="n"/>
      <c r="Q275" s="21" t="n"/>
      <c r="R275" s="25" t="n"/>
      <c r="S275" s="20">
        <f>IF($H275="","",IF($H275="C","본사(소재팀)",IF($H275="완","생산처","확인 필요")))</f>
        <v/>
      </c>
      <c r="T275" s="20" t="inlineStr">
        <is>
          <t>YIC</t>
        </is>
      </c>
      <c r="U275" s="20" t="inlineStr">
        <is>
          <t>베트남</t>
        </is>
      </c>
      <c r="V275" s="20" t="n"/>
      <c r="W275" s="26" t="n"/>
      <c r="X275" s="26" t="n"/>
      <c r="Y275" s="22" t="n"/>
      <c r="Z275" s="27" t="n">
        <v>3000</v>
      </c>
      <c r="AA275" s="27" t="n">
        <v>82119000</v>
      </c>
      <c r="AB275" s="27" t="n">
        <v>594000000</v>
      </c>
      <c r="AC275" s="20" t="n"/>
      <c r="AD275" s="20">
        <f>IF($J275="","출고일 미정",IF($P275="X","작지 미발행",IF($P275="부분","작지 일부 미발행",IF(AND($R275&lt;&gt;"",$R275&gt;$M275),"소재입고 마감("&amp;TEXT($M275,"MM/DD")&amp;") 초과",IF($P275="","발행여부 확인 필요",IF($R275="","소재 입고일정 확인 필요","정상"))))))</f>
        <v/>
      </c>
      <c r="AE275" s="19">
        <f>IF($J275="","",IF(OR(LEFT($AD275,2)="작지",LEFT($AD275,4)="소재입고"),IF(LEFT($G275,1)="A","★ 납기위험(A코드)","◆ 지연주의"),IF($AD275="정상","✓ 정상","? 확인필요")))</f>
        <v/>
      </c>
      <c r="AF275" s="21" t="n"/>
      <c r="AG275" s="28" t="n"/>
    </row>
    <row r="276">
      <c r="A276" s="19" t="n">
        <v>272</v>
      </c>
      <c r="B276" s="20" t="inlineStr">
        <is>
          <t>김준래</t>
        </is>
      </c>
      <c r="C276" s="20" t="inlineStr">
        <is>
          <t>정희영</t>
        </is>
      </c>
      <c r="D276" s="20" t="inlineStr">
        <is>
          <t>TLPNW27619</t>
        </is>
      </c>
      <c r="E276" s="20" t="inlineStr">
        <is>
          <t>남성 데님 기모 릴렉스핏 스트레이트 팬츠</t>
        </is>
      </c>
      <c r="F276" s="20" t="inlineStr">
        <is>
          <t>IND/BLK</t>
        </is>
      </c>
      <c r="G276" s="19">
        <f>IF($D276="","",IF(MID($D276,5,1)="A","A(가을)",IF(MID($D276,5,1)="W","W(겨울)",IF(MID($D276,5,1)="X","X(사계절)",MID($D276,5,1)))))</f>
        <v/>
      </c>
      <c r="H276" s="19" t="inlineStr">
        <is>
          <t>완</t>
        </is>
      </c>
      <c r="I276" s="21" t="inlineStr">
        <is>
          <t>9월3주</t>
        </is>
      </c>
      <c r="J276" s="22">
        <f>IF($I276="","",IFERROR(DATE(기준정보!$C$7,VALUE(LEFT($I276,FIND("월",$I276)-1)),1+7*(VALUE(SUBSTITUTE(MID($I276,FIND("월",$I276)+1,5),"주",""))-1)),""))</f>
        <v/>
      </c>
      <c r="K276" s="22">
        <f>IF($J276="","",IF(AND(ISNUMBER(SEARCH("미얀마",$U276)),$J276-기준정보!$C$5&gt;=기준정보!$C$8,$J276-기준정보!$C$5&lt;=기준정보!$C$9),기준정보!$C$8-1,IF(AND(ISNUMBER(SEARCH("인도네시아",$U276)),$J276-기준정보!$C$5&gt;=기준정보!$C$10,$J276-기준정보!$C$5&lt;=기준정보!$C$11),기준정보!$C$10-1,$J276-기준정보!$C$5)))</f>
        <v/>
      </c>
      <c r="L276" s="23">
        <f>IF($K276="","",IF(ISNUMBER(SEARCH("미얀마",$U276)),MAX(0,MIN($K276,기준정보!$C$9)-MAX($K276-기준정보!$C$6,기준정보!$C$8)+1),IF(ISNUMBER(SEARCH("인도네시아",$U276)),MAX(0,MIN($K276,기준정보!$C$11)-MAX($K276-기준정보!$C$6,기준정보!$C$10)+1),0)))</f>
        <v/>
      </c>
      <c r="M276" s="22">
        <f>IF($K276="","",$K276-기준정보!$C$6-$L276)</f>
        <v/>
      </c>
      <c r="N276" s="24">
        <f>IF($M276="","",$M276-기준정보!$C$4)</f>
        <v/>
      </c>
      <c r="O276" s="21" t="n"/>
      <c r="P276" s="21" t="n"/>
      <c r="Q276" s="21" t="n"/>
      <c r="R276" s="25" t="n"/>
      <c r="S276" s="20">
        <f>IF($H276="","",IF($H276="C","본사(소재팀)",IF($H276="완","생산처","확인 필요")))</f>
        <v/>
      </c>
      <c r="T276" s="20" t="inlineStr">
        <is>
          <t>파란</t>
        </is>
      </c>
      <c r="U276" s="20" t="inlineStr">
        <is>
          <t>중국</t>
        </is>
      </c>
      <c r="V276" s="20" t="n"/>
      <c r="W276" s="26" t="n"/>
      <c r="X276" s="26" t="n"/>
      <c r="Y276" s="22" t="n"/>
      <c r="Z276" s="27" t="n">
        <v>3000</v>
      </c>
      <c r="AA276" s="27" t="n">
        <v>90000000</v>
      </c>
      <c r="AB276" s="27" t="n">
        <v>594000000</v>
      </c>
      <c r="AC276" s="20" t="n"/>
      <c r="AD276" s="20">
        <f>IF($J276="","출고일 미정",IF($P276="X","작지 미발행",IF($P276="부분","작지 일부 미발행",IF(AND($R276&lt;&gt;"",$R276&gt;$M276),"소재입고 마감("&amp;TEXT($M276,"MM/DD")&amp;") 초과",IF($P276="","발행여부 확인 필요",IF($R276="","소재 입고일정 확인 필요","정상"))))))</f>
        <v/>
      </c>
      <c r="AE276" s="19">
        <f>IF($J276="","",IF(OR(LEFT($AD276,2)="작지",LEFT($AD276,4)="소재입고"),IF(LEFT($G276,1)="A","★ 납기위험(A코드)","◆ 지연주의"),IF($AD276="정상","✓ 정상","? 확인필요")))</f>
        <v/>
      </c>
      <c r="AF276" s="21" t="n"/>
      <c r="AG276" s="28" t="n"/>
    </row>
    <row r="277">
      <c r="A277" s="19" t="n">
        <v>273</v>
      </c>
      <c r="B277" s="20" t="inlineStr">
        <is>
          <t>김준래</t>
        </is>
      </c>
      <c r="C277" s="20" t="inlineStr">
        <is>
          <t>정희영</t>
        </is>
      </c>
      <c r="D277" s="20" t="inlineStr">
        <is>
          <t>TLSXW27617</t>
        </is>
      </c>
      <c r="E277" s="20" t="inlineStr">
        <is>
          <t>남성 패딩 릴렉스핏 긴팔 셔츠</t>
        </is>
      </c>
      <c r="F277" s="20" t="inlineStr">
        <is>
          <t>ASB/DEB</t>
        </is>
      </c>
      <c r="G277" s="19">
        <f>IF($D277="","",IF(MID($D277,5,1)="A","A(가을)",IF(MID($D277,5,1)="W","W(겨울)",IF(MID($D277,5,1)="X","X(사계절)",MID($D277,5,1)))))</f>
        <v/>
      </c>
      <c r="H277" s="19" t="inlineStr">
        <is>
          <t>완</t>
        </is>
      </c>
      <c r="I277" s="21" t="inlineStr">
        <is>
          <t>9월3주</t>
        </is>
      </c>
      <c r="J277" s="22">
        <f>IF($I277="","",IFERROR(DATE(기준정보!$C$7,VALUE(LEFT($I277,FIND("월",$I277)-1)),1+7*(VALUE(SUBSTITUTE(MID($I277,FIND("월",$I277)+1,5),"주",""))-1)),""))</f>
        <v/>
      </c>
      <c r="K277" s="22">
        <f>IF($J277="","",IF(AND(ISNUMBER(SEARCH("미얀마",$U277)),$J277-기준정보!$C$5&gt;=기준정보!$C$8,$J277-기준정보!$C$5&lt;=기준정보!$C$9),기준정보!$C$8-1,IF(AND(ISNUMBER(SEARCH("인도네시아",$U277)),$J277-기준정보!$C$5&gt;=기준정보!$C$10,$J277-기준정보!$C$5&lt;=기준정보!$C$11),기준정보!$C$10-1,$J277-기준정보!$C$5)))</f>
        <v/>
      </c>
      <c r="L277" s="23">
        <f>IF($K277="","",IF(ISNUMBER(SEARCH("미얀마",$U277)),MAX(0,MIN($K277,기준정보!$C$9)-MAX($K277-기준정보!$C$6,기준정보!$C$8)+1),IF(ISNUMBER(SEARCH("인도네시아",$U277)),MAX(0,MIN($K277,기준정보!$C$11)-MAX($K277-기준정보!$C$6,기준정보!$C$10)+1),0)))</f>
        <v/>
      </c>
      <c r="M277" s="22">
        <f>IF($K277="","",$K277-기준정보!$C$6-$L277)</f>
        <v/>
      </c>
      <c r="N277" s="24">
        <f>IF($M277="","",$M277-기준정보!$C$4)</f>
        <v/>
      </c>
      <c r="O277" s="21" t="n"/>
      <c r="P277" s="21" t="n"/>
      <c r="Q277" s="21" t="n"/>
      <c r="R277" s="25" t="n"/>
      <c r="S277" s="20">
        <f>IF($H277="","",IF($H277="C","본사(소재팀)",IF($H277="완","생산처","확인 필요")))</f>
        <v/>
      </c>
      <c r="T277" s="20" t="inlineStr">
        <is>
          <t>아이블</t>
        </is>
      </c>
      <c r="U277" s="20" t="inlineStr">
        <is>
          <t>베트남</t>
        </is>
      </c>
      <c r="V277" s="20" t="n"/>
      <c r="W277" s="26" t="n"/>
      <c r="X277" s="26" t="n"/>
      <c r="Y277" s="22" t="n"/>
      <c r="Z277" s="27" t="n">
        <v>2000</v>
      </c>
      <c r="AA277" s="27" t="n">
        <v>108318000</v>
      </c>
      <c r="AB277" s="27" t="n">
        <v>500000000</v>
      </c>
      <c r="AC277" s="20" t="n"/>
      <c r="AD277" s="20">
        <f>IF($J277="","출고일 미정",IF($P277="X","작지 미발행",IF($P277="부분","작지 일부 미발행",IF(AND($R277&lt;&gt;"",$R277&gt;$M277),"소재입고 마감("&amp;TEXT($M277,"MM/DD")&amp;") 초과",IF($P277="","발행여부 확인 필요",IF($R277="","소재 입고일정 확인 필요","정상"))))))</f>
        <v/>
      </c>
      <c r="AE277" s="19">
        <f>IF($J277="","",IF(OR(LEFT($AD277,2)="작지",LEFT($AD277,4)="소재입고"),IF(LEFT($G277,1)="A","★ 납기위험(A코드)","◆ 지연주의"),IF($AD277="정상","✓ 정상","? 확인필요")))</f>
        <v/>
      </c>
      <c r="AF277" s="21" t="n"/>
      <c r="AG277" s="28" t="n"/>
    </row>
    <row r="278">
      <c r="A278" s="19" t="n">
        <v>274</v>
      </c>
      <c r="B278" s="20" t="inlineStr">
        <is>
          <t>최진민</t>
        </is>
      </c>
      <c r="C278" s="20" t="inlineStr">
        <is>
          <t>조이슬</t>
        </is>
      </c>
      <c r="D278" s="20" t="inlineStr">
        <is>
          <t>TLVAW27401</t>
        </is>
      </c>
      <c r="E278" s="20" t="inlineStr">
        <is>
          <t>남성 튜브 경량 스탠드넥 다운 베스트</t>
        </is>
      </c>
      <c r="F278" s="20" t="inlineStr">
        <is>
          <t>DEB/DTE/PEG</t>
        </is>
      </c>
      <c r="G278" s="19">
        <f>IF($D278="","",IF(MID($D278,5,1)="A","A(가을)",IF(MID($D278,5,1)="W","W(겨울)",IF(MID($D278,5,1)="X","X(사계절)",MID($D278,5,1)))))</f>
        <v/>
      </c>
      <c r="H278" s="19" t="n"/>
      <c r="I278" s="21" t="inlineStr">
        <is>
          <t>9월3주</t>
        </is>
      </c>
      <c r="J278" s="22">
        <f>IF($I278="","",IFERROR(DATE(기준정보!$C$7,VALUE(LEFT($I278,FIND("월",$I278)-1)),1+7*(VALUE(SUBSTITUTE(MID($I278,FIND("월",$I278)+1,5),"주",""))-1)),""))</f>
        <v/>
      </c>
      <c r="K278" s="22">
        <f>IF($J278="","",IF(AND(ISNUMBER(SEARCH("미얀마",$U278)),$J278-기준정보!$C$5&gt;=기준정보!$C$8,$J278-기준정보!$C$5&lt;=기준정보!$C$9),기준정보!$C$8-1,IF(AND(ISNUMBER(SEARCH("인도네시아",$U278)),$J278-기준정보!$C$5&gt;=기준정보!$C$10,$J278-기준정보!$C$5&lt;=기준정보!$C$11),기준정보!$C$10-1,$J278-기준정보!$C$5)))</f>
        <v/>
      </c>
      <c r="L278" s="23">
        <f>IF($K278="","",IF(ISNUMBER(SEARCH("미얀마",$U278)),MAX(0,MIN($K278,기준정보!$C$9)-MAX($K278-기준정보!$C$6,기준정보!$C$8)+1),IF(ISNUMBER(SEARCH("인도네시아",$U278)),MAX(0,MIN($K278,기준정보!$C$11)-MAX($K278-기준정보!$C$6,기준정보!$C$10)+1),0)))</f>
        <v/>
      </c>
      <c r="M278" s="22">
        <f>IF($K278="","",$K278-기준정보!$C$6-$L278)</f>
        <v/>
      </c>
      <c r="N278" s="24">
        <f>IF($M278="","",$M278-기준정보!$C$4)</f>
        <v/>
      </c>
      <c r="O278" s="21" t="n"/>
      <c r="P278" s="21" t="n"/>
      <c r="Q278" s="21" t="n"/>
      <c r="R278" s="25" t="n"/>
      <c r="S278" s="20">
        <f>IF($H278="","",IF($H278="C","본사(소재팀)",IF($H278="완","생산처","확인 필요")))</f>
        <v/>
      </c>
      <c r="T278" s="20" t="inlineStr">
        <is>
          <t>아이블</t>
        </is>
      </c>
      <c r="U278" s="20" t="inlineStr">
        <is>
          <t>베트남</t>
        </is>
      </c>
      <c r="V278" s="20" t="n"/>
      <c r="W278" s="26" t="n"/>
      <c r="X278" s="26" t="n"/>
      <c r="Y278" s="22" t="n"/>
      <c r="Z278" s="27" t="n">
        <v>6000</v>
      </c>
      <c r="AA278" s="27" t="n">
        <v>282000000</v>
      </c>
      <c r="AB278" s="27" t="n">
        <v>1500000000</v>
      </c>
      <c r="AC278" s="20" t="n"/>
      <c r="AD278" s="20">
        <f>IF($J278="","출고일 미정",IF($P278="X","작지 미발행",IF($P278="부분","작지 일부 미발행",IF(AND($R278&lt;&gt;"",$R278&gt;$M278),"소재입고 마감("&amp;TEXT($M278,"MM/DD")&amp;") 초과",IF($P278="","발행여부 확인 필요",IF($R278="","소재 입고일정 확인 필요","정상"))))))</f>
        <v/>
      </c>
      <c r="AE278" s="19">
        <f>IF($J278="","",IF(OR(LEFT($AD278,2)="작지",LEFT($AD278,4)="소재입고"),IF(LEFT($G278,1)="A","★ 납기위험(A코드)","◆ 지연주의"),IF($AD278="정상","✓ 정상","? 확인필요")))</f>
        <v/>
      </c>
      <c r="AF278" s="21" t="n"/>
      <c r="AG278" s="28" t="n"/>
    </row>
    <row r="279">
      <c r="A279" s="19" t="n">
        <v>275</v>
      </c>
      <c r="B279" s="20" t="inlineStr">
        <is>
          <t>최진민</t>
        </is>
      </c>
      <c r="C279" s="20" t="inlineStr">
        <is>
          <t>조이슬</t>
        </is>
      </c>
      <c r="D279" s="20" t="inlineStr">
        <is>
          <t>TLVAW27451</t>
        </is>
      </c>
      <c r="E279" s="20" t="inlineStr">
        <is>
          <t>남성 솟솟플리스 스탠드넥 베스트</t>
        </is>
      </c>
      <c r="F279" s="20" t="inlineStr">
        <is>
          <t>RBW/DEB</t>
        </is>
      </c>
      <c r="G279" s="19">
        <f>IF($D279="","",IF(MID($D279,5,1)="A","A(가을)",IF(MID($D279,5,1)="W","W(겨울)",IF(MID($D279,5,1)="X","X(사계절)",MID($D279,5,1)))))</f>
        <v/>
      </c>
      <c r="H279" s="19" t="n"/>
      <c r="I279" s="21" t="inlineStr">
        <is>
          <t>9월3주</t>
        </is>
      </c>
      <c r="J279" s="22">
        <f>IF($I279="","",IFERROR(DATE(기준정보!$C$7,VALUE(LEFT($I279,FIND("월",$I279)-1)),1+7*(VALUE(SUBSTITUTE(MID($I279,FIND("월",$I279)+1,5),"주",""))-1)),""))</f>
        <v/>
      </c>
      <c r="K279" s="22">
        <f>IF($J279="","",IF(AND(ISNUMBER(SEARCH("미얀마",$U279)),$J279-기준정보!$C$5&gt;=기준정보!$C$8,$J279-기준정보!$C$5&lt;=기준정보!$C$9),기준정보!$C$8-1,IF(AND(ISNUMBER(SEARCH("인도네시아",$U279)),$J279-기준정보!$C$5&gt;=기준정보!$C$10,$J279-기준정보!$C$5&lt;=기준정보!$C$11),기준정보!$C$10-1,$J279-기준정보!$C$5)))</f>
        <v/>
      </c>
      <c r="L279" s="23">
        <f>IF($K279="","",IF(ISNUMBER(SEARCH("미얀마",$U279)),MAX(0,MIN($K279,기준정보!$C$9)-MAX($K279-기준정보!$C$6,기준정보!$C$8)+1),IF(ISNUMBER(SEARCH("인도네시아",$U279)),MAX(0,MIN($K279,기준정보!$C$11)-MAX($K279-기준정보!$C$6,기준정보!$C$10)+1),0)))</f>
        <v/>
      </c>
      <c r="M279" s="22">
        <f>IF($K279="","",$K279-기준정보!$C$6-$L279)</f>
        <v/>
      </c>
      <c r="N279" s="24">
        <f>IF($M279="","",$M279-기준정보!$C$4)</f>
        <v/>
      </c>
      <c r="O279" s="21" t="n"/>
      <c r="P279" s="21" t="n"/>
      <c r="Q279" s="21" t="n"/>
      <c r="R279" s="25" t="n"/>
      <c r="S279" s="20">
        <f>IF($H279="","",IF($H279="C","본사(소재팀)",IF($H279="완","생산처","확인 필요")))</f>
        <v/>
      </c>
      <c r="T279" s="20" t="inlineStr">
        <is>
          <t>기도</t>
        </is>
      </c>
      <c r="U279" s="20" t="inlineStr">
        <is>
          <t>미얀마</t>
        </is>
      </c>
      <c r="V279" s="20" t="n"/>
      <c r="W279" s="26" t="n"/>
      <c r="X279" s="26" t="n"/>
      <c r="Y279" s="22" t="n"/>
      <c r="Z279" s="27" t="n">
        <v>1500</v>
      </c>
      <c r="AA279" s="27" t="n">
        <v>49500000</v>
      </c>
      <c r="AB279" s="27" t="n">
        <v>252000000</v>
      </c>
      <c r="AC279" s="20" t="n"/>
      <c r="AD279" s="20">
        <f>IF($J279="","출고일 미정",IF($P279="X","작지 미발행",IF($P279="부분","작지 일부 미발행",IF(AND($R279&lt;&gt;"",$R279&gt;$M279),"소재입고 마감("&amp;TEXT($M279,"MM/DD")&amp;") 초과",IF($P279="","발행여부 확인 필요",IF($R279="","소재 입고일정 확인 필요","정상"))))))</f>
        <v/>
      </c>
      <c r="AE279" s="19">
        <f>IF($J279="","",IF(OR(LEFT($AD279,2)="작지",LEFT($AD279,4)="소재입고"),IF(LEFT($G279,1)="A","★ 납기위험(A코드)","◆ 지연주의"),IF($AD279="정상","✓ 정상","? 확인필요")))</f>
        <v/>
      </c>
      <c r="AF279" s="21" t="n"/>
      <c r="AG279" s="28" t="n"/>
    </row>
    <row r="280">
      <c r="A280" s="19" t="n">
        <v>276</v>
      </c>
      <c r="B280" s="20" t="inlineStr">
        <is>
          <t>정영준</t>
        </is>
      </c>
      <c r="C280" s="20" t="inlineStr">
        <is>
          <t>이민선</t>
        </is>
      </c>
      <c r="D280" s="20" t="inlineStr">
        <is>
          <t>TVJDW27612</t>
        </is>
      </c>
      <c r="E280" s="20" t="inlineStr">
        <is>
          <t>여성 쿠치 고어텍스 윈드스토퍼 미드 다운</t>
        </is>
      </c>
      <c r="F280" s="20" t="inlineStr">
        <is>
          <t>CO1/CO2/CO3</t>
        </is>
      </c>
      <c r="G280" s="19">
        <f>IF($D280="","",IF(MID($D280,5,1)="A","A(가을)",IF(MID($D280,5,1)="W","W(겨울)",IF(MID($D280,5,1)="X","X(사계절)",MID($D280,5,1)))))</f>
        <v/>
      </c>
      <c r="H280" s="19" t="n"/>
      <c r="I280" s="21" t="inlineStr">
        <is>
          <t>9월3주</t>
        </is>
      </c>
      <c r="J280" s="22">
        <f>IF($I280="","",IFERROR(DATE(기준정보!$C$7,VALUE(LEFT($I280,FIND("월",$I280)-1)),1+7*(VALUE(SUBSTITUTE(MID($I280,FIND("월",$I280)+1,5),"주",""))-1)),""))</f>
        <v/>
      </c>
      <c r="K280" s="22">
        <f>IF($J280="","",IF(AND(ISNUMBER(SEARCH("미얀마",$U280)),$J280-기준정보!$C$5&gt;=기준정보!$C$8,$J280-기준정보!$C$5&lt;=기준정보!$C$9),기준정보!$C$8-1,IF(AND(ISNUMBER(SEARCH("인도네시아",$U280)),$J280-기준정보!$C$5&gt;=기준정보!$C$10,$J280-기준정보!$C$5&lt;=기준정보!$C$11),기준정보!$C$10-1,$J280-기준정보!$C$5)))</f>
        <v/>
      </c>
      <c r="L280" s="23">
        <f>IF($K280="","",IF(ISNUMBER(SEARCH("미얀마",$U280)),MAX(0,MIN($K280,기준정보!$C$9)-MAX($K280-기준정보!$C$6,기준정보!$C$8)+1),IF(ISNUMBER(SEARCH("인도네시아",$U280)),MAX(0,MIN($K280,기준정보!$C$11)-MAX($K280-기준정보!$C$6,기준정보!$C$10)+1),0)))</f>
        <v/>
      </c>
      <c r="M280" s="22">
        <f>IF($K280="","",$K280-기준정보!$C$6-$L280)</f>
        <v/>
      </c>
      <c r="N280" s="24">
        <f>IF($M280="","",$M280-기준정보!$C$4)</f>
        <v/>
      </c>
      <c r="O280" s="21" t="n"/>
      <c r="P280" s="21" t="n"/>
      <c r="Q280" s="21" t="n"/>
      <c r="R280" s="25" t="n"/>
      <c r="S280" s="20">
        <f>IF($H280="","",IF($H280="C","본사(소재팀)",IF($H280="완","생산처","확인 필요")))</f>
        <v/>
      </c>
      <c r="T280" s="20" t="inlineStr">
        <is>
          <t>포마트</t>
        </is>
      </c>
      <c r="U280" s="20" t="inlineStr">
        <is>
          <t>베트남</t>
        </is>
      </c>
      <c r="V280" s="20" t="n"/>
      <c r="W280" s="26" t="n"/>
      <c r="X280" s="26" t="n"/>
      <c r="Y280" s="22" t="n"/>
      <c r="Z280" s="27" t="n">
        <v>40000</v>
      </c>
      <c r="AA280" s="27" t="n">
        <v>4800000000</v>
      </c>
      <c r="AB280" s="27" t="n">
        <v>22000000000</v>
      </c>
      <c r="AC280" s="20" t="n"/>
      <c r="AD280" s="20">
        <f>IF($J280="","출고일 미정",IF($P280="X","작지 미발행",IF($P280="부분","작지 일부 미발행",IF(AND($R280&lt;&gt;"",$R280&gt;$M280),"소재입고 마감("&amp;TEXT($M280,"MM/DD")&amp;") 초과",IF($P280="","발행여부 확인 필요",IF($R280="","소재 입고일정 확인 필요","정상"))))))</f>
        <v/>
      </c>
      <c r="AE280" s="19">
        <f>IF($J280="","",IF(OR(LEFT($AD280,2)="작지",LEFT($AD280,4)="소재입고"),IF(LEFT($G280,1)="A","★ 납기위험(A코드)","◆ 지연주의"),IF($AD280="정상","✓ 정상","? 확인필요")))</f>
        <v/>
      </c>
      <c r="AF280" s="21" t="n"/>
      <c r="AG280" s="28" t="n"/>
    </row>
    <row r="281">
      <c r="A281" s="19" t="n">
        <v>277</v>
      </c>
      <c r="B281" s="20" t="inlineStr">
        <is>
          <t>정영준</t>
        </is>
      </c>
      <c r="C281" s="20" t="inlineStr">
        <is>
          <t>이민선</t>
        </is>
      </c>
      <c r="D281" s="20" t="inlineStr">
        <is>
          <t>TVJDW27614</t>
        </is>
      </c>
      <c r="E281" s="20" t="inlineStr">
        <is>
          <t>여성 쿠치 컴포트 미드 다운</t>
        </is>
      </c>
      <c r="F281" s="20" t="inlineStr">
        <is>
          <t>CO1/CO2</t>
        </is>
      </c>
      <c r="G281" s="19">
        <f>IF($D281="","",IF(MID($D281,5,1)="A","A(가을)",IF(MID($D281,5,1)="W","W(겨울)",IF(MID($D281,5,1)="X","X(사계절)",MID($D281,5,1)))))</f>
        <v/>
      </c>
      <c r="H281" s="19" t="n"/>
      <c r="I281" s="21" t="inlineStr">
        <is>
          <t>9월3주</t>
        </is>
      </c>
      <c r="J281" s="22">
        <f>IF($I281="","",IFERROR(DATE(기준정보!$C$7,VALUE(LEFT($I281,FIND("월",$I281)-1)),1+7*(VALUE(SUBSTITUTE(MID($I281,FIND("월",$I281)+1,5),"주",""))-1)),""))</f>
        <v/>
      </c>
      <c r="K281" s="22">
        <f>IF($J281="","",IF(AND(ISNUMBER(SEARCH("미얀마",$U281)),$J281-기준정보!$C$5&gt;=기준정보!$C$8,$J281-기준정보!$C$5&lt;=기준정보!$C$9),기준정보!$C$8-1,IF(AND(ISNUMBER(SEARCH("인도네시아",$U281)),$J281-기준정보!$C$5&gt;=기준정보!$C$10,$J281-기준정보!$C$5&lt;=기준정보!$C$11),기준정보!$C$10-1,$J281-기준정보!$C$5)))</f>
        <v/>
      </c>
      <c r="L281" s="23">
        <f>IF($K281="","",IF(ISNUMBER(SEARCH("미얀마",$U281)),MAX(0,MIN($K281,기준정보!$C$9)-MAX($K281-기준정보!$C$6,기준정보!$C$8)+1),IF(ISNUMBER(SEARCH("인도네시아",$U281)),MAX(0,MIN($K281,기준정보!$C$11)-MAX($K281-기준정보!$C$6,기준정보!$C$10)+1),0)))</f>
        <v/>
      </c>
      <c r="M281" s="22">
        <f>IF($K281="","",$K281-기준정보!$C$6-$L281)</f>
        <v/>
      </c>
      <c r="N281" s="24">
        <f>IF($M281="","",$M281-기준정보!$C$4)</f>
        <v/>
      </c>
      <c r="O281" s="21" t="n"/>
      <c r="P281" s="21" t="n"/>
      <c r="Q281" s="21" t="n"/>
      <c r="R281" s="25" t="n"/>
      <c r="S281" s="20">
        <f>IF($H281="","",IF($H281="C","본사(소재팀)",IF($H281="완","생산처","확인 필요")))</f>
        <v/>
      </c>
      <c r="T281" s="20" t="inlineStr">
        <is>
          <t>포마트</t>
        </is>
      </c>
      <c r="U281" s="20" t="inlineStr">
        <is>
          <t>베트남</t>
        </is>
      </c>
      <c r="V281" s="20" t="n"/>
      <c r="W281" s="26" t="n"/>
      <c r="X281" s="26" t="n"/>
      <c r="Y281" s="22" t="n"/>
      <c r="Z281" s="27" t="n">
        <v>7000</v>
      </c>
      <c r="AA281" s="27" t="n">
        <v>630000000</v>
      </c>
      <c r="AB281" s="27" t="n">
        <v>3150000000</v>
      </c>
      <c r="AC281" s="20" t="n"/>
      <c r="AD281" s="20">
        <f>IF($J281="","출고일 미정",IF($P281="X","작지 미발행",IF($P281="부분","작지 일부 미발행",IF(AND($R281&lt;&gt;"",$R281&gt;$M281),"소재입고 마감("&amp;TEXT($M281,"MM/DD")&amp;") 초과",IF($P281="","발행여부 확인 필요",IF($R281="","소재 입고일정 확인 필요","정상"))))))</f>
        <v/>
      </c>
      <c r="AE281" s="19">
        <f>IF($J281="","",IF(OR(LEFT($AD281,2)="작지",LEFT($AD281,4)="소재입고"),IF(LEFT($G281,1)="A","★ 납기위험(A코드)","◆ 지연주의"),IF($AD281="정상","✓ 정상","? 확인필요")))</f>
        <v/>
      </c>
      <c r="AF281" s="21" t="n"/>
      <c r="AG281" s="28" t="n"/>
    </row>
    <row r="282">
      <c r="A282" s="19" t="n">
        <v>278</v>
      </c>
      <c r="B282" s="20" t="inlineStr">
        <is>
          <t>정영준</t>
        </is>
      </c>
      <c r="C282" s="20" t="inlineStr">
        <is>
          <t>이민선</t>
        </is>
      </c>
      <c r="D282" s="20" t="inlineStr">
        <is>
          <t>TVJDW27662</t>
        </is>
      </c>
      <c r="E282" s="20" t="inlineStr">
        <is>
          <t>여성 에어로소프트 미드 다운</t>
        </is>
      </c>
      <c r="F282" s="20" t="inlineStr">
        <is>
          <t>CO1/CO2/CO3</t>
        </is>
      </c>
      <c r="G282" s="19">
        <f>IF($D282="","",IF(MID($D282,5,1)="A","A(가을)",IF(MID($D282,5,1)="W","W(겨울)",IF(MID($D282,5,1)="X","X(사계절)",MID($D282,5,1)))))</f>
        <v/>
      </c>
      <c r="H282" s="19" t="n"/>
      <c r="I282" s="21" t="inlineStr">
        <is>
          <t>9월3주</t>
        </is>
      </c>
      <c r="J282" s="22">
        <f>IF($I282="","",IFERROR(DATE(기준정보!$C$7,VALUE(LEFT($I282,FIND("월",$I282)-1)),1+7*(VALUE(SUBSTITUTE(MID($I282,FIND("월",$I282)+1,5),"주",""))-1)),""))</f>
        <v/>
      </c>
      <c r="K282" s="22">
        <f>IF($J282="","",IF(AND(ISNUMBER(SEARCH("미얀마",$U282)),$J282-기준정보!$C$5&gt;=기준정보!$C$8,$J282-기준정보!$C$5&lt;=기준정보!$C$9),기준정보!$C$8-1,IF(AND(ISNUMBER(SEARCH("인도네시아",$U282)),$J282-기준정보!$C$5&gt;=기준정보!$C$10,$J282-기준정보!$C$5&lt;=기준정보!$C$11),기준정보!$C$10-1,$J282-기준정보!$C$5)))</f>
        <v/>
      </c>
      <c r="L282" s="23">
        <f>IF($K282="","",IF(ISNUMBER(SEARCH("미얀마",$U282)),MAX(0,MIN($K282,기준정보!$C$9)-MAX($K282-기준정보!$C$6,기준정보!$C$8)+1),IF(ISNUMBER(SEARCH("인도네시아",$U282)),MAX(0,MIN($K282,기준정보!$C$11)-MAX($K282-기준정보!$C$6,기준정보!$C$10)+1),0)))</f>
        <v/>
      </c>
      <c r="M282" s="22">
        <f>IF($K282="","",$K282-기준정보!$C$6-$L282)</f>
        <v/>
      </c>
      <c r="N282" s="24">
        <f>IF($M282="","",$M282-기준정보!$C$4)</f>
        <v/>
      </c>
      <c r="O282" s="21" t="n"/>
      <c r="P282" s="21" t="n"/>
      <c r="Q282" s="21" t="n"/>
      <c r="R282" s="25" t="n"/>
      <c r="S282" s="20">
        <f>IF($H282="","",IF($H282="C","본사(소재팀)",IF($H282="완","생산처","확인 필요")))</f>
        <v/>
      </c>
      <c r="T282" s="20" t="inlineStr">
        <is>
          <t>원전</t>
        </is>
      </c>
      <c r="U282" s="20" t="inlineStr">
        <is>
          <t>인도네시아</t>
        </is>
      </c>
      <c r="V282" s="20" t="n"/>
      <c r="W282" s="26" t="n"/>
      <c r="X282" s="26" t="n"/>
      <c r="Y282" s="22" t="n"/>
      <c r="Z282" s="27" t="n">
        <v>20000</v>
      </c>
      <c r="AA282" s="27" t="n">
        <v>1800000000</v>
      </c>
      <c r="AB282" s="27" t="n">
        <v>10400000000</v>
      </c>
      <c r="AC282" s="20" t="n"/>
      <c r="AD282" s="20">
        <f>IF($J282="","출고일 미정",IF($P282="X","작지 미발행",IF($P282="부분","작지 일부 미발행",IF(AND($R282&lt;&gt;"",$R282&gt;$M282),"소재입고 마감("&amp;TEXT($M282,"MM/DD")&amp;") 초과",IF($P282="","발행여부 확인 필요",IF($R282="","소재 입고일정 확인 필요","정상"))))))</f>
        <v/>
      </c>
      <c r="AE282" s="19">
        <f>IF($J282="","",IF(OR(LEFT($AD282,2)="작지",LEFT($AD282,4)="소재입고"),IF(LEFT($G282,1)="A","★ 납기위험(A코드)","◆ 지연주의"),IF($AD282="정상","✓ 정상","? 확인필요")))</f>
        <v/>
      </c>
      <c r="AF282" s="21" t="n"/>
      <c r="AG282" s="28" t="n"/>
    </row>
    <row r="283">
      <c r="A283" s="19" t="n">
        <v>279</v>
      </c>
      <c r="B283" s="20" t="inlineStr">
        <is>
          <t>정영준</t>
        </is>
      </c>
      <c r="C283" s="20" t="inlineStr">
        <is>
          <t>이민선</t>
        </is>
      </c>
      <c r="D283" s="20" t="inlineStr">
        <is>
          <t>TVJDW27664</t>
        </is>
      </c>
      <c r="E283" s="20" t="inlineStr">
        <is>
          <t>여성 에어로소프트 중기장 미드 다운</t>
        </is>
      </c>
      <c r="F283" s="20" t="inlineStr">
        <is>
          <t>CO1/CO2</t>
        </is>
      </c>
      <c r="G283" s="19">
        <f>IF($D283="","",IF(MID($D283,5,1)="A","A(가을)",IF(MID($D283,5,1)="W","W(겨울)",IF(MID($D283,5,1)="X","X(사계절)",MID($D283,5,1)))))</f>
        <v/>
      </c>
      <c r="H283" s="19" t="n"/>
      <c r="I283" s="21" t="inlineStr">
        <is>
          <t>9월3주</t>
        </is>
      </c>
      <c r="J283" s="22">
        <f>IF($I283="","",IFERROR(DATE(기준정보!$C$7,VALUE(LEFT($I283,FIND("월",$I283)-1)),1+7*(VALUE(SUBSTITUTE(MID($I283,FIND("월",$I283)+1,5),"주",""))-1)),""))</f>
        <v/>
      </c>
      <c r="K283" s="22">
        <f>IF($J283="","",IF(AND(ISNUMBER(SEARCH("미얀마",$U283)),$J283-기준정보!$C$5&gt;=기준정보!$C$8,$J283-기준정보!$C$5&lt;=기준정보!$C$9),기준정보!$C$8-1,IF(AND(ISNUMBER(SEARCH("인도네시아",$U283)),$J283-기준정보!$C$5&gt;=기준정보!$C$10,$J283-기준정보!$C$5&lt;=기준정보!$C$11),기준정보!$C$10-1,$J283-기준정보!$C$5)))</f>
        <v/>
      </c>
      <c r="L283" s="23">
        <f>IF($K283="","",IF(ISNUMBER(SEARCH("미얀마",$U283)),MAX(0,MIN($K283,기준정보!$C$9)-MAX($K283-기준정보!$C$6,기준정보!$C$8)+1),IF(ISNUMBER(SEARCH("인도네시아",$U283)),MAX(0,MIN($K283,기준정보!$C$11)-MAX($K283-기준정보!$C$6,기준정보!$C$10)+1),0)))</f>
        <v/>
      </c>
      <c r="M283" s="22">
        <f>IF($K283="","",$K283-기준정보!$C$6-$L283)</f>
        <v/>
      </c>
      <c r="N283" s="24">
        <f>IF($M283="","",$M283-기준정보!$C$4)</f>
        <v/>
      </c>
      <c r="O283" s="21" t="n"/>
      <c r="P283" s="21" t="n"/>
      <c r="Q283" s="21" t="n"/>
      <c r="R283" s="25" t="n"/>
      <c r="S283" s="20">
        <f>IF($H283="","",IF($H283="C","본사(소재팀)",IF($H283="완","생산처","확인 필요")))</f>
        <v/>
      </c>
      <c r="T283" s="20" t="inlineStr">
        <is>
          <t>원전</t>
        </is>
      </c>
      <c r="U283" s="20" t="inlineStr">
        <is>
          <t>인도네시아</t>
        </is>
      </c>
      <c r="V283" s="20" t="n"/>
      <c r="W283" s="26" t="n"/>
      <c r="X283" s="26" t="n"/>
      <c r="Y283" s="22" t="n"/>
      <c r="Z283" s="27" t="n">
        <v>5000</v>
      </c>
      <c r="AA283" s="27" t="n">
        <v>550000000</v>
      </c>
      <c r="AB283" s="27" t="n">
        <v>2750000000</v>
      </c>
      <c r="AC283" s="20" t="n"/>
      <c r="AD283" s="20">
        <f>IF($J283="","출고일 미정",IF($P283="X","작지 미발행",IF($P283="부분","작지 일부 미발행",IF(AND($R283&lt;&gt;"",$R283&gt;$M283),"소재입고 마감("&amp;TEXT($M283,"MM/DD")&amp;") 초과",IF($P283="","발행여부 확인 필요",IF($R283="","소재 입고일정 확인 필요","정상"))))))</f>
        <v/>
      </c>
      <c r="AE283" s="19">
        <f>IF($J283="","",IF(OR(LEFT($AD283,2)="작지",LEFT($AD283,4)="소재입고"),IF(LEFT($G283,1)="A","★ 납기위험(A코드)","◆ 지연주의"),IF($AD283="정상","✓ 정상","? 확인필요")))</f>
        <v/>
      </c>
      <c r="AF283" s="21" t="n"/>
      <c r="AG283" s="28" t="n"/>
    </row>
    <row r="284">
      <c r="A284" s="19" t="n">
        <v>280</v>
      </c>
      <c r="B284" s="20" t="inlineStr">
        <is>
          <t>정영준</t>
        </is>
      </c>
      <c r="C284" s="20" t="inlineStr">
        <is>
          <t>이민선</t>
        </is>
      </c>
      <c r="D284" s="20" t="inlineStr">
        <is>
          <t>TVJDW27666</t>
        </is>
      </c>
      <c r="E284" s="20" t="inlineStr">
        <is>
          <t>여성 에어로소프트 크롭 미드 스탠드넥 다운</t>
        </is>
      </c>
      <c r="F284" s="20" t="inlineStr">
        <is>
          <t>CO1/CO2</t>
        </is>
      </c>
      <c r="G284" s="19">
        <f>IF($D284="","",IF(MID($D284,5,1)="A","A(가을)",IF(MID($D284,5,1)="W","W(겨울)",IF(MID($D284,5,1)="X","X(사계절)",MID($D284,5,1)))))</f>
        <v/>
      </c>
      <c r="H284" s="19" t="n"/>
      <c r="I284" s="21" t="inlineStr">
        <is>
          <t>9월3주</t>
        </is>
      </c>
      <c r="J284" s="22">
        <f>IF($I284="","",IFERROR(DATE(기준정보!$C$7,VALUE(LEFT($I284,FIND("월",$I284)-1)),1+7*(VALUE(SUBSTITUTE(MID($I284,FIND("월",$I284)+1,5),"주",""))-1)),""))</f>
        <v/>
      </c>
      <c r="K284" s="22">
        <f>IF($J284="","",IF(AND(ISNUMBER(SEARCH("미얀마",$U284)),$J284-기준정보!$C$5&gt;=기준정보!$C$8,$J284-기준정보!$C$5&lt;=기준정보!$C$9),기준정보!$C$8-1,IF(AND(ISNUMBER(SEARCH("인도네시아",$U284)),$J284-기준정보!$C$5&gt;=기준정보!$C$10,$J284-기준정보!$C$5&lt;=기준정보!$C$11),기준정보!$C$10-1,$J284-기준정보!$C$5)))</f>
        <v/>
      </c>
      <c r="L284" s="23">
        <f>IF($K284="","",IF(ISNUMBER(SEARCH("미얀마",$U284)),MAX(0,MIN($K284,기준정보!$C$9)-MAX($K284-기준정보!$C$6,기준정보!$C$8)+1),IF(ISNUMBER(SEARCH("인도네시아",$U284)),MAX(0,MIN($K284,기준정보!$C$11)-MAX($K284-기준정보!$C$6,기준정보!$C$10)+1),0)))</f>
        <v/>
      </c>
      <c r="M284" s="22">
        <f>IF($K284="","",$K284-기준정보!$C$6-$L284)</f>
        <v/>
      </c>
      <c r="N284" s="24">
        <f>IF($M284="","",$M284-기준정보!$C$4)</f>
        <v/>
      </c>
      <c r="O284" s="21" t="n"/>
      <c r="P284" s="21" t="n"/>
      <c r="Q284" s="21" t="n"/>
      <c r="R284" s="25" t="n"/>
      <c r="S284" s="20">
        <f>IF($H284="","",IF($H284="C","본사(소재팀)",IF($H284="완","생산처","확인 필요")))</f>
        <v/>
      </c>
      <c r="T284" s="20" t="inlineStr">
        <is>
          <t>아이블</t>
        </is>
      </c>
      <c r="U284" s="20" t="inlineStr">
        <is>
          <t>베트남</t>
        </is>
      </c>
      <c r="V284" s="20" t="n"/>
      <c r="W284" s="26" t="n"/>
      <c r="X284" s="26" t="n"/>
      <c r="Y284" s="22" t="n"/>
      <c r="Z284" s="27" t="n">
        <v>5000</v>
      </c>
      <c r="AA284" s="27" t="n">
        <v>450000000</v>
      </c>
      <c r="AB284" s="27" t="n">
        <v>2450000000</v>
      </c>
      <c r="AC284" s="20" t="n"/>
      <c r="AD284" s="20">
        <f>IF($J284="","출고일 미정",IF($P284="X","작지 미발행",IF($P284="부분","작지 일부 미발행",IF(AND($R284&lt;&gt;"",$R284&gt;$M284),"소재입고 마감("&amp;TEXT($M284,"MM/DD")&amp;") 초과",IF($P284="","발행여부 확인 필요",IF($R284="","소재 입고일정 확인 필요","정상"))))))</f>
        <v/>
      </c>
      <c r="AE284" s="19">
        <f>IF($J284="","",IF(OR(LEFT($AD284,2)="작지",LEFT($AD284,4)="소재입고"),IF(LEFT($G284,1)="A","★ 납기위험(A코드)","◆ 지연주의"),IF($AD284="정상","✓ 정상","? 확인필요")))</f>
        <v/>
      </c>
      <c r="AF284" s="21" t="n"/>
      <c r="AG284" s="28" t="n"/>
    </row>
    <row r="285">
      <c r="A285" s="19" t="n">
        <v>281</v>
      </c>
      <c r="B285" s="20" t="inlineStr">
        <is>
          <t>정영준</t>
        </is>
      </c>
      <c r="C285" s="20" t="inlineStr">
        <is>
          <t>이민선</t>
        </is>
      </c>
      <c r="D285" s="20" t="inlineStr">
        <is>
          <t>TVJDW27668</t>
        </is>
      </c>
      <c r="E285" s="20" t="inlineStr">
        <is>
          <t>여성 에어로소프트 롱 미드 다운</t>
        </is>
      </c>
      <c r="F285" s="20" t="inlineStr">
        <is>
          <t>CO1/CO2</t>
        </is>
      </c>
      <c r="G285" s="19">
        <f>IF($D285="","",IF(MID($D285,5,1)="A","A(가을)",IF(MID($D285,5,1)="W","W(겨울)",IF(MID($D285,5,1)="X","X(사계절)",MID($D285,5,1)))))</f>
        <v/>
      </c>
      <c r="H285" s="19" t="n"/>
      <c r="I285" s="21" t="inlineStr">
        <is>
          <t>9월3주</t>
        </is>
      </c>
      <c r="J285" s="22">
        <f>IF($I285="","",IFERROR(DATE(기준정보!$C$7,VALUE(LEFT($I285,FIND("월",$I285)-1)),1+7*(VALUE(SUBSTITUTE(MID($I285,FIND("월",$I285)+1,5),"주",""))-1)),""))</f>
        <v/>
      </c>
      <c r="K285" s="22">
        <f>IF($J285="","",IF(AND(ISNUMBER(SEARCH("미얀마",$U285)),$J285-기준정보!$C$5&gt;=기준정보!$C$8,$J285-기준정보!$C$5&lt;=기준정보!$C$9),기준정보!$C$8-1,IF(AND(ISNUMBER(SEARCH("인도네시아",$U285)),$J285-기준정보!$C$5&gt;=기준정보!$C$10,$J285-기준정보!$C$5&lt;=기준정보!$C$11),기준정보!$C$10-1,$J285-기준정보!$C$5)))</f>
        <v/>
      </c>
      <c r="L285" s="23">
        <f>IF($K285="","",IF(ISNUMBER(SEARCH("미얀마",$U285)),MAX(0,MIN($K285,기준정보!$C$9)-MAX($K285-기준정보!$C$6,기준정보!$C$8)+1),IF(ISNUMBER(SEARCH("인도네시아",$U285)),MAX(0,MIN($K285,기준정보!$C$11)-MAX($K285-기준정보!$C$6,기준정보!$C$10)+1),0)))</f>
        <v/>
      </c>
      <c r="M285" s="22">
        <f>IF($K285="","",$K285-기준정보!$C$6-$L285)</f>
        <v/>
      </c>
      <c r="N285" s="24">
        <f>IF($M285="","",$M285-기준정보!$C$4)</f>
        <v/>
      </c>
      <c r="O285" s="21" t="n"/>
      <c r="P285" s="21" t="n"/>
      <c r="Q285" s="21" t="n"/>
      <c r="R285" s="25" t="n"/>
      <c r="S285" s="20">
        <f>IF($H285="","",IF($H285="C","본사(소재팀)",IF($H285="완","생산처","확인 필요")))</f>
        <v/>
      </c>
      <c r="T285" s="20" t="inlineStr">
        <is>
          <t>포마트</t>
        </is>
      </c>
      <c r="U285" s="20" t="inlineStr">
        <is>
          <t>베트남</t>
        </is>
      </c>
      <c r="V285" s="20" t="n"/>
      <c r="W285" s="26" t="n"/>
      <c r="X285" s="26" t="n"/>
      <c r="Y285" s="22" t="n"/>
      <c r="Z285" s="27" t="n">
        <v>2000</v>
      </c>
      <c r="AA285" s="27" t="n">
        <v>280000000</v>
      </c>
      <c r="AB285" s="27" t="n">
        <v>1300000000</v>
      </c>
      <c r="AC285" s="20" t="n"/>
      <c r="AD285" s="20">
        <f>IF($J285="","출고일 미정",IF($P285="X","작지 미발행",IF($P285="부분","작지 일부 미발행",IF(AND($R285&lt;&gt;"",$R285&gt;$M285),"소재입고 마감("&amp;TEXT($M285,"MM/DD")&amp;") 초과",IF($P285="","발행여부 확인 필요",IF($R285="","소재 입고일정 확인 필요","정상"))))))</f>
        <v/>
      </c>
      <c r="AE285" s="19">
        <f>IF($J285="","",IF(OR(LEFT($AD285,2)="작지",LEFT($AD285,4)="소재입고"),IF(LEFT($G285,1)="A","★ 납기위험(A코드)","◆ 지연주의"),IF($AD285="정상","✓ 정상","? 확인필요")))</f>
        <v/>
      </c>
      <c r="AF285" s="21" t="n"/>
      <c r="AG285" s="28" t="n"/>
    </row>
    <row r="286">
      <c r="A286" s="19" t="n">
        <v>282</v>
      </c>
      <c r="B286" s="20" t="inlineStr">
        <is>
          <t>정영준</t>
        </is>
      </c>
      <c r="C286" s="20" t="inlineStr">
        <is>
          <t>이민선</t>
        </is>
      </c>
      <c r="D286" s="20" t="inlineStr">
        <is>
          <t>TVJDW27682</t>
        </is>
      </c>
      <c r="E286" s="20" t="inlineStr">
        <is>
          <t>여성 크롭 미드 다운</t>
        </is>
      </c>
      <c r="F286" s="20" t="inlineStr">
        <is>
          <t>CO1/CO2</t>
        </is>
      </c>
      <c r="G286" s="19">
        <f>IF($D286="","",IF(MID($D286,5,1)="A","A(가을)",IF(MID($D286,5,1)="W","W(겨울)",IF(MID($D286,5,1)="X","X(사계절)",MID($D286,5,1)))))</f>
        <v/>
      </c>
      <c r="H286" s="19" t="n"/>
      <c r="I286" s="21" t="inlineStr">
        <is>
          <t>9월3주</t>
        </is>
      </c>
      <c r="J286" s="22">
        <f>IF($I286="","",IFERROR(DATE(기준정보!$C$7,VALUE(LEFT($I286,FIND("월",$I286)-1)),1+7*(VALUE(SUBSTITUTE(MID($I286,FIND("월",$I286)+1,5),"주",""))-1)),""))</f>
        <v/>
      </c>
      <c r="K286" s="22">
        <f>IF($J286="","",IF(AND(ISNUMBER(SEARCH("미얀마",$U286)),$J286-기준정보!$C$5&gt;=기준정보!$C$8,$J286-기준정보!$C$5&lt;=기준정보!$C$9),기준정보!$C$8-1,IF(AND(ISNUMBER(SEARCH("인도네시아",$U286)),$J286-기준정보!$C$5&gt;=기준정보!$C$10,$J286-기준정보!$C$5&lt;=기준정보!$C$11),기준정보!$C$10-1,$J286-기준정보!$C$5)))</f>
        <v/>
      </c>
      <c r="L286" s="23">
        <f>IF($K286="","",IF(ISNUMBER(SEARCH("미얀마",$U286)),MAX(0,MIN($K286,기준정보!$C$9)-MAX($K286-기준정보!$C$6,기준정보!$C$8)+1),IF(ISNUMBER(SEARCH("인도네시아",$U286)),MAX(0,MIN($K286,기준정보!$C$11)-MAX($K286-기준정보!$C$6,기준정보!$C$10)+1),0)))</f>
        <v/>
      </c>
      <c r="M286" s="22">
        <f>IF($K286="","",$K286-기준정보!$C$6-$L286)</f>
        <v/>
      </c>
      <c r="N286" s="24">
        <f>IF($M286="","",$M286-기준정보!$C$4)</f>
        <v/>
      </c>
      <c r="O286" s="21" t="n"/>
      <c r="P286" s="21" t="n"/>
      <c r="Q286" s="21" t="n"/>
      <c r="R286" s="25" t="n"/>
      <c r="S286" s="20">
        <f>IF($H286="","",IF($H286="C","본사(소재팀)",IF($H286="완","생산처","확인 필요")))</f>
        <v/>
      </c>
      <c r="T286" s="20" t="inlineStr">
        <is>
          <t>아이블</t>
        </is>
      </c>
      <c r="U286" s="20" t="inlineStr">
        <is>
          <t>베트남</t>
        </is>
      </c>
      <c r="V286" s="20" t="n"/>
      <c r="W286" s="26" t="n"/>
      <c r="X286" s="26" t="n"/>
      <c r="Y286" s="22" t="n"/>
      <c r="Z286" s="27" t="n">
        <v>4000</v>
      </c>
      <c r="AA286" s="27" t="n">
        <v>560000000</v>
      </c>
      <c r="AB286" s="27" t="n">
        <v>2600000000</v>
      </c>
      <c r="AC286" s="20" t="n"/>
      <c r="AD286" s="20">
        <f>IF($J286="","출고일 미정",IF($P286="X","작지 미발행",IF($P286="부분","작지 일부 미발행",IF(AND($R286&lt;&gt;"",$R286&gt;$M286),"소재입고 마감("&amp;TEXT($M286,"MM/DD")&amp;") 초과",IF($P286="","발행여부 확인 필요",IF($R286="","소재 입고일정 확인 필요","정상"))))))</f>
        <v/>
      </c>
      <c r="AE286" s="19">
        <f>IF($J286="","",IF(OR(LEFT($AD286,2)="작지",LEFT($AD286,4)="소재입고"),IF(LEFT($G286,1)="A","★ 납기위험(A코드)","◆ 지연주의"),IF($AD286="정상","✓ 정상","? 확인필요")))</f>
        <v/>
      </c>
      <c r="AF286" s="21" t="n"/>
      <c r="AG286" s="28" t="n"/>
    </row>
    <row r="287">
      <c r="A287" s="19" t="n">
        <v>283</v>
      </c>
      <c r="B287" s="20" t="inlineStr">
        <is>
          <t>정영준</t>
        </is>
      </c>
      <c r="C287" s="20" t="inlineStr">
        <is>
          <t>이민선</t>
        </is>
      </c>
      <c r="D287" s="20" t="inlineStr">
        <is>
          <t>TVJDW27684</t>
        </is>
      </c>
      <c r="E287" s="20" t="inlineStr">
        <is>
          <t>여성 롱 미드 다운</t>
        </is>
      </c>
      <c r="F287" s="20" t="inlineStr">
        <is>
          <t>CO1/CO2</t>
        </is>
      </c>
      <c r="G287" s="19">
        <f>IF($D287="","",IF(MID($D287,5,1)="A","A(가을)",IF(MID($D287,5,1)="W","W(겨울)",IF(MID($D287,5,1)="X","X(사계절)",MID($D287,5,1)))))</f>
        <v/>
      </c>
      <c r="H287" s="19" t="n"/>
      <c r="I287" s="21" t="inlineStr">
        <is>
          <t>9월3주</t>
        </is>
      </c>
      <c r="J287" s="22">
        <f>IF($I287="","",IFERROR(DATE(기준정보!$C$7,VALUE(LEFT($I287,FIND("월",$I287)-1)),1+7*(VALUE(SUBSTITUTE(MID($I287,FIND("월",$I287)+1,5),"주",""))-1)),""))</f>
        <v/>
      </c>
      <c r="K287" s="22">
        <f>IF($J287="","",IF(AND(ISNUMBER(SEARCH("미얀마",$U287)),$J287-기준정보!$C$5&gt;=기준정보!$C$8,$J287-기준정보!$C$5&lt;=기준정보!$C$9),기준정보!$C$8-1,IF(AND(ISNUMBER(SEARCH("인도네시아",$U287)),$J287-기준정보!$C$5&gt;=기준정보!$C$10,$J287-기준정보!$C$5&lt;=기준정보!$C$11),기준정보!$C$10-1,$J287-기준정보!$C$5)))</f>
        <v/>
      </c>
      <c r="L287" s="23">
        <f>IF($K287="","",IF(ISNUMBER(SEARCH("미얀마",$U287)),MAX(0,MIN($K287,기준정보!$C$9)-MAX($K287-기준정보!$C$6,기준정보!$C$8)+1),IF(ISNUMBER(SEARCH("인도네시아",$U287)),MAX(0,MIN($K287,기준정보!$C$11)-MAX($K287-기준정보!$C$6,기준정보!$C$10)+1),0)))</f>
        <v/>
      </c>
      <c r="M287" s="22">
        <f>IF($K287="","",$K287-기준정보!$C$6-$L287)</f>
        <v/>
      </c>
      <c r="N287" s="24">
        <f>IF($M287="","",$M287-기준정보!$C$4)</f>
        <v/>
      </c>
      <c r="O287" s="21" t="n"/>
      <c r="P287" s="21" t="n"/>
      <c r="Q287" s="21" t="n"/>
      <c r="R287" s="25" t="n"/>
      <c r="S287" s="20">
        <f>IF($H287="","",IF($H287="C","본사(소재팀)",IF($H287="완","생산처","확인 필요")))</f>
        <v/>
      </c>
      <c r="T287" s="20" t="inlineStr">
        <is>
          <t>기도</t>
        </is>
      </c>
      <c r="U287" s="20" t="inlineStr">
        <is>
          <t>미얀마</t>
        </is>
      </c>
      <c r="V287" s="20" t="n"/>
      <c r="W287" s="26" t="n"/>
      <c r="X287" s="26" t="n"/>
      <c r="Y287" s="22" t="n"/>
      <c r="Z287" s="27" t="n">
        <v>3000</v>
      </c>
      <c r="AA287" s="27" t="n">
        <v>450000000</v>
      </c>
      <c r="AB287" s="27" t="n">
        <v>2250000000</v>
      </c>
      <c r="AC287" s="20" t="n"/>
      <c r="AD287" s="20">
        <f>IF($J287="","출고일 미정",IF($P287="X","작지 미발행",IF($P287="부분","작지 일부 미발행",IF(AND($R287&lt;&gt;"",$R287&gt;$M287),"소재입고 마감("&amp;TEXT($M287,"MM/DD")&amp;") 초과",IF($P287="","발행여부 확인 필요",IF($R287="","소재 입고일정 확인 필요","정상"))))))</f>
        <v/>
      </c>
      <c r="AE287" s="19">
        <f>IF($J287="","",IF(OR(LEFT($AD287,2)="작지",LEFT($AD287,4)="소재입고"),IF(LEFT($G287,1)="A","★ 납기위험(A코드)","◆ 지연주의"),IF($AD287="정상","✓ 정상","? 확인필요")))</f>
        <v/>
      </c>
      <c r="AF287" s="21" t="n"/>
      <c r="AG287" s="28" t="n"/>
    </row>
    <row r="288">
      <c r="A288" s="19" t="n">
        <v>284</v>
      </c>
      <c r="B288" s="20" t="inlineStr">
        <is>
          <t>최진민</t>
        </is>
      </c>
      <c r="C288" s="20" t="inlineStr">
        <is>
          <t>권혁일</t>
        </is>
      </c>
      <c r="D288" s="20" t="inlineStr">
        <is>
          <t>TVJFW27452</t>
        </is>
      </c>
      <c r="E288" s="20" t="inlineStr">
        <is>
          <t>여성 솟솟플리스 후디드 재킷</t>
        </is>
      </c>
      <c r="F288" s="20" t="inlineStr">
        <is>
          <t>ABE/ASB</t>
        </is>
      </c>
      <c r="G288" s="19">
        <f>IF($D288="","",IF(MID($D288,5,1)="A","A(가을)",IF(MID($D288,5,1)="W","W(겨울)",IF(MID($D288,5,1)="X","X(사계절)",MID($D288,5,1)))))</f>
        <v/>
      </c>
      <c r="H288" s="19" t="n"/>
      <c r="I288" s="21" t="inlineStr">
        <is>
          <t>9월3주</t>
        </is>
      </c>
      <c r="J288" s="22">
        <f>IF($I288="","",IFERROR(DATE(기준정보!$C$7,VALUE(LEFT($I288,FIND("월",$I288)-1)),1+7*(VALUE(SUBSTITUTE(MID($I288,FIND("월",$I288)+1,5),"주",""))-1)),""))</f>
        <v/>
      </c>
      <c r="K288" s="22">
        <f>IF($J288="","",IF(AND(ISNUMBER(SEARCH("미얀마",$U288)),$J288-기준정보!$C$5&gt;=기준정보!$C$8,$J288-기준정보!$C$5&lt;=기준정보!$C$9),기준정보!$C$8-1,IF(AND(ISNUMBER(SEARCH("인도네시아",$U288)),$J288-기준정보!$C$5&gt;=기준정보!$C$10,$J288-기준정보!$C$5&lt;=기준정보!$C$11),기준정보!$C$10-1,$J288-기준정보!$C$5)))</f>
        <v/>
      </c>
      <c r="L288" s="23">
        <f>IF($K288="","",IF(ISNUMBER(SEARCH("미얀마",$U288)),MAX(0,MIN($K288,기준정보!$C$9)-MAX($K288-기준정보!$C$6,기준정보!$C$8)+1),IF(ISNUMBER(SEARCH("인도네시아",$U288)),MAX(0,MIN($K288,기준정보!$C$11)-MAX($K288-기준정보!$C$6,기준정보!$C$10)+1),0)))</f>
        <v/>
      </c>
      <c r="M288" s="22">
        <f>IF($K288="","",$K288-기준정보!$C$6-$L288)</f>
        <v/>
      </c>
      <c r="N288" s="24">
        <f>IF($M288="","",$M288-기준정보!$C$4)</f>
        <v/>
      </c>
      <c r="O288" s="21" t="n"/>
      <c r="P288" s="21" t="n"/>
      <c r="Q288" s="21" t="n"/>
      <c r="R288" s="25" t="n"/>
      <c r="S288" s="20">
        <f>IF($H288="","",IF($H288="C","본사(소재팀)",IF($H288="완","생산처","확인 필요")))</f>
        <v/>
      </c>
      <c r="T288" s="20" t="inlineStr">
        <is>
          <t>원전</t>
        </is>
      </c>
      <c r="U288" s="20" t="inlineStr">
        <is>
          <t>인도네시아</t>
        </is>
      </c>
      <c r="V288" s="20" t="n"/>
      <c r="W288" s="26" t="n"/>
      <c r="X288" s="26" t="n"/>
      <c r="Y288" s="22" t="n"/>
      <c r="Z288" s="27" t="n">
        <v>2500</v>
      </c>
      <c r="AA288" s="27" t="n">
        <v>92500000</v>
      </c>
      <c r="AB288" s="27" t="n">
        <v>495000000</v>
      </c>
      <c r="AC288" s="20" t="n"/>
      <c r="AD288" s="20">
        <f>IF($J288="","출고일 미정",IF($P288="X","작지 미발행",IF($P288="부분","작지 일부 미발행",IF(AND($R288&lt;&gt;"",$R288&gt;$M288),"소재입고 마감("&amp;TEXT($M288,"MM/DD")&amp;") 초과",IF($P288="","발행여부 확인 필요",IF($R288="","소재 입고일정 확인 필요","정상"))))))</f>
        <v/>
      </c>
      <c r="AE288" s="19">
        <f>IF($J288="","",IF(OR(LEFT($AD288,2)="작지",LEFT($AD288,4)="소재입고"),IF(LEFT($G288,1)="A","★ 납기위험(A코드)","◆ 지연주의"),IF($AD288="정상","✓ 정상","? 확인필요")))</f>
        <v/>
      </c>
      <c r="AF288" s="21" t="n"/>
      <c r="AG288" s="28" t="n"/>
    </row>
    <row r="289">
      <c r="A289" s="19" t="n">
        <v>285</v>
      </c>
      <c r="B289" s="20" t="inlineStr">
        <is>
          <t>최진민</t>
        </is>
      </c>
      <c r="C289" s="20" t="inlineStr">
        <is>
          <t>권혁일</t>
        </is>
      </c>
      <c r="D289" s="20" t="inlineStr">
        <is>
          <t>TVJFW27462</t>
        </is>
      </c>
      <c r="E289" s="20" t="inlineStr">
        <is>
          <t>여성 슬림핏 스탠드넥 트레이닝 재킷</t>
        </is>
      </c>
      <c r="F289" s="20" t="inlineStr">
        <is>
          <t>DEB/ABE</t>
        </is>
      </c>
      <c r="G289" s="19">
        <f>IF($D289="","",IF(MID($D289,5,1)="A","A(가을)",IF(MID($D289,5,1)="W","W(겨울)",IF(MID($D289,5,1)="X","X(사계절)",MID($D289,5,1)))))</f>
        <v/>
      </c>
      <c r="H289" s="19" t="n"/>
      <c r="I289" s="21" t="inlineStr">
        <is>
          <t>9월3주</t>
        </is>
      </c>
      <c r="J289" s="22">
        <f>IF($I289="","",IFERROR(DATE(기준정보!$C$7,VALUE(LEFT($I289,FIND("월",$I289)-1)),1+7*(VALUE(SUBSTITUTE(MID($I289,FIND("월",$I289)+1,5),"주",""))-1)),""))</f>
        <v/>
      </c>
      <c r="K289" s="22">
        <f>IF($J289="","",IF(AND(ISNUMBER(SEARCH("미얀마",$U289)),$J289-기준정보!$C$5&gt;=기준정보!$C$8,$J289-기준정보!$C$5&lt;=기준정보!$C$9),기준정보!$C$8-1,IF(AND(ISNUMBER(SEARCH("인도네시아",$U289)),$J289-기준정보!$C$5&gt;=기준정보!$C$10,$J289-기준정보!$C$5&lt;=기준정보!$C$11),기준정보!$C$10-1,$J289-기준정보!$C$5)))</f>
        <v/>
      </c>
      <c r="L289" s="23">
        <f>IF($K289="","",IF(ISNUMBER(SEARCH("미얀마",$U289)),MAX(0,MIN($K289,기준정보!$C$9)-MAX($K289-기준정보!$C$6,기준정보!$C$8)+1),IF(ISNUMBER(SEARCH("인도네시아",$U289)),MAX(0,MIN($K289,기준정보!$C$11)-MAX($K289-기준정보!$C$6,기준정보!$C$10)+1),0)))</f>
        <v/>
      </c>
      <c r="M289" s="22">
        <f>IF($K289="","",$K289-기준정보!$C$6-$L289)</f>
        <v/>
      </c>
      <c r="N289" s="24">
        <f>IF($M289="","",$M289-기준정보!$C$4)</f>
        <v/>
      </c>
      <c r="O289" s="21" t="n"/>
      <c r="P289" s="21" t="n"/>
      <c r="Q289" s="21" t="n"/>
      <c r="R289" s="25" t="n"/>
      <c r="S289" s="20">
        <f>IF($H289="","",IF($H289="C","본사(소재팀)",IF($H289="완","생산처","확인 필요")))</f>
        <v/>
      </c>
      <c r="T289" s="20" t="inlineStr">
        <is>
          <t>YIC</t>
        </is>
      </c>
      <c r="U289" s="20" t="inlineStr">
        <is>
          <t>베트남</t>
        </is>
      </c>
      <c r="V289" s="20" t="n"/>
      <c r="W289" s="26" t="n"/>
      <c r="X289" s="26" t="n"/>
      <c r="Y289" s="22" t="n"/>
      <c r="Z289" s="27" t="n">
        <v>1500</v>
      </c>
      <c r="AA289" s="27" t="n">
        <v>58500000</v>
      </c>
      <c r="AB289" s="27" t="n">
        <v>297000000</v>
      </c>
      <c r="AC289" s="20" t="n"/>
      <c r="AD289" s="20">
        <f>IF($J289="","출고일 미정",IF($P289="X","작지 미발행",IF($P289="부분","작지 일부 미발행",IF(AND($R289&lt;&gt;"",$R289&gt;$M289),"소재입고 마감("&amp;TEXT($M289,"MM/DD")&amp;") 초과",IF($P289="","발행여부 확인 필요",IF($R289="","소재 입고일정 확인 필요","정상"))))))</f>
        <v/>
      </c>
      <c r="AE289" s="19">
        <f>IF($J289="","",IF(OR(LEFT($AD289,2)="작지",LEFT($AD289,4)="소재입고"),IF(LEFT($G289,1)="A","★ 납기위험(A코드)","◆ 지연주의"),IF($AD289="정상","✓ 정상","? 확인필요")))</f>
        <v/>
      </c>
      <c r="AF289" s="21" t="n"/>
      <c r="AG289" s="28" t="n"/>
    </row>
    <row r="290">
      <c r="A290" s="19" t="n">
        <v>286</v>
      </c>
      <c r="B290" s="20" t="inlineStr">
        <is>
          <t>문도혁</t>
        </is>
      </c>
      <c r="C290" s="20" t="inlineStr">
        <is>
          <t>서은미</t>
        </is>
      </c>
      <c r="D290" s="20" t="inlineStr">
        <is>
          <t>TVPNW27616</t>
        </is>
      </c>
      <c r="E290" s="20" t="inlineStr">
        <is>
          <t>여성 폴라텍 100 루즈핏 팬츠</t>
        </is>
      </c>
      <c r="F290" s="20" t="inlineStr">
        <is>
          <t>ECR/MML</t>
        </is>
      </c>
      <c r="G290" s="19">
        <f>IF($D290="","",IF(MID($D290,5,1)="A","A(가을)",IF(MID($D290,5,1)="W","W(겨울)",IF(MID($D290,5,1)="X","X(사계절)",MID($D290,5,1)))))</f>
        <v/>
      </c>
      <c r="H290" s="19" t="inlineStr">
        <is>
          <t>완</t>
        </is>
      </c>
      <c r="I290" s="21" t="inlineStr">
        <is>
          <t>9월3주</t>
        </is>
      </c>
      <c r="J290" s="22">
        <f>IF($I290="","",IFERROR(DATE(기준정보!$C$7,VALUE(LEFT($I290,FIND("월",$I290)-1)),1+7*(VALUE(SUBSTITUTE(MID($I290,FIND("월",$I290)+1,5),"주",""))-1)),""))</f>
        <v/>
      </c>
      <c r="K290" s="22">
        <f>IF($J290="","",IF(AND(ISNUMBER(SEARCH("미얀마",$U290)),$J290-기준정보!$C$5&gt;=기준정보!$C$8,$J290-기준정보!$C$5&lt;=기준정보!$C$9),기준정보!$C$8-1,IF(AND(ISNUMBER(SEARCH("인도네시아",$U290)),$J290-기준정보!$C$5&gt;=기준정보!$C$10,$J290-기준정보!$C$5&lt;=기준정보!$C$11),기준정보!$C$10-1,$J290-기준정보!$C$5)))</f>
        <v/>
      </c>
      <c r="L290" s="23">
        <f>IF($K290="","",IF(ISNUMBER(SEARCH("미얀마",$U290)),MAX(0,MIN($K290,기준정보!$C$9)-MAX($K290-기준정보!$C$6,기준정보!$C$8)+1),IF(ISNUMBER(SEARCH("인도네시아",$U290)),MAX(0,MIN($K290,기준정보!$C$11)-MAX($K290-기준정보!$C$6,기준정보!$C$10)+1),0)))</f>
        <v/>
      </c>
      <c r="M290" s="22">
        <f>IF($K290="","",$K290-기준정보!$C$6-$L290)</f>
        <v/>
      </c>
      <c r="N290" s="24">
        <f>IF($M290="","",$M290-기준정보!$C$4)</f>
        <v/>
      </c>
      <c r="O290" s="21" t="n"/>
      <c r="P290" s="21" t="n"/>
      <c r="Q290" s="21" t="n"/>
      <c r="R290" s="25" t="n"/>
      <c r="S290" s="20">
        <f>IF($H290="","",IF($H290="C","본사(소재팀)",IF($H290="완","생산처","확인 필요")))</f>
        <v/>
      </c>
      <c r="T290" s="20" t="inlineStr">
        <is>
          <t>IKG</t>
        </is>
      </c>
      <c r="U290" s="20" t="inlineStr">
        <is>
          <t>베트남</t>
        </is>
      </c>
      <c r="V290" s="20" t="n"/>
      <c r="W290" s="26" t="n"/>
      <c r="X290" s="26" t="n"/>
      <c r="Y290" s="22" t="n"/>
      <c r="Z290" s="27" t="n">
        <v>3500</v>
      </c>
      <c r="AA290" s="27" t="n">
        <v>106778000</v>
      </c>
      <c r="AB290" s="27" t="n">
        <v>658000000</v>
      </c>
      <c r="AC290" s="20" t="n"/>
      <c r="AD290" s="20">
        <f>IF($J290="","출고일 미정",IF($P290="X","작지 미발행",IF($P290="부분","작지 일부 미발행",IF(AND($R290&lt;&gt;"",$R290&gt;$M290),"소재입고 마감("&amp;TEXT($M290,"MM/DD")&amp;") 초과",IF($P290="","발행여부 확인 필요",IF($R290="","소재 입고일정 확인 필요","정상"))))))</f>
        <v/>
      </c>
      <c r="AE290" s="19">
        <f>IF($J290="","",IF(OR(LEFT($AD290,2)="작지",LEFT($AD290,4)="소재입고"),IF(LEFT($G290,1)="A","★ 납기위험(A코드)","◆ 지연주의"),IF($AD290="정상","✓ 정상","? 확인필요")))</f>
        <v/>
      </c>
      <c r="AF290" s="21" t="n"/>
      <c r="AG290" s="28" t="n"/>
    </row>
    <row r="291">
      <c r="A291" s="19" t="n">
        <v>287</v>
      </c>
      <c r="B291" s="20" t="inlineStr">
        <is>
          <t>문도혁</t>
        </is>
      </c>
      <c r="C291" s="20" t="inlineStr">
        <is>
          <t>서은미</t>
        </is>
      </c>
      <c r="D291" s="20" t="inlineStr">
        <is>
          <t>TVPNW27618</t>
        </is>
      </c>
      <c r="E291" s="20" t="inlineStr">
        <is>
          <t>여성 데님 슬림핏 테이퍼드 팬츠</t>
        </is>
      </c>
      <c r="F291" s="20" t="inlineStr">
        <is>
          <t>IND/BLK</t>
        </is>
      </c>
      <c r="G291" s="19">
        <f>IF($D291="","",IF(MID($D291,5,1)="A","A(가을)",IF(MID($D291,5,1)="W","W(겨울)",IF(MID($D291,5,1)="X","X(사계절)",MID($D291,5,1)))))</f>
        <v/>
      </c>
      <c r="H291" s="19" t="inlineStr">
        <is>
          <t>완</t>
        </is>
      </c>
      <c r="I291" s="21" t="inlineStr">
        <is>
          <t>9월3주</t>
        </is>
      </c>
      <c r="J291" s="22">
        <f>IF($I291="","",IFERROR(DATE(기준정보!$C$7,VALUE(LEFT($I291,FIND("월",$I291)-1)),1+7*(VALUE(SUBSTITUTE(MID($I291,FIND("월",$I291)+1,5),"주",""))-1)),""))</f>
        <v/>
      </c>
      <c r="K291" s="22">
        <f>IF($J291="","",IF(AND(ISNUMBER(SEARCH("미얀마",$U291)),$J291-기준정보!$C$5&gt;=기준정보!$C$8,$J291-기준정보!$C$5&lt;=기준정보!$C$9),기준정보!$C$8-1,IF(AND(ISNUMBER(SEARCH("인도네시아",$U291)),$J291-기준정보!$C$5&gt;=기준정보!$C$10,$J291-기준정보!$C$5&lt;=기준정보!$C$11),기준정보!$C$10-1,$J291-기준정보!$C$5)))</f>
        <v/>
      </c>
      <c r="L291" s="23">
        <f>IF($K291="","",IF(ISNUMBER(SEARCH("미얀마",$U291)),MAX(0,MIN($K291,기준정보!$C$9)-MAX($K291-기준정보!$C$6,기준정보!$C$8)+1),IF(ISNUMBER(SEARCH("인도네시아",$U291)),MAX(0,MIN($K291,기준정보!$C$11)-MAX($K291-기준정보!$C$6,기준정보!$C$10)+1),0)))</f>
        <v/>
      </c>
      <c r="M291" s="22">
        <f>IF($K291="","",$K291-기준정보!$C$6-$L291)</f>
        <v/>
      </c>
      <c r="N291" s="24">
        <f>IF($M291="","",$M291-기준정보!$C$4)</f>
        <v/>
      </c>
      <c r="O291" s="21" t="n"/>
      <c r="P291" s="21" t="n"/>
      <c r="Q291" s="21" t="n"/>
      <c r="R291" s="25" t="n"/>
      <c r="S291" s="20">
        <f>IF($H291="","",IF($H291="C","본사(소재팀)",IF($H291="완","생산처","확인 필요")))</f>
        <v/>
      </c>
      <c r="T291" s="20" t="inlineStr">
        <is>
          <t>파란</t>
        </is>
      </c>
      <c r="U291" s="20" t="inlineStr">
        <is>
          <t>중국</t>
        </is>
      </c>
      <c r="V291" s="20" t="n"/>
      <c r="W291" s="26" t="n"/>
      <c r="X291" s="26" t="n"/>
      <c r="Y291" s="22" t="n"/>
      <c r="Z291" s="27" t="n">
        <v>1500</v>
      </c>
      <c r="AA291" s="27" t="n">
        <v>67500000</v>
      </c>
      <c r="AB291" s="27" t="n">
        <v>282000000</v>
      </c>
      <c r="AC291" s="20" t="n"/>
      <c r="AD291" s="20">
        <f>IF($J291="","출고일 미정",IF($P291="X","작지 미발행",IF($P291="부분","작지 일부 미발행",IF(AND($R291&lt;&gt;"",$R291&gt;$M291),"소재입고 마감("&amp;TEXT($M291,"MM/DD")&amp;") 초과",IF($P291="","발행여부 확인 필요",IF($R291="","소재 입고일정 확인 필요","정상"))))))</f>
        <v/>
      </c>
      <c r="AE291" s="19">
        <f>IF($J291="","",IF(OR(LEFT($AD291,2)="작지",LEFT($AD291,4)="소재입고"),IF(LEFT($G291,1)="A","★ 납기위험(A코드)","◆ 지연주의"),IF($AD291="정상","✓ 정상","? 확인필요")))</f>
        <v/>
      </c>
      <c r="AF291" s="21" t="n"/>
      <c r="AG291" s="28" t="n"/>
    </row>
    <row r="292">
      <c r="A292" s="19" t="n">
        <v>288</v>
      </c>
      <c r="B292" s="20" t="inlineStr">
        <is>
          <t>문도혁</t>
        </is>
      </c>
      <c r="C292" s="20" t="inlineStr">
        <is>
          <t>서은미</t>
        </is>
      </c>
      <c r="D292" s="20" t="inlineStr">
        <is>
          <t>TVPNW27652</t>
        </is>
      </c>
      <c r="E292" s="20" t="inlineStr">
        <is>
          <t>여성 슬림핏 부츠컷 팬츠</t>
        </is>
      </c>
      <c r="F292" s="20" t="inlineStr">
        <is>
          <t>DML/DEB</t>
        </is>
      </c>
      <c r="G292" s="19">
        <f>IF($D292="","",IF(MID($D292,5,1)="A","A(가을)",IF(MID($D292,5,1)="W","W(겨울)",IF(MID($D292,5,1)="X","X(사계절)",MID($D292,5,1)))))</f>
        <v/>
      </c>
      <c r="H292" s="19" t="inlineStr">
        <is>
          <t>완</t>
        </is>
      </c>
      <c r="I292" s="21" t="inlineStr">
        <is>
          <t>9월3주</t>
        </is>
      </c>
      <c r="J292" s="22">
        <f>IF($I292="","",IFERROR(DATE(기준정보!$C$7,VALUE(LEFT($I292,FIND("월",$I292)-1)),1+7*(VALUE(SUBSTITUTE(MID($I292,FIND("월",$I292)+1,5),"주",""))-1)),""))</f>
        <v/>
      </c>
      <c r="K292" s="22">
        <f>IF($J292="","",IF(AND(ISNUMBER(SEARCH("미얀마",$U292)),$J292-기준정보!$C$5&gt;=기준정보!$C$8,$J292-기준정보!$C$5&lt;=기준정보!$C$9),기준정보!$C$8-1,IF(AND(ISNUMBER(SEARCH("인도네시아",$U292)),$J292-기준정보!$C$5&gt;=기준정보!$C$10,$J292-기준정보!$C$5&lt;=기준정보!$C$11),기준정보!$C$10-1,$J292-기준정보!$C$5)))</f>
        <v/>
      </c>
      <c r="L292" s="23">
        <f>IF($K292="","",IF(ISNUMBER(SEARCH("미얀마",$U292)),MAX(0,MIN($K292,기준정보!$C$9)-MAX($K292-기준정보!$C$6,기준정보!$C$8)+1),IF(ISNUMBER(SEARCH("인도네시아",$U292)),MAX(0,MIN($K292,기준정보!$C$11)-MAX($K292-기준정보!$C$6,기준정보!$C$10)+1),0)))</f>
        <v/>
      </c>
      <c r="M292" s="22">
        <f>IF($K292="","",$K292-기준정보!$C$6-$L292)</f>
        <v/>
      </c>
      <c r="N292" s="24">
        <f>IF($M292="","",$M292-기준정보!$C$4)</f>
        <v/>
      </c>
      <c r="O292" s="21" t="n"/>
      <c r="P292" s="21" t="n"/>
      <c r="Q292" s="21" t="n"/>
      <c r="R292" s="25" t="n"/>
      <c r="S292" s="20">
        <f>IF($H292="","",IF($H292="C","본사(소재팀)",IF($H292="완","생산처","확인 필요")))</f>
        <v/>
      </c>
      <c r="T292" s="20" t="inlineStr">
        <is>
          <t>디코드</t>
        </is>
      </c>
      <c r="U292" s="20" t="inlineStr">
        <is>
          <t>베트남</t>
        </is>
      </c>
      <c r="V292" s="20" t="n"/>
      <c r="W292" s="26" t="n"/>
      <c r="X292" s="26" t="n"/>
      <c r="Y292" s="22" t="n"/>
      <c r="Z292" s="27" t="n">
        <v>3000</v>
      </c>
      <c r="AA292" s="27" t="n">
        <v>123561000</v>
      </c>
      <c r="AB292" s="27" t="n">
        <v>660000000</v>
      </c>
      <c r="AC292" s="20" t="n"/>
      <c r="AD292" s="20">
        <f>IF($J292="","출고일 미정",IF($P292="X","작지 미발행",IF($P292="부분","작지 일부 미발행",IF(AND($R292&lt;&gt;"",$R292&gt;$M292),"소재입고 마감("&amp;TEXT($M292,"MM/DD")&amp;") 초과",IF($P292="","발행여부 확인 필요",IF($R292="","소재 입고일정 확인 필요","정상"))))))</f>
        <v/>
      </c>
      <c r="AE292" s="19">
        <f>IF($J292="","",IF(OR(LEFT($AD292,2)="작지",LEFT($AD292,4)="소재입고"),IF(LEFT($G292,1)="A","★ 납기위험(A코드)","◆ 지연주의"),IF($AD292="정상","✓ 정상","? 확인필요")))</f>
        <v/>
      </c>
      <c r="AF292" s="21" t="n"/>
      <c r="AG292" s="28" t="n"/>
    </row>
    <row r="293">
      <c r="A293" s="19" t="n">
        <v>289</v>
      </c>
      <c r="B293" s="20" t="inlineStr">
        <is>
          <t>정영준</t>
        </is>
      </c>
      <c r="C293" s="20" t="inlineStr">
        <is>
          <t>서은미</t>
        </is>
      </c>
      <c r="D293" s="20" t="inlineStr">
        <is>
          <t>TVSXW27602</t>
        </is>
      </c>
      <c r="E293" s="20" t="inlineStr">
        <is>
          <t>여성 우븐 기모 긴팔 셔츠</t>
        </is>
      </c>
      <c r="F293" s="20" t="inlineStr">
        <is>
          <t>CO1</t>
        </is>
      </c>
      <c r="G293" s="19">
        <f>IF($D293="","",IF(MID($D293,5,1)="A","A(가을)",IF(MID($D293,5,1)="W","W(겨울)",IF(MID($D293,5,1)="X","X(사계절)",MID($D293,5,1)))))</f>
        <v/>
      </c>
      <c r="H293" s="19" t="inlineStr">
        <is>
          <t>릴렉스</t>
        </is>
      </c>
      <c r="I293" s="21" t="inlineStr">
        <is>
          <t>9월3주</t>
        </is>
      </c>
      <c r="J293" s="22">
        <f>IF($I293="","",IFERROR(DATE(기준정보!$C$7,VALUE(LEFT($I293,FIND("월",$I293)-1)),1+7*(VALUE(SUBSTITUTE(MID($I293,FIND("월",$I293)+1,5),"주",""))-1)),""))</f>
        <v/>
      </c>
      <c r="K293" s="22">
        <f>IF($J293="","",IF(AND(ISNUMBER(SEARCH("미얀마",$U293)),$J293-기준정보!$C$5&gt;=기준정보!$C$8,$J293-기준정보!$C$5&lt;=기준정보!$C$9),기준정보!$C$8-1,IF(AND(ISNUMBER(SEARCH("인도네시아",$U293)),$J293-기준정보!$C$5&gt;=기준정보!$C$10,$J293-기준정보!$C$5&lt;=기준정보!$C$11),기준정보!$C$10-1,$J293-기준정보!$C$5)))</f>
        <v/>
      </c>
      <c r="L293" s="23">
        <f>IF($K293="","",IF(ISNUMBER(SEARCH("미얀마",$U293)),MAX(0,MIN($K293,기준정보!$C$9)-MAX($K293-기준정보!$C$6,기준정보!$C$8)+1),IF(ISNUMBER(SEARCH("인도네시아",$U293)),MAX(0,MIN($K293,기준정보!$C$11)-MAX($K293-기준정보!$C$6,기준정보!$C$10)+1),0)))</f>
        <v/>
      </c>
      <c r="M293" s="22">
        <f>IF($K293="","",$K293-기준정보!$C$6-$L293)</f>
        <v/>
      </c>
      <c r="N293" s="24">
        <f>IF($M293="","",$M293-기준정보!$C$4)</f>
        <v/>
      </c>
      <c r="O293" s="21" t="n"/>
      <c r="P293" s="21" t="n"/>
      <c r="Q293" s="21" t="n"/>
      <c r="R293" s="25" t="n"/>
      <c r="S293" s="20">
        <f>IF($H293="","",IF($H293="C","본사(소재팀)",IF($H293="완","생산처","확인 필요")))</f>
        <v/>
      </c>
      <c r="T293" s="20" t="inlineStr">
        <is>
          <t>성원</t>
        </is>
      </c>
      <c r="U293" s="20" t="inlineStr">
        <is>
          <t>베트남</t>
        </is>
      </c>
      <c r="V293" s="20" t="n"/>
      <c r="W293" s="26" t="n"/>
      <c r="X293" s="26" t="n"/>
      <c r="Y293" s="22" t="n"/>
      <c r="Z293" s="27" t="n">
        <v>1000</v>
      </c>
      <c r="AA293" s="27" t="n">
        <v>35000000</v>
      </c>
      <c r="AB293" s="27" t="n">
        <v>158000000</v>
      </c>
      <c r="AC293" s="20" t="n"/>
      <c r="AD293" s="20">
        <f>IF($J293="","출고일 미정",IF($P293="X","작지 미발행",IF($P293="부분","작지 일부 미발행",IF(AND($R293&lt;&gt;"",$R293&gt;$M293),"소재입고 마감("&amp;TEXT($M293,"MM/DD")&amp;") 초과",IF($P293="","발행여부 확인 필요",IF($R293="","소재 입고일정 확인 필요","정상"))))))</f>
        <v/>
      </c>
      <c r="AE293" s="19">
        <f>IF($J293="","",IF(OR(LEFT($AD293,2)="작지",LEFT($AD293,4)="소재입고"),IF(LEFT($G293,1)="A","★ 납기위험(A코드)","◆ 지연주의"),IF($AD293="정상","✓ 정상","? 확인필요")))</f>
        <v/>
      </c>
      <c r="AF293" s="21" t="n"/>
      <c r="AG293" s="28" t="n"/>
    </row>
    <row r="294">
      <c r="A294" s="19" t="n">
        <v>290</v>
      </c>
      <c r="B294" s="20" t="inlineStr">
        <is>
          <t>정영준</t>
        </is>
      </c>
      <c r="C294" s="20" t="inlineStr">
        <is>
          <t>서은미</t>
        </is>
      </c>
      <c r="D294" s="20" t="inlineStr">
        <is>
          <t>TVSXW27606</t>
        </is>
      </c>
      <c r="E294" s="20" t="inlineStr">
        <is>
          <t>여성 코듀로이 긴팔 셔츠</t>
        </is>
      </c>
      <c r="F294" s="20" t="inlineStr">
        <is>
          <t>CO1/CO2</t>
        </is>
      </c>
      <c r="G294" s="19">
        <f>IF($D294="","",IF(MID($D294,5,1)="A","A(가을)",IF(MID($D294,5,1)="W","W(겨울)",IF(MID($D294,5,1)="X","X(사계절)",MID($D294,5,1)))))</f>
        <v/>
      </c>
      <c r="H294" s="19" t="n"/>
      <c r="I294" s="21" t="inlineStr">
        <is>
          <t>9월3주</t>
        </is>
      </c>
      <c r="J294" s="22">
        <f>IF($I294="","",IFERROR(DATE(기준정보!$C$7,VALUE(LEFT($I294,FIND("월",$I294)-1)),1+7*(VALUE(SUBSTITUTE(MID($I294,FIND("월",$I294)+1,5),"주",""))-1)),""))</f>
        <v/>
      </c>
      <c r="K294" s="22">
        <f>IF($J294="","",IF(AND(ISNUMBER(SEARCH("미얀마",$U294)),$J294-기준정보!$C$5&gt;=기준정보!$C$8,$J294-기준정보!$C$5&lt;=기준정보!$C$9),기준정보!$C$8-1,IF(AND(ISNUMBER(SEARCH("인도네시아",$U294)),$J294-기준정보!$C$5&gt;=기준정보!$C$10,$J294-기준정보!$C$5&lt;=기준정보!$C$11),기준정보!$C$10-1,$J294-기준정보!$C$5)))</f>
        <v/>
      </c>
      <c r="L294" s="23">
        <f>IF($K294="","",IF(ISNUMBER(SEARCH("미얀마",$U294)),MAX(0,MIN($K294,기준정보!$C$9)-MAX($K294-기준정보!$C$6,기준정보!$C$8)+1),IF(ISNUMBER(SEARCH("인도네시아",$U294)),MAX(0,MIN($K294,기준정보!$C$11)-MAX($K294-기준정보!$C$6,기준정보!$C$10)+1),0)))</f>
        <v/>
      </c>
      <c r="M294" s="22">
        <f>IF($K294="","",$K294-기준정보!$C$6-$L294)</f>
        <v/>
      </c>
      <c r="N294" s="24">
        <f>IF($M294="","",$M294-기준정보!$C$4)</f>
        <v/>
      </c>
      <c r="O294" s="21" t="n"/>
      <c r="P294" s="21" t="n"/>
      <c r="Q294" s="21" t="n"/>
      <c r="R294" s="25" t="n"/>
      <c r="S294" s="20">
        <f>IF($H294="","",IF($H294="C","본사(소재팀)",IF($H294="완","생산처","확인 필요")))</f>
        <v/>
      </c>
      <c r="T294" s="20" t="inlineStr">
        <is>
          <t>성원</t>
        </is>
      </c>
      <c r="U294" s="20" t="inlineStr">
        <is>
          <t>베트남</t>
        </is>
      </c>
      <c r="V294" s="20" t="n"/>
      <c r="W294" s="26" t="n"/>
      <c r="X294" s="26" t="n"/>
      <c r="Y294" s="22" t="n"/>
      <c r="Z294" s="27" t="n">
        <v>2000</v>
      </c>
      <c r="AA294" s="27" t="n">
        <v>70000000</v>
      </c>
      <c r="AB294" s="27" t="n">
        <v>316000000</v>
      </c>
      <c r="AC294" s="20" t="n"/>
      <c r="AD294" s="20">
        <f>IF($J294="","출고일 미정",IF($P294="X","작지 미발행",IF($P294="부분","작지 일부 미발행",IF(AND($R294&lt;&gt;"",$R294&gt;$M294),"소재입고 마감("&amp;TEXT($M294,"MM/DD")&amp;") 초과",IF($P294="","발행여부 확인 필요",IF($R294="","소재 입고일정 확인 필요","정상"))))))</f>
        <v/>
      </c>
      <c r="AE294" s="19">
        <f>IF($J294="","",IF(OR(LEFT($AD294,2)="작지",LEFT($AD294,4)="소재입고"),IF(LEFT($G294,1)="A","★ 납기위험(A코드)","◆ 지연주의"),IF($AD294="정상","✓ 정상","? 확인필요")))</f>
        <v/>
      </c>
      <c r="AF294" s="21" t="n"/>
      <c r="AG294" s="28" t="n"/>
    </row>
    <row r="295">
      <c r="A295" s="19" t="n">
        <v>291</v>
      </c>
      <c r="B295" s="20" t="inlineStr">
        <is>
          <t>정영준</t>
        </is>
      </c>
      <c r="C295" s="20" t="inlineStr">
        <is>
          <t>서은미</t>
        </is>
      </c>
      <c r="D295" s="20" t="inlineStr">
        <is>
          <t>TVSXW27608</t>
        </is>
      </c>
      <c r="E295" s="20" t="inlineStr">
        <is>
          <t>여성 플란넬 체크 긴팔 셔츠</t>
        </is>
      </c>
      <c r="F295" s="20" t="inlineStr">
        <is>
          <t>CO1/CO2</t>
        </is>
      </c>
      <c r="G295" s="19">
        <f>IF($D295="","",IF(MID($D295,5,1)="A","A(가을)",IF(MID($D295,5,1)="W","W(겨울)",IF(MID($D295,5,1)="X","X(사계절)",MID($D295,5,1)))))</f>
        <v/>
      </c>
      <c r="H295" s="19" t="n"/>
      <c r="I295" s="21" t="inlineStr">
        <is>
          <t>9월3주</t>
        </is>
      </c>
      <c r="J295" s="22">
        <f>IF($I295="","",IFERROR(DATE(기준정보!$C$7,VALUE(LEFT($I295,FIND("월",$I295)-1)),1+7*(VALUE(SUBSTITUTE(MID($I295,FIND("월",$I295)+1,5),"주",""))-1)),""))</f>
        <v/>
      </c>
      <c r="K295" s="22">
        <f>IF($J295="","",IF(AND(ISNUMBER(SEARCH("미얀마",$U295)),$J295-기준정보!$C$5&gt;=기준정보!$C$8,$J295-기준정보!$C$5&lt;=기준정보!$C$9),기준정보!$C$8-1,IF(AND(ISNUMBER(SEARCH("인도네시아",$U295)),$J295-기준정보!$C$5&gt;=기준정보!$C$10,$J295-기준정보!$C$5&lt;=기준정보!$C$11),기준정보!$C$10-1,$J295-기준정보!$C$5)))</f>
        <v/>
      </c>
      <c r="L295" s="23">
        <f>IF($K295="","",IF(ISNUMBER(SEARCH("미얀마",$U295)),MAX(0,MIN($K295,기준정보!$C$9)-MAX($K295-기준정보!$C$6,기준정보!$C$8)+1),IF(ISNUMBER(SEARCH("인도네시아",$U295)),MAX(0,MIN($K295,기준정보!$C$11)-MAX($K295-기준정보!$C$6,기준정보!$C$10)+1),0)))</f>
        <v/>
      </c>
      <c r="M295" s="22">
        <f>IF($K295="","",$K295-기준정보!$C$6-$L295)</f>
        <v/>
      </c>
      <c r="N295" s="24">
        <f>IF($M295="","",$M295-기준정보!$C$4)</f>
        <v/>
      </c>
      <c r="O295" s="21" t="n"/>
      <c r="P295" s="21" t="n"/>
      <c r="Q295" s="21" t="n"/>
      <c r="R295" s="25" t="n"/>
      <c r="S295" s="20">
        <f>IF($H295="","",IF($H295="C","본사(소재팀)",IF($H295="완","생산처","확인 필요")))</f>
        <v/>
      </c>
      <c r="T295" s="20" t="inlineStr">
        <is>
          <t>픽스쳐</t>
        </is>
      </c>
      <c r="U295" s="20" t="inlineStr">
        <is>
          <t>베트남</t>
        </is>
      </c>
      <c r="V295" s="20" t="n"/>
      <c r="W295" s="26" t="n"/>
      <c r="X295" s="26" t="n"/>
      <c r="Y295" s="22" t="n"/>
      <c r="Z295" s="27" t="n">
        <v>2000</v>
      </c>
      <c r="AA295" s="27" t="n">
        <v>60000000</v>
      </c>
      <c r="AB295" s="27" t="n">
        <v>376000000</v>
      </c>
      <c r="AC295" s="20" t="n"/>
      <c r="AD295" s="20">
        <f>IF($J295="","출고일 미정",IF($P295="X","작지 미발행",IF($P295="부분","작지 일부 미발행",IF(AND($R295&lt;&gt;"",$R295&gt;$M295),"소재입고 마감("&amp;TEXT($M295,"MM/DD")&amp;") 초과",IF($P295="","발행여부 확인 필요",IF($R295="","소재 입고일정 확인 필요","정상"))))))</f>
        <v/>
      </c>
      <c r="AE295" s="19">
        <f>IF($J295="","",IF(OR(LEFT($AD295,2)="작지",LEFT($AD295,4)="소재입고"),IF(LEFT($G295,1)="A","★ 납기위험(A코드)","◆ 지연주의"),IF($AD295="정상","✓ 정상","? 확인필요")))</f>
        <v/>
      </c>
      <c r="AF295" s="21" t="n"/>
      <c r="AG295" s="28" t="n"/>
    </row>
    <row r="296">
      <c r="A296" s="19" t="n">
        <v>292</v>
      </c>
      <c r="B296" s="20" t="inlineStr">
        <is>
          <t>정영준</t>
        </is>
      </c>
      <c r="C296" s="20" t="inlineStr">
        <is>
          <t>서은미</t>
        </is>
      </c>
      <c r="D296" s="20" t="inlineStr">
        <is>
          <t>TVTBW27602</t>
        </is>
      </c>
      <c r="E296" s="20" t="inlineStr">
        <is>
          <t>여성 베이직 긴팔 터틀넥 티셔츠</t>
        </is>
      </c>
      <c r="F296" s="20" t="inlineStr">
        <is>
          <t>CO1/CO2/CO3</t>
        </is>
      </c>
      <c r="G296" s="19">
        <f>IF($D296="","",IF(MID($D296,5,1)="A","A(가을)",IF(MID($D296,5,1)="W","W(겨울)",IF(MID($D296,5,1)="X","X(사계절)",MID($D296,5,1)))))</f>
        <v/>
      </c>
      <c r="H296" s="19" t="inlineStr">
        <is>
          <t>슬림</t>
        </is>
      </c>
      <c r="I296" s="21" t="inlineStr">
        <is>
          <t>9월3주</t>
        </is>
      </c>
      <c r="J296" s="22">
        <f>IF($I296="","",IFERROR(DATE(기준정보!$C$7,VALUE(LEFT($I296,FIND("월",$I296)-1)),1+7*(VALUE(SUBSTITUTE(MID($I296,FIND("월",$I296)+1,5),"주",""))-1)),""))</f>
        <v/>
      </c>
      <c r="K296" s="22">
        <f>IF($J296="","",IF(AND(ISNUMBER(SEARCH("미얀마",$U296)),$J296-기준정보!$C$5&gt;=기준정보!$C$8,$J296-기준정보!$C$5&lt;=기준정보!$C$9),기준정보!$C$8-1,IF(AND(ISNUMBER(SEARCH("인도네시아",$U296)),$J296-기준정보!$C$5&gt;=기준정보!$C$10,$J296-기준정보!$C$5&lt;=기준정보!$C$11),기준정보!$C$10-1,$J296-기준정보!$C$5)))</f>
        <v/>
      </c>
      <c r="L296" s="23">
        <f>IF($K296="","",IF(ISNUMBER(SEARCH("미얀마",$U296)),MAX(0,MIN($K296,기준정보!$C$9)-MAX($K296-기준정보!$C$6,기준정보!$C$8)+1),IF(ISNUMBER(SEARCH("인도네시아",$U296)),MAX(0,MIN($K296,기준정보!$C$11)-MAX($K296-기준정보!$C$6,기준정보!$C$10)+1),0)))</f>
        <v/>
      </c>
      <c r="M296" s="22">
        <f>IF($K296="","",$K296-기준정보!$C$6-$L296)</f>
        <v/>
      </c>
      <c r="N296" s="24">
        <f>IF($M296="","",$M296-기준정보!$C$4)</f>
        <v/>
      </c>
      <c r="O296" s="21" t="n"/>
      <c r="P296" s="21" t="n"/>
      <c r="Q296" s="21" t="n"/>
      <c r="R296" s="25" t="n"/>
      <c r="S296" s="20">
        <f>IF($H296="","",IF($H296="C","본사(소재팀)",IF($H296="완","생산처","확인 필요")))</f>
        <v/>
      </c>
      <c r="T296" s="20" t="inlineStr">
        <is>
          <t>IKG</t>
        </is>
      </c>
      <c r="U296" s="20" t="inlineStr">
        <is>
          <t>인도네시아</t>
        </is>
      </c>
      <c r="V296" s="20" t="n"/>
      <c r="W296" s="26" t="n"/>
      <c r="X296" s="26" t="n"/>
      <c r="Y296" s="22" t="n"/>
      <c r="Z296" s="27" t="n">
        <v>7000</v>
      </c>
      <c r="AA296" s="27" t="n">
        <v>112000000</v>
      </c>
      <c r="AB296" s="27" t="n">
        <v>686000000</v>
      </c>
      <c r="AC296" s="20" t="n"/>
      <c r="AD296" s="20">
        <f>IF($J296="","출고일 미정",IF($P296="X","작지 미발행",IF($P296="부분","작지 일부 미발행",IF(AND($R296&lt;&gt;"",$R296&gt;$M296),"소재입고 마감("&amp;TEXT($M296,"MM/DD")&amp;") 초과",IF($P296="","발행여부 확인 필요",IF($R296="","소재 입고일정 확인 필요","정상"))))))</f>
        <v/>
      </c>
      <c r="AE296" s="19">
        <f>IF($J296="","",IF(OR(LEFT($AD296,2)="작지",LEFT($AD296,4)="소재입고"),IF(LEFT($G296,1)="A","★ 납기위험(A코드)","◆ 지연주의"),IF($AD296="정상","✓ 정상","? 확인필요")))</f>
        <v/>
      </c>
      <c r="AF296" s="21" t="n"/>
      <c r="AG296" s="28" t="n"/>
    </row>
    <row r="297">
      <c r="A297" s="19" t="n">
        <v>293</v>
      </c>
      <c r="B297" s="20" t="inlineStr">
        <is>
          <t>정영준</t>
        </is>
      </c>
      <c r="C297" s="20" t="inlineStr">
        <is>
          <t>서은미</t>
        </is>
      </c>
      <c r="D297" s="20" t="inlineStr">
        <is>
          <t>TVTBW27604</t>
        </is>
      </c>
      <c r="E297" s="20" t="inlineStr">
        <is>
          <t>여성 와플 긴팔 터틀넥 티셔츠</t>
        </is>
      </c>
      <c r="F297" s="20" t="inlineStr">
        <is>
          <t>CO1/CO2</t>
        </is>
      </c>
      <c r="G297" s="19">
        <f>IF($D297="","",IF(MID($D297,5,1)="A","A(가을)",IF(MID($D297,5,1)="W","W(겨울)",IF(MID($D297,5,1)="X","X(사계절)",MID($D297,5,1)))))</f>
        <v/>
      </c>
      <c r="H297" s="19" t="inlineStr">
        <is>
          <t>릴렉스</t>
        </is>
      </c>
      <c r="I297" s="21" t="inlineStr">
        <is>
          <t>9월3주</t>
        </is>
      </c>
      <c r="J297" s="22">
        <f>IF($I297="","",IFERROR(DATE(기준정보!$C$7,VALUE(LEFT($I297,FIND("월",$I297)-1)),1+7*(VALUE(SUBSTITUTE(MID($I297,FIND("월",$I297)+1,5),"주",""))-1)),""))</f>
        <v/>
      </c>
      <c r="K297" s="22">
        <f>IF($J297="","",IF(AND(ISNUMBER(SEARCH("미얀마",$U297)),$J297-기준정보!$C$5&gt;=기준정보!$C$8,$J297-기준정보!$C$5&lt;=기준정보!$C$9),기준정보!$C$8-1,IF(AND(ISNUMBER(SEARCH("인도네시아",$U297)),$J297-기준정보!$C$5&gt;=기준정보!$C$10,$J297-기준정보!$C$5&lt;=기준정보!$C$11),기준정보!$C$10-1,$J297-기준정보!$C$5)))</f>
        <v/>
      </c>
      <c r="L297" s="23">
        <f>IF($K297="","",IF(ISNUMBER(SEARCH("미얀마",$U297)),MAX(0,MIN($K297,기준정보!$C$9)-MAX($K297-기준정보!$C$6,기준정보!$C$8)+1),IF(ISNUMBER(SEARCH("인도네시아",$U297)),MAX(0,MIN($K297,기준정보!$C$11)-MAX($K297-기준정보!$C$6,기준정보!$C$10)+1),0)))</f>
        <v/>
      </c>
      <c r="M297" s="22">
        <f>IF($K297="","",$K297-기준정보!$C$6-$L297)</f>
        <v/>
      </c>
      <c r="N297" s="24">
        <f>IF($M297="","",$M297-기준정보!$C$4)</f>
        <v/>
      </c>
      <c r="O297" s="21" t="n"/>
      <c r="P297" s="21" t="n"/>
      <c r="Q297" s="21" t="n"/>
      <c r="R297" s="25" t="n"/>
      <c r="S297" s="20">
        <f>IF($H297="","",IF($H297="C","본사(소재팀)",IF($H297="완","생산처","확인 필요")))</f>
        <v/>
      </c>
      <c r="T297" s="20" t="inlineStr">
        <is>
          <t>IKG</t>
        </is>
      </c>
      <c r="U297" s="20" t="inlineStr">
        <is>
          <t>인도네시아</t>
        </is>
      </c>
      <c r="V297" s="20" t="n"/>
      <c r="W297" s="26" t="n"/>
      <c r="X297" s="26" t="n"/>
      <c r="Y297" s="22" t="n"/>
      <c r="Z297" s="27" t="n">
        <v>1500</v>
      </c>
      <c r="AA297" s="27" t="n">
        <v>45000000</v>
      </c>
      <c r="AB297" s="27" t="n">
        <v>192000000</v>
      </c>
      <c r="AC297" s="20" t="n"/>
      <c r="AD297" s="20">
        <f>IF($J297="","출고일 미정",IF($P297="X","작지 미발행",IF($P297="부분","작지 일부 미발행",IF(AND($R297&lt;&gt;"",$R297&gt;$M297),"소재입고 마감("&amp;TEXT($M297,"MM/DD")&amp;") 초과",IF($P297="","발행여부 확인 필요",IF($R297="","소재 입고일정 확인 필요","정상"))))))</f>
        <v/>
      </c>
      <c r="AE297" s="19">
        <f>IF($J297="","",IF(OR(LEFT($AD297,2)="작지",LEFT($AD297,4)="소재입고"),IF(LEFT($G297,1)="A","★ 납기위험(A코드)","◆ 지연주의"),IF($AD297="정상","✓ 정상","? 확인필요")))</f>
        <v/>
      </c>
      <c r="AF297" s="21" t="n"/>
      <c r="AG297" s="28" t="n"/>
    </row>
    <row r="298">
      <c r="A298" s="19" t="n">
        <v>294</v>
      </c>
      <c r="B298" s="20" t="inlineStr">
        <is>
          <t>정영준</t>
        </is>
      </c>
      <c r="C298" s="20" t="inlineStr">
        <is>
          <t>서은미</t>
        </is>
      </c>
      <c r="D298" s="20" t="inlineStr">
        <is>
          <t>TVTBW27606</t>
        </is>
      </c>
      <c r="E298" s="20" t="inlineStr">
        <is>
          <t>여성 니트페이스 긴팔 폴로</t>
        </is>
      </c>
      <c r="F298" s="20" t="inlineStr">
        <is>
          <t>CO1/CO2</t>
        </is>
      </c>
      <c r="G298" s="19">
        <f>IF($D298="","",IF(MID($D298,5,1)="A","A(가을)",IF(MID($D298,5,1)="W","W(겨울)",IF(MID($D298,5,1)="X","X(사계절)",MID($D298,5,1)))))</f>
        <v/>
      </c>
      <c r="H298" s="19" t="inlineStr">
        <is>
          <t>슬림</t>
        </is>
      </c>
      <c r="I298" s="21" t="inlineStr">
        <is>
          <t>9월3주</t>
        </is>
      </c>
      <c r="J298" s="22">
        <f>IF($I298="","",IFERROR(DATE(기준정보!$C$7,VALUE(LEFT($I298,FIND("월",$I298)-1)),1+7*(VALUE(SUBSTITUTE(MID($I298,FIND("월",$I298)+1,5),"주",""))-1)),""))</f>
        <v/>
      </c>
      <c r="K298" s="22">
        <f>IF($J298="","",IF(AND(ISNUMBER(SEARCH("미얀마",$U298)),$J298-기준정보!$C$5&gt;=기준정보!$C$8,$J298-기준정보!$C$5&lt;=기준정보!$C$9),기준정보!$C$8-1,IF(AND(ISNUMBER(SEARCH("인도네시아",$U298)),$J298-기준정보!$C$5&gt;=기준정보!$C$10,$J298-기준정보!$C$5&lt;=기준정보!$C$11),기준정보!$C$10-1,$J298-기준정보!$C$5)))</f>
        <v/>
      </c>
      <c r="L298" s="23">
        <f>IF($K298="","",IF(ISNUMBER(SEARCH("미얀마",$U298)),MAX(0,MIN($K298,기준정보!$C$9)-MAX($K298-기준정보!$C$6,기준정보!$C$8)+1),IF(ISNUMBER(SEARCH("인도네시아",$U298)),MAX(0,MIN($K298,기준정보!$C$11)-MAX($K298-기준정보!$C$6,기준정보!$C$10)+1),0)))</f>
        <v/>
      </c>
      <c r="M298" s="22">
        <f>IF($K298="","",$K298-기준정보!$C$6-$L298)</f>
        <v/>
      </c>
      <c r="N298" s="24">
        <f>IF($M298="","",$M298-기준정보!$C$4)</f>
        <v/>
      </c>
      <c r="O298" s="21" t="n"/>
      <c r="P298" s="21" t="n"/>
      <c r="Q298" s="21" t="n"/>
      <c r="R298" s="25" t="n"/>
      <c r="S298" s="20">
        <f>IF($H298="","",IF($H298="C","본사(소재팀)",IF($H298="완","생산처","확인 필요")))</f>
        <v/>
      </c>
      <c r="T298" s="20" t="inlineStr">
        <is>
          <t>장안</t>
        </is>
      </c>
      <c r="U298" s="20" t="inlineStr">
        <is>
          <t>베트남</t>
        </is>
      </c>
      <c r="V298" s="20" t="n"/>
      <c r="W298" s="26" t="n"/>
      <c r="X298" s="26" t="n"/>
      <c r="Y298" s="22" t="n"/>
      <c r="Z298" s="27" t="n">
        <v>4000</v>
      </c>
      <c r="AA298" s="27" t="n">
        <v>80000000</v>
      </c>
      <c r="AB298" s="27" t="n">
        <v>472000000</v>
      </c>
      <c r="AC298" s="20" t="n"/>
      <c r="AD298" s="20">
        <f>IF($J298="","출고일 미정",IF($P298="X","작지 미발행",IF($P298="부분","작지 일부 미발행",IF(AND($R298&lt;&gt;"",$R298&gt;$M298),"소재입고 마감("&amp;TEXT($M298,"MM/DD")&amp;") 초과",IF($P298="","발행여부 확인 필요",IF($R298="","소재 입고일정 확인 필요","정상"))))))</f>
        <v/>
      </c>
      <c r="AE298" s="19">
        <f>IF($J298="","",IF(OR(LEFT($AD298,2)="작지",LEFT($AD298,4)="소재입고"),IF(LEFT($G298,1)="A","★ 납기위험(A코드)","◆ 지연주의"),IF($AD298="정상","✓ 정상","? 확인필요")))</f>
        <v/>
      </c>
      <c r="AF298" s="21" t="n"/>
      <c r="AG298" s="28" t="n"/>
    </row>
    <row r="299">
      <c r="A299" s="19" t="n">
        <v>295</v>
      </c>
      <c r="B299" s="20" t="inlineStr">
        <is>
          <t>정영준</t>
        </is>
      </c>
      <c r="C299" s="20" t="inlineStr">
        <is>
          <t>서은미</t>
        </is>
      </c>
      <c r="D299" s="20" t="inlineStr">
        <is>
          <t>TVTBW27608</t>
        </is>
      </c>
      <c r="E299" s="20" t="inlineStr">
        <is>
          <t>여성 베이직 긴팔 폴로</t>
        </is>
      </c>
      <c r="F299" s="20" t="inlineStr">
        <is>
          <t>CO1/CO2</t>
        </is>
      </c>
      <c r="G299" s="19">
        <f>IF($D299="","",IF(MID($D299,5,1)="A","A(가을)",IF(MID($D299,5,1)="W","W(겨울)",IF(MID($D299,5,1)="X","X(사계절)",MID($D299,5,1)))))</f>
        <v/>
      </c>
      <c r="H299" s="19" t="inlineStr">
        <is>
          <t>슬림</t>
        </is>
      </c>
      <c r="I299" s="21" t="inlineStr">
        <is>
          <t>9월3주</t>
        </is>
      </c>
      <c r="J299" s="22">
        <f>IF($I299="","",IFERROR(DATE(기준정보!$C$7,VALUE(LEFT($I299,FIND("월",$I299)-1)),1+7*(VALUE(SUBSTITUTE(MID($I299,FIND("월",$I299)+1,5),"주",""))-1)),""))</f>
        <v/>
      </c>
      <c r="K299" s="22">
        <f>IF($J299="","",IF(AND(ISNUMBER(SEARCH("미얀마",$U299)),$J299-기준정보!$C$5&gt;=기준정보!$C$8,$J299-기준정보!$C$5&lt;=기준정보!$C$9),기준정보!$C$8-1,IF(AND(ISNUMBER(SEARCH("인도네시아",$U299)),$J299-기준정보!$C$5&gt;=기준정보!$C$10,$J299-기준정보!$C$5&lt;=기준정보!$C$11),기준정보!$C$10-1,$J299-기준정보!$C$5)))</f>
        <v/>
      </c>
      <c r="L299" s="23">
        <f>IF($K299="","",IF(ISNUMBER(SEARCH("미얀마",$U299)),MAX(0,MIN($K299,기준정보!$C$9)-MAX($K299-기준정보!$C$6,기준정보!$C$8)+1),IF(ISNUMBER(SEARCH("인도네시아",$U299)),MAX(0,MIN($K299,기준정보!$C$11)-MAX($K299-기준정보!$C$6,기준정보!$C$10)+1),0)))</f>
        <v/>
      </c>
      <c r="M299" s="22">
        <f>IF($K299="","",$K299-기준정보!$C$6-$L299)</f>
        <v/>
      </c>
      <c r="N299" s="24">
        <f>IF($M299="","",$M299-기준정보!$C$4)</f>
        <v/>
      </c>
      <c r="O299" s="21" t="n"/>
      <c r="P299" s="21" t="n"/>
      <c r="Q299" s="21" t="n"/>
      <c r="R299" s="25" t="n"/>
      <c r="S299" s="20">
        <f>IF($H299="","",IF($H299="C","본사(소재팀)",IF($H299="완","생산처","확인 필요")))</f>
        <v/>
      </c>
      <c r="T299" s="20" t="inlineStr">
        <is>
          <t>IKG</t>
        </is>
      </c>
      <c r="U299" s="20" t="inlineStr">
        <is>
          <t>인도네시아</t>
        </is>
      </c>
      <c r="V299" s="20" t="n"/>
      <c r="W299" s="26" t="n"/>
      <c r="X299" s="26" t="n"/>
      <c r="Y299" s="22" t="n"/>
      <c r="Z299" s="27" t="n">
        <v>3500</v>
      </c>
      <c r="AA299" s="27" t="n">
        <v>70000000</v>
      </c>
      <c r="AB299" s="27" t="n">
        <v>413000000</v>
      </c>
      <c r="AC299" s="20" t="n"/>
      <c r="AD299" s="20">
        <f>IF($J299="","출고일 미정",IF($P299="X","작지 미발행",IF($P299="부분","작지 일부 미발행",IF(AND($R299&lt;&gt;"",$R299&gt;$M299),"소재입고 마감("&amp;TEXT($M299,"MM/DD")&amp;") 초과",IF($P299="","발행여부 확인 필요",IF($R299="","소재 입고일정 확인 필요","정상"))))))</f>
        <v/>
      </c>
      <c r="AE299" s="19">
        <f>IF($J299="","",IF(OR(LEFT($AD299,2)="작지",LEFT($AD299,4)="소재입고"),IF(LEFT($G299,1)="A","★ 납기위험(A코드)","◆ 지연주의"),IF($AD299="정상","✓ 정상","? 확인필요")))</f>
        <v/>
      </c>
      <c r="AF299" s="21" t="n"/>
      <c r="AG299" s="28" t="n"/>
    </row>
    <row r="300">
      <c r="A300" s="19" t="n">
        <v>296</v>
      </c>
      <c r="B300" s="20" t="inlineStr">
        <is>
          <t>정영준</t>
        </is>
      </c>
      <c r="C300" s="20" t="inlineStr">
        <is>
          <t>서은미</t>
        </is>
      </c>
      <c r="D300" s="20" t="inlineStr">
        <is>
          <t>TVTBW27614</t>
        </is>
      </c>
      <c r="E300" s="20" t="inlineStr">
        <is>
          <t>여성 폴라텍 100 긴팔 후드티</t>
        </is>
      </c>
      <c r="F300" s="20" t="inlineStr">
        <is>
          <t>CO1/CO2</t>
        </is>
      </c>
      <c r="G300" s="19">
        <f>IF($D300="","",IF(MID($D300,5,1)="A","A(가을)",IF(MID($D300,5,1)="W","W(겨울)",IF(MID($D300,5,1)="X","X(사계절)",MID($D300,5,1)))))</f>
        <v/>
      </c>
      <c r="H300" s="19" t="inlineStr">
        <is>
          <t>릴렉스</t>
        </is>
      </c>
      <c r="I300" s="21" t="inlineStr">
        <is>
          <t>9월3주</t>
        </is>
      </c>
      <c r="J300" s="22">
        <f>IF($I300="","",IFERROR(DATE(기준정보!$C$7,VALUE(LEFT($I300,FIND("월",$I300)-1)),1+7*(VALUE(SUBSTITUTE(MID($I300,FIND("월",$I300)+1,5),"주",""))-1)),""))</f>
        <v/>
      </c>
      <c r="K300" s="22">
        <f>IF($J300="","",IF(AND(ISNUMBER(SEARCH("미얀마",$U300)),$J300-기준정보!$C$5&gt;=기준정보!$C$8,$J300-기준정보!$C$5&lt;=기준정보!$C$9),기준정보!$C$8-1,IF(AND(ISNUMBER(SEARCH("인도네시아",$U300)),$J300-기준정보!$C$5&gt;=기준정보!$C$10,$J300-기준정보!$C$5&lt;=기준정보!$C$11),기준정보!$C$10-1,$J300-기준정보!$C$5)))</f>
        <v/>
      </c>
      <c r="L300" s="23">
        <f>IF($K300="","",IF(ISNUMBER(SEARCH("미얀마",$U300)),MAX(0,MIN($K300,기준정보!$C$9)-MAX($K300-기준정보!$C$6,기준정보!$C$8)+1),IF(ISNUMBER(SEARCH("인도네시아",$U300)),MAX(0,MIN($K300,기준정보!$C$11)-MAX($K300-기준정보!$C$6,기준정보!$C$10)+1),0)))</f>
        <v/>
      </c>
      <c r="M300" s="22">
        <f>IF($K300="","",$K300-기준정보!$C$6-$L300)</f>
        <v/>
      </c>
      <c r="N300" s="24">
        <f>IF($M300="","",$M300-기준정보!$C$4)</f>
        <v/>
      </c>
      <c r="O300" s="21" t="n"/>
      <c r="P300" s="21" t="n"/>
      <c r="Q300" s="21" t="n"/>
      <c r="R300" s="25" t="n"/>
      <c r="S300" s="20">
        <f>IF($H300="","",IF($H300="C","본사(소재팀)",IF($H300="완","생산처","확인 필요")))</f>
        <v/>
      </c>
      <c r="T300" s="20" t="inlineStr">
        <is>
          <t>IKG</t>
        </is>
      </c>
      <c r="U300" s="20" t="inlineStr">
        <is>
          <t>베트남</t>
        </is>
      </c>
      <c r="V300" s="20" t="n"/>
      <c r="W300" s="26" t="n"/>
      <c r="X300" s="26" t="n"/>
      <c r="Y300" s="22" t="n"/>
      <c r="Z300" s="27" t="n">
        <v>2000</v>
      </c>
      <c r="AA300" s="27" t="n">
        <v>68000000</v>
      </c>
      <c r="AB300" s="27" t="n">
        <v>376000000</v>
      </c>
      <c r="AC300" s="20" t="n"/>
      <c r="AD300" s="20">
        <f>IF($J300="","출고일 미정",IF($P300="X","작지 미발행",IF($P300="부분","작지 일부 미발행",IF(AND($R300&lt;&gt;"",$R300&gt;$M300),"소재입고 마감("&amp;TEXT($M300,"MM/DD")&amp;") 초과",IF($P300="","발행여부 확인 필요",IF($R300="","소재 입고일정 확인 필요","정상"))))))</f>
        <v/>
      </c>
      <c r="AE300" s="19">
        <f>IF($J300="","",IF(OR(LEFT($AD300,2)="작지",LEFT($AD300,4)="소재입고"),IF(LEFT($G300,1)="A","★ 납기위험(A코드)","◆ 지연주의"),IF($AD300="정상","✓ 정상","? 확인필요")))</f>
        <v/>
      </c>
      <c r="AF300" s="21" t="n"/>
      <c r="AG300" s="28" t="n"/>
    </row>
    <row r="301">
      <c r="A301" s="19" t="n">
        <v>297</v>
      </c>
      <c r="B301" s="20" t="inlineStr">
        <is>
          <t>정영준</t>
        </is>
      </c>
      <c r="C301" s="20" t="inlineStr">
        <is>
          <t>서은미</t>
        </is>
      </c>
      <c r="D301" s="20" t="inlineStr">
        <is>
          <t>TVTBW27616</t>
        </is>
      </c>
      <c r="E301" s="20" t="inlineStr">
        <is>
          <t>여성 스트라이프 긴팔 폴로</t>
        </is>
      </c>
      <c r="F301" s="20" t="inlineStr">
        <is>
          <t>CO1/CO2</t>
        </is>
      </c>
      <c r="G301" s="19">
        <f>IF($D301="","",IF(MID($D301,5,1)="A","A(가을)",IF(MID($D301,5,1)="W","W(겨울)",IF(MID($D301,5,1)="X","X(사계절)",MID($D301,5,1)))))</f>
        <v/>
      </c>
      <c r="H301" s="19" t="inlineStr">
        <is>
          <t>슬림</t>
        </is>
      </c>
      <c r="I301" s="21" t="inlineStr">
        <is>
          <t>9월3주</t>
        </is>
      </c>
      <c r="J301" s="22">
        <f>IF($I301="","",IFERROR(DATE(기준정보!$C$7,VALUE(LEFT($I301,FIND("월",$I301)-1)),1+7*(VALUE(SUBSTITUTE(MID($I301,FIND("월",$I301)+1,5),"주",""))-1)),""))</f>
        <v/>
      </c>
      <c r="K301" s="22">
        <f>IF($J301="","",IF(AND(ISNUMBER(SEARCH("미얀마",$U301)),$J301-기준정보!$C$5&gt;=기준정보!$C$8,$J301-기준정보!$C$5&lt;=기준정보!$C$9),기준정보!$C$8-1,IF(AND(ISNUMBER(SEARCH("인도네시아",$U301)),$J301-기준정보!$C$5&gt;=기준정보!$C$10,$J301-기준정보!$C$5&lt;=기준정보!$C$11),기준정보!$C$10-1,$J301-기준정보!$C$5)))</f>
        <v/>
      </c>
      <c r="L301" s="23">
        <f>IF($K301="","",IF(ISNUMBER(SEARCH("미얀마",$U301)),MAX(0,MIN($K301,기준정보!$C$9)-MAX($K301-기준정보!$C$6,기준정보!$C$8)+1),IF(ISNUMBER(SEARCH("인도네시아",$U301)),MAX(0,MIN($K301,기준정보!$C$11)-MAX($K301-기준정보!$C$6,기준정보!$C$10)+1),0)))</f>
        <v/>
      </c>
      <c r="M301" s="22">
        <f>IF($K301="","",$K301-기준정보!$C$6-$L301)</f>
        <v/>
      </c>
      <c r="N301" s="24">
        <f>IF($M301="","",$M301-기준정보!$C$4)</f>
        <v/>
      </c>
      <c r="O301" s="21" t="n"/>
      <c r="P301" s="21" t="n"/>
      <c r="Q301" s="21" t="n"/>
      <c r="R301" s="25" t="n"/>
      <c r="S301" s="20">
        <f>IF($H301="","",IF($H301="C","본사(소재팀)",IF($H301="완","생산처","확인 필요")))</f>
        <v/>
      </c>
      <c r="T301" s="20" t="inlineStr">
        <is>
          <t>장안</t>
        </is>
      </c>
      <c r="U301" s="20" t="inlineStr">
        <is>
          <t>베트남</t>
        </is>
      </c>
      <c r="V301" s="20" t="n"/>
      <c r="W301" s="26" t="n"/>
      <c r="X301" s="26" t="n"/>
      <c r="Y301" s="22" t="n"/>
      <c r="Z301" s="27" t="n">
        <v>2500</v>
      </c>
      <c r="AA301" s="27" t="n">
        <v>57500000</v>
      </c>
      <c r="AB301" s="27" t="n">
        <v>345000000</v>
      </c>
      <c r="AC301" s="20" t="n"/>
      <c r="AD301" s="20">
        <f>IF($J301="","출고일 미정",IF($P301="X","작지 미발행",IF($P301="부분","작지 일부 미발행",IF(AND($R301&lt;&gt;"",$R301&gt;$M301),"소재입고 마감("&amp;TEXT($M301,"MM/DD")&amp;") 초과",IF($P301="","발행여부 확인 필요",IF($R301="","소재 입고일정 확인 필요","정상"))))))</f>
        <v/>
      </c>
      <c r="AE301" s="19">
        <f>IF($J301="","",IF(OR(LEFT($AD301,2)="작지",LEFT($AD301,4)="소재입고"),IF(LEFT($G301,1)="A","★ 납기위험(A코드)","◆ 지연주의"),IF($AD301="정상","✓ 정상","? 확인필요")))</f>
        <v/>
      </c>
      <c r="AF301" s="21" t="n"/>
      <c r="AG301" s="28" t="n"/>
    </row>
    <row r="302">
      <c r="A302" s="19" t="n">
        <v>298</v>
      </c>
      <c r="B302" s="20" t="inlineStr">
        <is>
          <t>정영준</t>
        </is>
      </c>
      <c r="C302" s="20" t="inlineStr">
        <is>
          <t>서은미</t>
        </is>
      </c>
      <c r="D302" s="20" t="inlineStr">
        <is>
          <t>TVTBW27618</t>
        </is>
      </c>
      <c r="E302" s="20" t="inlineStr">
        <is>
          <t>여성 퀼팅 긴팔 맨투맨</t>
        </is>
      </c>
      <c r="F302" s="20" t="inlineStr">
        <is>
          <t>CO1/CO2</t>
        </is>
      </c>
      <c r="G302" s="19">
        <f>IF($D302="","",IF(MID($D302,5,1)="A","A(가을)",IF(MID($D302,5,1)="W","W(겨울)",IF(MID($D302,5,1)="X","X(사계절)",MID($D302,5,1)))))</f>
        <v/>
      </c>
      <c r="H302" s="19" t="inlineStr">
        <is>
          <t>릴렉스</t>
        </is>
      </c>
      <c r="I302" s="21" t="inlineStr">
        <is>
          <t>9월3주</t>
        </is>
      </c>
      <c r="J302" s="22">
        <f>IF($I302="","",IFERROR(DATE(기준정보!$C$7,VALUE(LEFT($I302,FIND("월",$I302)-1)),1+7*(VALUE(SUBSTITUTE(MID($I302,FIND("월",$I302)+1,5),"주",""))-1)),""))</f>
        <v/>
      </c>
      <c r="K302" s="22">
        <f>IF($J302="","",IF(AND(ISNUMBER(SEARCH("미얀마",$U302)),$J302-기준정보!$C$5&gt;=기준정보!$C$8,$J302-기준정보!$C$5&lt;=기준정보!$C$9),기준정보!$C$8-1,IF(AND(ISNUMBER(SEARCH("인도네시아",$U302)),$J302-기준정보!$C$5&gt;=기준정보!$C$10,$J302-기준정보!$C$5&lt;=기준정보!$C$11),기준정보!$C$10-1,$J302-기준정보!$C$5)))</f>
        <v/>
      </c>
      <c r="L302" s="23">
        <f>IF($K302="","",IF(ISNUMBER(SEARCH("미얀마",$U302)),MAX(0,MIN($K302,기준정보!$C$9)-MAX($K302-기준정보!$C$6,기준정보!$C$8)+1),IF(ISNUMBER(SEARCH("인도네시아",$U302)),MAX(0,MIN($K302,기준정보!$C$11)-MAX($K302-기준정보!$C$6,기준정보!$C$10)+1),0)))</f>
        <v/>
      </c>
      <c r="M302" s="22">
        <f>IF($K302="","",$K302-기준정보!$C$6-$L302)</f>
        <v/>
      </c>
      <c r="N302" s="24">
        <f>IF($M302="","",$M302-기준정보!$C$4)</f>
        <v/>
      </c>
      <c r="O302" s="21" t="n"/>
      <c r="P302" s="21" t="n"/>
      <c r="Q302" s="21" t="n"/>
      <c r="R302" s="25" t="n"/>
      <c r="S302" s="20">
        <f>IF($H302="","",IF($H302="C","본사(소재팀)",IF($H302="완","생산처","확인 필요")))</f>
        <v/>
      </c>
      <c r="T302" s="20" t="inlineStr">
        <is>
          <t>TESSELLATION</t>
        </is>
      </c>
      <c r="U302" s="20" t="inlineStr">
        <is>
          <t>베트남</t>
        </is>
      </c>
      <c r="V302" s="20" t="n"/>
      <c r="W302" s="26" t="n"/>
      <c r="X302" s="26" t="n"/>
      <c r="Y302" s="22" t="n"/>
      <c r="Z302" s="27" t="n">
        <v>2000</v>
      </c>
      <c r="AA302" s="27" t="n">
        <v>54000000</v>
      </c>
      <c r="AB302" s="27" t="n">
        <v>296000000</v>
      </c>
      <c r="AC302" s="20" t="n"/>
      <c r="AD302" s="20">
        <f>IF($J302="","출고일 미정",IF($P302="X","작지 미발행",IF($P302="부분","작지 일부 미발행",IF(AND($R302&lt;&gt;"",$R302&gt;$M302),"소재입고 마감("&amp;TEXT($M302,"MM/DD")&amp;") 초과",IF($P302="","발행여부 확인 필요",IF($R302="","소재 입고일정 확인 필요","정상"))))))</f>
        <v/>
      </c>
      <c r="AE302" s="19">
        <f>IF($J302="","",IF(OR(LEFT($AD302,2)="작지",LEFT($AD302,4)="소재입고"),IF(LEFT($G302,1)="A","★ 납기위험(A코드)","◆ 지연주의"),IF($AD302="정상","✓ 정상","? 확인필요")))</f>
        <v/>
      </c>
      <c r="AF302" s="21" t="n"/>
      <c r="AG302" s="28" t="n"/>
    </row>
    <row r="303">
      <c r="A303" s="19" t="n">
        <v>299</v>
      </c>
      <c r="B303" s="20" t="inlineStr">
        <is>
          <t>정영준</t>
        </is>
      </c>
      <c r="C303" s="20" t="inlineStr">
        <is>
          <t>서은미</t>
        </is>
      </c>
      <c r="D303" s="20" t="inlineStr">
        <is>
          <t>TVTBW27622</t>
        </is>
      </c>
      <c r="E303" s="20" t="inlineStr">
        <is>
          <t>여성 소프트필 긴팔 쿼터집업</t>
        </is>
      </c>
      <c r="F303" s="20" t="inlineStr">
        <is>
          <t>CO1/CO2</t>
        </is>
      </c>
      <c r="G303" s="19">
        <f>IF($D303="","",IF(MID($D303,5,1)="A","A(가을)",IF(MID($D303,5,1)="W","W(겨울)",IF(MID($D303,5,1)="X","X(사계절)",MID($D303,5,1)))))</f>
        <v/>
      </c>
      <c r="H303" s="19" t="inlineStr">
        <is>
          <t>릴렉스</t>
        </is>
      </c>
      <c r="I303" s="21" t="inlineStr">
        <is>
          <t>9월3주</t>
        </is>
      </c>
      <c r="J303" s="22">
        <f>IF($I303="","",IFERROR(DATE(기준정보!$C$7,VALUE(LEFT($I303,FIND("월",$I303)-1)),1+7*(VALUE(SUBSTITUTE(MID($I303,FIND("월",$I303)+1,5),"주",""))-1)),""))</f>
        <v/>
      </c>
      <c r="K303" s="22">
        <f>IF($J303="","",IF(AND(ISNUMBER(SEARCH("미얀마",$U303)),$J303-기준정보!$C$5&gt;=기준정보!$C$8,$J303-기준정보!$C$5&lt;=기준정보!$C$9),기준정보!$C$8-1,IF(AND(ISNUMBER(SEARCH("인도네시아",$U303)),$J303-기준정보!$C$5&gt;=기준정보!$C$10,$J303-기준정보!$C$5&lt;=기준정보!$C$11),기준정보!$C$10-1,$J303-기준정보!$C$5)))</f>
        <v/>
      </c>
      <c r="L303" s="23">
        <f>IF($K303="","",IF(ISNUMBER(SEARCH("미얀마",$U303)),MAX(0,MIN($K303,기준정보!$C$9)-MAX($K303-기준정보!$C$6,기준정보!$C$8)+1),IF(ISNUMBER(SEARCH("인도네시아",$U303)),MAX(0,MIN($K303,기준정보!$C$11)-MAX($K303-기준정보!$C$6,기준정보!$C$10)+1),0)))</f>
        <v/>
      </c>
      <c r="M303" s="22">
        <f>IF($K303="","",$K303-기준정보!$C$6-$L303)</f>
        <v/>
      </c>
      <c r="N303" s="24">
        <f>IF($M303="","",$M303-기준정보!$C$4)</f>
        <v/>
      </c>
      <c r="O303" s="21" t="n"/>
      <c r="P303" s="21" t="n"/>
      <c r="Q303" s="21" t="n"/>
      <c r="R303" s="25" t="n"/>
      <c r="S303" s="20">
        <f>IF($H303="","",IF($H303="C","본사(소재팀)",IF($H303="완","생산처","확인 필요")))</f>
        <v/>
      </c>
      <c r="T303" s="20" t="inlineStr">
        <is>
          <t>IKG</t>
        </is>
      </c>
      <c r="U303" s="20" t="inlineStr">
        <is>
          <t>인도네시아</t>
        </is>
      </c>
      <c r="V303" s="20" t="n"/>
      <c r="W303" s="26" t="n"/>
      <c r="X303" s="26" t="n"/>
      <c r="Y303" s="22" t="n"/>
      <c r="Z303" s="27" t="n">
        <v>5000</v>
      </c>
      <c r="AA303" s="27" t="n">
        <v>150000000</v>
      </c>
      <c r="AB303" s="27" t="n">
        <v>740000000</v>
      </c>
      <c r="AC303" s="20" t="n"/>
      <c r="AD303" s="20">
        <f>IF($J303="","출고일 미정",IF($P303="X","작지 미발행",IF($P303="부분","작지 일부 미발행",IF(AND($R303&lt;&gt;"",$R303&gt;$M303),"소재입고 마감("&amp;TEXT($M303,"MM/DD")&amp;") 초과",IF($P303="","발행여부 확인 필요",IF($R303="","소재 입고일정 확인 필요","정상"))))))</f>
        <v/>
      </c>
      <c r="AE303" s="19">
        <f>IF($J303="","",IF(OR(LEFT($AD303,2)="작지",LEFT($AD303,4)="소재입고"),IF(LEFT($G303,1)="A","★ 납기위험(A코드)","◆ 지연주의"),IF($AD303="정상","✓ 정상","? 확인필요")))</f>
        <v/>
      </c>
      <c r="AF303" s="21" t="n"/>
      <c r="AG303" s="28" t="n"/>
    </row>
    <row r="304">
      <c r="A304" s="19" t="n">
        <v>300</v>
      </c>
      <c r="B304" s="20" t="inlineStr">
        <is>
          <t>정영준</t>
        </is>
      </c>
      <c r="C304" s="20" t="inlineStr">
        <is>
          <t>서은미</t>
        </is>
      </c>
      <c r="D304" s="20" t="inlineStr">
        <is>
          <t>TVTBW27642</t>
        </is>
      </c>
      <c r="E304" s="20" t="inlineStr">
        <is>
          <t>여성 트레이닝 릴렉스핏 긴팔 후드티</t>
        </is>
      </c>
      <c r="F304" s="20" t="inlineStr">
        <is>
          <t>CO1/CO2</t>
        </is>
      </c>
      <c r="G304" s="19">
        <f>IF($D304="","",IF(MID($D304,5,1)="A","A(가을)",IF(MID($D304,5,1)="W","W(겨울)",IF(MID($D304,5,1)="X","X(사계절)",MID($D304,5,1)))))</f>
        <v/>
      </c>
      <c r="H304" s="19" t="inlineStr">
        <is>
          <t>릴렉스</t>
        </is>
      </c>
      <c r="I304" s="21" t="inlineStr">
        <is>
          <t>9월3주</t>
        </is>
      </c>
      <c r="J304" s="22">
        <f>IF($I304="","",IFERROR(DATE(기준정보!$C$7,VALUE(LEFT($I304,FIND("월",$I304)-1)),1+7*(VALUE(SUBSTITUTE(MID($I304,FIND("월",$I304)+1,5),"주",""))-1)),""))</f>
        <v/>
      </c>
      <c r="K304" s="22">
        <f>IF($J304="","",IF(AND(ISNUMBER(SEARCH("미얀마",$U304)),$J304-기준정보!$C$5&gt;=기준정보!$C$8,$J304-기준정보!$C$5&lt;=기준정보!$C$9),기준정보!$C$8-1,IF(AND(ISNUMBER(SEARCH("인도네시아",$U304)),$J304-기준정보!$C$5&gt;=기준정보!$C$10,$J304-기준정보!$C$5&lt;=기준정보!$C$11),기준정보!$C$10-1,$J304-기준정보!$C$5)))</f>
        <v/>
      </c>
      <c r="L304" s="23">
        <f>IF($K304="","",IF(ISNUMBER(SEARCH("미얀마",$U304)),MAX(0,MIN($K304,기준정보!$C$9)-MAX($K304-기준정보!$C$6,기준정보!$C$8)+1),IF(ISNUMBER(SEARCH("인도네시아",$U304)),MAX(0,MIN($K304,기준정보!$C$11)-MAX($K304-기준정보!$C$6,기준정보!$C$10)+1),0)))</f>
        <v/>
      </c>
      <c r="M304" s="22">
        <f>IF($K304="","",$K304-기준정보!$C$6-$L304)</f>
        <v/>
      </c>
      <c r="N304" s="24">
        <f>IF($M304="","",$M304-기준정보!$C$4)</f>
        <v/>
      </c>
      <c r="O304" s="21" t="n"/>
      <c r="P304" s="21" t="n"/>
      <c r="Q304" s="21" t="n"/>
      <c r="R304" s="25" t="n"/>
      <c r="S304" s="20">
        <f>IF($H304="","",IF($H304="C","본사(소재팀)",IF($H304="완","생산처","확인 필요")))</f>
        <v/>
      </c>
      <c r="T304" s="20" t="inlineStr">
        <is>
          <t>태화</t>
        </is>
      </c>
      <c r="U304" s="20" t="inlineStr">
        <is>
          <t>베트남</t>
        </is>
      </c>
      <c r="V304" s="20" t="n"/>
      <c r="W304" s="26" t="n"/>
      <c r="X304" s="26" t="n"/>
      <c r="Y304" s="22" t="n"/>
      <c r="Z304" s="27" t="n">
        <v>3500</v>
      </c>
      <c r="AA304" s="27" t="n">
        <v>98000000</v>
      </c>
      <c r="AB304" s="27" t="n">
        <v>553000000</v>
      </c>
      <c r="AC304" s="20" t="n"/>
      <c r="AD304" s="20">
        <f>IF($J304="","출고일 미정",IF($P304="X","작지 미발행",IF($P304="부분","작지 일부 미발행",IF(AND($R304&lt;&gt;"",$R304&gt;$M304),"소재입고 마감("&amp;TEXT($M304,"MM/DD")&amp;") 초과",IF($P304="","발행여부 확인 필요",IF($R304="","소재 입고일정 확인 필요","정상"))))))</f>
        <v/>
      </c>
      <c r="AE304" s="19">
        <f>IF($J304="","",IF(OR(LEFT($AD304,2)="작지",LEFT($AD304,4)="소재입고"),IF(LEFT($G304,1)="A","★ 납기위험(A코드)","◆ 지연주의"),IF($AD304="정상","✓ 정상","? 확인필요")))</f>
        <v/>
      </c>
      <c r="AF304" s="21" t="n"/>
      <c r="AG304" s="28" t="n"/>
    </row>
    <row r="305">
      <c r="A305" s="19" t="n">
        <v>301</v>
      </c>
      <c r="B305" s="20" t="inlineStr">
        <is>
          <t>정영준</t>
        </is>
      </c>
      <c r="C305" s="20" t="inlineStr">
        <is>
          <t>서은미</t>
        </is>
      </c>
      <c r="D305" s="20" t="inlineStr">
        <is>
          <t>TVTBW27644</t>
        </is>
      </c>
      <c r="E305" s="20" t="inlineStr">
        <is>
          <t>여성 트레이닝 긴팔 쿼터집업</t>
        </is>
      </c>
      <c r="F305" s="20" t="inlineStr">
        <is>
          <t>CO1/CO2</t>
        </is>
      </c>
      <c r="G305" s="19">
        <f>IF($D305="","",IF(MID($D305,5,1)="A","A(가을)",IF(MID($D305,5,1)="W","W(겨울)",IF(MID($D305,5,1)="X","X(사계절)",MID($D305,5,1)))))</f>
        <v/>
      </c>
      <c r="H305" s="19" t="inlineStr">
        <is>
          <t>릴렉스</t>
        </is>
      </c>
      <c r="I305" s="21" t="inlineStr">
        <is>
          <t>9월3주</t>
        </is>
      </c>
      <c r="J305" s="22">
        <f>IF($I305="","",IFERROR(DATE(기준정보!$C$7,VALUE(LEFT($I305,FIND("월",$I305)-1)),1+7*(VALUE(SUBSTITUTE(MID($I305,FIND("월",$I305)+1,5),"주",""))-1)),""))</f>
        <v/>
      </c>
      <c r="K305" s="22">
        <f>IF($J305="","",IF(AND(ISNUMBER(SEARCH("미얀마",$U305)),$J305-기준정보!$C$5&gt;=기준정보!$C$8,$J305-기준정보!$C$5&lt;=기준정보!$C$9),기준정보!$C$8-1,IF(AND(ISNUMBER(SEARCH("인도네시아",$U305)),$J305-기준정보!$C$5&gt;=기준정보!$C$10,$J305-기준정보!$C$5&lt;=기준정보!$C$11),기준정보!$C$10-1,$J305-기준정보!$C$5)))</f>
        <v/>
      </c>
      <c r="L305" s="23">
        <f>IF($K305="","",IF(ISNUMBER(SEARCH("미얀마",$U305)),MAX(0,MIN($K305,기준정보!$C$9)-MAX($K305-기준정보!$C$6,기준정보!$C$8)+1),IF(ISNUMBER(SEARCH("인도네시아",$U305)),MAX(0,MIN($K305,기준정보!$C$11)-MAX($K305-기준정보!$C$6,기준정보!$C$10)+1),0)))</f>
        <v/>
      </c>
      <c r="M305" s="22">
        <f>IF($K305="","",$K305-기준정보!$C$6-$L305)</f>
        <v/>
      </c>
      <c r="N305" s="24">
        <f>IF($M305="","",$M305-기준정보!$C$4)</f>
        <v/>
      </c>
      <c r="O305" s="21" t="n"/>
      <c r="P305" s="21" t="n"/>
      <c r="Q305" s="21" t="n"/>
      <c r="R305" s="25" t="n"/>
      <c r="S305" s="20">
        <f>IF($H305="","",IF($H305="C","본사(소재팀)",IF($H305="완","생산처","확인 필요")))</f>
        <v/>
      </c>
      <c r="T305" s="20" t="inlineStr">
        <is>
          <t>태화</t>
        </is>
      </c>
      <c r="U305" s="20" t="inlineStr">
        <is>
          <t>베트남</t>
        </is>
      </c>
      <c r="V305" s="20" t="n"/>
      <c r="W305" s="26" t="n"/>
      <c r="X305" s="26" t="n"/>
      <c r="Y305" s="22" t="n"/>
      <c r="Z305" s="27" t="n">
        <v>1800</v>
      </c>
      <c r="AA305" s="27" t="n">
        <v>48600000</v>
      </c>
      <c r="AB305" s="27" t="n">
        <v>284400000</v>
      </c>
      <c r="AC305" s="20" t="n"/>
      <c r="AD305" s="20">
        <f>IF($J305="","출고일 미정",IF($P305="X","작지 미발행",IF($P305="부분","작지 일부 미발행",IF(AND($R305&lt;&gt;"",$R305&gt;$M305),"소재입고 마감("&amp;TEXT($M305,"MM/DD")&amp;") 초과",IF($P305="","발행여부 확인 필요",IF($R305="","소재 입고일정 확인 필요","정상"))))))</f>
        <v/>
      </c>
      <c r="AE305" s="19">
        <f>IF($J305="","",IF(OR(LEFT($AD305,2)="작지",LEFT($AD305,4)="소재입고"),IF(LEFT($G305,1)="A","★ 납기위험(A코드)","◆ 지연주의"),IF($AD305="정상","✓ 정상","? 확인필요")))</f>
        <v/>
      </c>
      <c r="AF305" s="21" t="n"/>
      <c r="AG305" s="28" t="n"/>
    </row>
    <row r="306">
      <c r="A306" s="19" t="n">
        <v>302</v>
      </c>
      <c r="B306" s="20" t="inlineStr">
        <is>
          <t>정영준</t>
        </is>
      </c>
      <c r="C306" s="20" t="inlineStr">
        <is>
          <t>서은미</t>
        </is>
      </c>
      <c r="D306" s="20" t="inlineStr">
        <is>
          <t>TVTBW27646</t>
        </is>
      </c>
      <c r="E306" s="20" t="inlineStr">
        <is>
          <t>여성 코듀로이 긴팔 후드티</t>
        </is>
      </c>
      <c r="F306" s="20" t="inlineStr">
        <is>
          <t>CO1/CO2</t>
        </is>
      </c>
      <c r="G306" s="19">
        <f>IF($D306="","",IF(MID($D306,5,1)="A","A(가을)",IF(MID($D306,5,1)="W","W(겨울)",IF(MID($D306,5,1)="X","X(사계절)",MID($D306,5,1)))))</f>
        <v/>
      </c>
      <c r="H306" s="19" t="inlineStr">
        <is>
          <t>릴렉스</t>
        </is>
      </c>
      <c r="I306" s="21" t="inlineStr">
        <is>
          <t>9월3주</t>
        </is>
      </c>
      <c r="J306" s="22">
        <f>IF($I306="","",IFERROR(DATE(기준정보!$C$7,VALUE(LEFT($I306,FIND("월",$I306)-1)),1+7*(VALUE(SUBSTITUTE(MID($I306,FIND("월",$I306)+1,5),"주",""))-1)),""))</f>
        <v/>
      </c>
      <c r="K306" s="22">
        <f>IF($J306="","",IF(AND(ISNUMBER(SEARCH("미얀마",$U306)),$J306-기준정보!$C$5&gt;=기준정보!$C$8,$J306-기준정보!$C$5&lt;=기준정보!$C$9),기준정보!$C$8-1,IF(AND(ISNUMBER(SEARCH("인도네시아",$U306)),$J306-기준정보!$C$5&gt;=기준정보!$C$10,$J306-기준정보!$C$5&lt;=기준정보!$C$11),기준정보!$C$10-1,$J306-기준정보!$C$5)))</f>
        <v/>
      </c>
      <c r="L306" s="23">
        <f>IF($K306="","",IF(ISNUMBER(SEARCH("미얀마",$U306)),MAX(0,MIN($K306,기준정보!$C$9)-MAX($K306-기준정보!$C$6,기준정보!$C$8)+1),IF(ISNUMBER(SEARCH("인도네시아",$U306)),MAX(0,MIN($K306,기준정보!$C$11)-MAX($K306-기준정보!$C$6,기준정보!$C$10)+1),0)))</f>
        <v/>
      </c>
      <c r="M306" s="22">
        <f>IF($K306="","",$K306-기준정보!$C$6-$L306)</f>
        <v/>
      </c>
      <c r="N306" s="24">
        <f>IF($M306="","",$M306-기준정보!$C$4)</f>
        <v/>
      </c>
      <c r="O306" s="21" t="n"/>
      <c r="P306" s="21" t="n"/>
      <c r="Q306" s="21" t="n"/>
      <c r="R306" s="25" t="n"/>
      <c r="S306" s="20">
        <f>IF($H306="","",IF($H306="C","본사(소재팀)",IF($H306="완","생산처","확인 필요")))</f>
        <v/>
      </c>
      <c r="T306" s="20" t="inlineStr">
        <is>
          <t>장안</t>
        </is>
      </c>
      <c r="U306" s="20" t="inlineStr">
        <is>
          <t>베트남</t>
        </is>
      </c>
      <c r="V306" s="20" t="n"/>
      <c r="W306" s="26" t="n"/>
      <c r="X306" s="26" t="n"/>
      <c r="Y306" s="22" t="n"/>
      <c r="Z306" s="27" t="n">
        <v>2300</v>
      </c>
      <c r="AA306" s="27" t="n">
        <v>66700000</v>
      </c>
      <c r="AB306" s="27" t="n">
        <v>386400000</v>
      </c>
      <c r="AC306" s="20" t="n"/>
      <c r="AD306" s="20">
        <f>IF($J306="","출고일 미정",IF($P306="X","작지 미발행",IF($P306="부분","작지 일부 미발행",IF(AND($R306&lt;&gt;"",$R306&gt;$M306),"소재입고 마감("&amp;TEXT($M306,"MM/DD")&amp;") 초과",IF($P306="","발행여부 확인 필요",IF($R306="","소재 입고일정 확인 필요","정상"))))))</f>
        <v/>
      </c>
      <c r="AE306" s="19">
        <f>IF($J306="","",IF(OR(LEFT($AD306,2)="작지",LEFT($AD306,4)="소재입고"),IF(LEFT($G306,1)="A","★ 납기위험(A코드)","◆ 지연주의"),IF($AD306="정상","✓ 정상","? 확인필요")))</f>
        <v/>
      </c>
      <c r="AF306" s="21" t="n"/>
      <c r="AG306" s="28" t="n"/>
    </row>
    <row r="307">
      <c r="A307" s="19" t="n">
        <v>303</v>
      </c>
      <c r="B307" s="20" t="inlineStr">
        <is>
          <t>정영준</t>
        </is>
      </c>
      <c r="C307" s="20" t="inlineStr">
        <is>
          <t>서은미</t>
        </is>
      </c>
      <c r="D307" s="20" t="inlineStr">
        <is>
          <t>TVTBW27648</t>
        </is>
      </c>
      <c r="E307" s="20" t="inlineStr">
        <is>
          <t>여성 코듀로이 긴팔 쿼터집업</t>
        </is>
      </c>
      <c r="F307" s="20" t="inlineStr">
        <is>
          <t>CO1/CO2</t>
        </is>
      </c>
      <c r="G307" s="19">
        <f>IF($D307="","",IF(MID($D307,5,1)="A","A(가을)",IF(MID($D307,5,1)="W","W(겨울)",IF(MID($D307,5,1)="X","X(사계절)",MID($D307,5,1)))))</f>
        <v/>
      </c>
      <c r="H307" s="19" t="inlineStr">
        <is>
          <t>릴렉스</t>
        </is>
      </c>
      <c r="I307" s="21" t="inlineStr">
        <is>
          <t>9월3주</t>
        </is>
      </c>
      <c r="J307" s="22">
        <f>IF($I307="","",IFERROR(DATE(기준정보!$C$7,VALUE(LEFT($I307,FIND("월",$I307)-1)),1+7*(VALUE(SUBSTITUTE(MID($I307,FIND("월",$I307)+1,5),"주",""))-1)),""))</f>
        <v/>
      </c>
      <c r="K307" s="22">
        <f>IF($J307="","",IF(AND(ISNUMBER(SEARCH("미얀마",$U307)),$J307-기준정보!$C$5&gt;=기준정보!$C$8,$J307-기준정보!$C$5&lt;=기준정보!$C$9),기준정보!$C$8-1,IF(AND(ISNUMBER(SEARCH("인도네시아",$U307)),$J307-기준정보!$C$5&gt;=기준정보!$C$10,$J307-기준정보!$C$5&lt;=기준정보!$C$11),기준정보!$C$10-1,$J307-기준정보!$C$5)))</f>
        <v/>
      </c>
      <c r="L307" s="23">
        <f>IF($K307="","",IF(ISNUMBER(SEARCH("미얀마",$U307)),MAX(0,MIN($K307,기준정보!$C$9)-MAX($K307-기준정보!$C$6,기준정보!$C$8)+1),IF(ISNUMBER(SEARCH("인도네시아",$U307)),MAX(0,MIN($K307,기준정보!$C$11)-MAX($K307-기준정보!$C$6,기준정보!$C$10)+1),0)))</f>
        <v/>
      </c>
      <c r="M307" s="22">
        <f>IF($K307="","",$K307-기준정보!$C$6-$L307)</f>
        <v/>
      </c>
      <c r="N307" s="24">
        <f>IF($M307="","",$M307-기준정보!$C$4)</f>
        <v/>
      </c>
      <c r="O307" s="21" t="n"/>
      <c r="P307" s="21" t="n"/>
      <c r="Q307" s="21" t="n"/>
      <c r="R307" s="25" t="n"/>
      <c r="S307" s="20">
        <f>IF($H307="","",IF($H307="C","본사(소재팀)",IF($H307="완","생산처","확인 필요")))</f>
        <v/>
      </c>
      <c r="T307" s="20" t="inlineStr">
        <is>
          <t>태화</t>
        </is>
      </c>
      <c r="U307" s="20" t="inlineStr">
        <is>
          <t>베트남</t>
        </is>
      </c>
      <c r="V307" s="20" t="n"/>
      <c r="W307" s="26" t="n"/>
      <c r="X307" s="26" t="n"/>
      <c r="Y307" s="22" t="n"/>
      <c r="Z307" s="27" t="n">
        <v>1500</v>
      </c>
      <c r="AA307" s="27" t="n">
        <v>52500000</v>
      </c>
      <c r="AB307" s="27" t="n">
        <v>222000000</v>
      </c>
      <c r="AC307" s="20" t="n"/>
      <c r="AD307" s="20">
        <f>IF($J307="","출고일 미정",IF($P307="X","작지 미발행",IF($P307="부분","작지 일부 미발행",IF(AND($R307&lt;&gt;"",$R307&gt;$M307),"소재입고 마감("&amp;TEXT($M307,"MM/DD")&amp;") 초과",IF($P307="","발행여부 확인 필요",IF($R307="","소재 입고일정 확인 필요","정상"))))))</f>
        <v/>
      </c>
      <c r="AE307" s="19">
        <f>IF($J307="","",IF(OR(LEFT($AD307,2)="작지",LEFT($AD307,4)="소재입고"),IF(LEFT($G307,1)="A","★ 납기위험(A코드)","◆ 지연주의"),IF($AD307="정상","✓ 정상","? 확인필요")))</f>
        <v/>
      </c>
      <c r="AF307" s="21" t="n"/>
      <c r="AG307" s="28" t="n"/>
    </row>
    <row r="308">
      <c r="A308" s="19" t="n">
        <v>304</v>
      </c>
      <c r="B308" s="20" t="inlineStr">
        <is>
          <t>최진민</t>
        </is>
      </c>
      <c r="C308" s="20" t="inlineStr">
        <is>
          <t>권혁일</t>
        </is>
      </c>
      <c r="D308" s="20" t="inlineStr">
        <is>
          <t>TVVAW27402</t>
        </is>
      </c>
      <c r="E308" s="20" t="inlineStr">
        <is>
          <t>여성 튜브 경량 스탠드넥 다운 베스트</t>
        </is>
      </c>
      <c r="F308" s="20" t="inlineStr">
        <is>
          <t>DEB/LPI/ECR</t>
        </is>
      </c>
      <c r="G308" s="19">
        <f>IF($D308="","",IF(MID($D308,5,1)="A","A(가을)",IF(MID($D308,5,1)="W","W(겨울)",IF(MID($D308,5,1)="X","X(사계절)",MID($D308,5,1)))))</f>
        <v/>
      </c>
      <c r="H308" s="19" t="n"/>
      <c r="I308" s="21" t="inlineStr">
        <is>
          <t>9월3주</t>
        </is>
      </c>
      <c r="J308" s="22">
        <f>IF($I308="","",IFERROR(DATE(기준정보!$C$7,VALUE(LEFT($I308,FIND("월",$I308)-1)),1+7*(VALUE(SUBSTITUTE(MID($I308,FIND("월",$I308)+1,5),"주",""))-1)),""))</f>
        <v/>
      </c>
      <c r="K308" s="22">
        <f>IF($J308="","",IF(AND(ISNUMBER(SEARCH("미얀마",$U308)),$J308-기준정보!$C$5&gt;=기준정보!$C$8,$J308-기준정보!$C$5&lt;=기준정보!$C$9),기준정보!$C$8-1,IF(AND(ISNUMBER(SEARCH("인도네시아",$U308)),$J308-기준정보!$C$5&gt;=기준정보!$C$10,$J308-기준정보!$C$5&lt;=기준정보!$C$11),기준정보!$C$10-1,$J308-기준정보!$C$5)))</f>
        <v/>
      </c>
      <c r="L308" s="23">
        <f>IF($K308="","",IF(ISNUMBER(SEARCH("미얀마",$U308)),MAX(0,MIN($K308,기준정보!$C$9)-MAX($K308-기준정보!$C$6,기준정보!$C$8)+1),IF(ISNUMBER(SEARCH("인도네시아",$U308)),MAX(0,MIN($K308,기준정보!$C$11)-MAX($K308-기준정보!$C$6,기준정보!$C$10)+1),0)))</f>
        <v/>
      </c>
      <c r="M308" s="22">
        <f>IF($K308="","",$K308-기준정보!$C$6-$L308)</f>
        <v/>
      </c>
      <c r="N308" s="24">
        <f>IF($M308="","",$M308-기준정보!$C$4)</f>
        <v/>
      </c>
      <c r="O308" s="21" t="n"/>
      <c r="P308" s="21" t="n"/>
      <c r="Q308" s="21" t="n"/>
      <c r="R308" s="25" t="n"/>
      <c r="S308" s="20">
        <f>IF($H308="","",IF($H308="C","본사(소재팀)",IF($H308="완","생산처","확인 필요")))</f>
        <v/>
      </c>
      <c r="T308" s="20" t="inlineStr">
        <is>
          <t>아이블</t>
        </is>
      </c>
      <c r="U308" s="20" t="inlineStr">
        <is>
          <t>베트남</t>
        </is>
      </c>
      <c r="V308" s="20" t="n"/>
      <c r="W308" s="26" t="n"/>
      <c r="X308" s="26" t="n"/>
      <c r="Y308" s="22" t="n"/>
      <c r="Z308" s="27" t="n">
        <v>6000</v>
      </c>
      <c r="AA308" s="27" t="n">
        <v>282000000</v>
      </c>
      <c r="AB308" s="27" t="n">
        <v>1500000000</v>
      </c>
      <c r="AC308" s="20" t="n"/>
      <c r="AD308" s="20">
        <f>IF($J308="","출고일 미정",IF($P308="X","작지 미발행",IF($P308="부분","작지 일부 미발행",IF(AND($R308&lt;&gt;"",$R308&gt;$M308),"소재입고 마감("&amp;TEXT($M308,"MM/DD")&amp;") 초과",IF($P308="","발행여부 확인 필요",IF($R308="","소재 입고일정 확인 필요","정상"))))))</f>
        <v/>
      </c>
      <c r="AE308" s="19">
        <f>IF($J308="","",IF(OR(LEFT($AD308,2)="작지",LEFT($AD308,4)="소재입고"),IF(LEFT($G308,1)="A","★ 납기위험(A코드)","◆ 지연주의"),IF($AD308="정상","✓ 정상","? 확인필요")))</f>
        <v/>
      </c>
      <c r="AF308" s="21" t="n"/>
      <c r="AG308" s="28" t="n"/>
    </row>
    <row r="309">
      <c r="A309" s="19" t="n">
        <v>305</v>
      </c>
      <c r="B309" s="20" t="inlineStr">
        <is>
          <t>최진민</t>
        </is>
      </c>
      <c r="C309" s="20" t="inlineStr">
        <is>
          <t>권혁일</t>
        </is>
      </c>
      <c r="D309" s="20" t="inlineStr">
        <is>
          <t>TVVAW27452</t>
        </is>
      </c>
      <c r="E309" s="20" t="inlineStr">
        <is>
          <t>여성 솟솟플리스 스탠드넥 베스트</t>
        </is>
      </c>
      <c r="F309" s="20" t="inlineStr">
        <is>
          <t>ALI/CHR</t>
        </is>
      </c>
      <c r="G309" s="19">
        <f>IF($D309="","",IF(MID($D309,5,1)="A","A(가을)",IF(MID($D309,5,1)="W","W(겨울)",IF(MID($D309,5,1)="X","X(사계절)",MID($D309,5,1)))))</f>
        <v/>
      </c>
      <c r="H309" s="19" t="n"/>
      <c r="I309" s="21" t="inlineStr">
        <is>
          <t>9월3주</t>
        </is>
      </c>
      <c r="J309" s="22">
        <f>IF($I309="","",IFERROR(DATE(기준정보!$C$7,VALUE(LEFT($I309,FIND("월",$I309)-1)),1+7*(VALUE(SUBSTITUTE(MID($I309,FIND("월",$I309)+1,5),"주",""))-1)),""))</f>
        <v/>
      </c>
      <c r="K309" s="22">
        <f>IF($J309="","",IF(AND(ISNUMBER(SEARCH("미얀마",$U309)),$J309-기준정보!$C$5&gt;=기준정보!$C$8,$J309-기준정보!$C$5&lt;=기준정보!$C$9),기준정보!$C$8-1,IF(AND(ISNUMBER(SEARCH("인도네시아",$U309)),$J309-기준정보!$C$5&gt;=기준정보!$C$10,$J309-기준정보!$C$5&lt;=기준정보!$C$11),기준정보!$C$10-1,$J309-기준정보!$C$5)))</f>
        <v/>
      </c>
      <c r="L309" s="23">
        <f>IF($K309="","",IF(ISNUMBER(SEARCH("미얀마",$U309)),MAX(0,MIN($K309,기준정보!$C$9)-MAX($K309-기준정보!$C$6,기준정보!$C$8)+1),IF(ISNUMBER(SEARCH("인도네시아",$U309)),MAX(0,MIN($K309,기준정보!$C$11)-MAX($K309-기준정보!$C$6,기준정보!$C$10)+1),0)))</f>
        <v/>
      </c>
      <c r="M309" s="22">
        <f>IF($K309="","",$K309-기준정보!$C$6-$L309)</f>
        <v/>
      </c>
      <c r="N309" s="24">
        <f>IF($M309="","",$M309-기준정보!$C$4)</f>
        <v/>
      </c>
      <c r="O309" s="21" t="n"/>
      <c r="P309" s="21" t="n"/>
      <c r="Q309" s="21" t="n"/>
      <c r="R309" s="25" t="n"/>
      <c r="S309" s="20">
        <f>IF($H309="","",IF($H309="C","본사(소재팀)",IF($H309="완","생산처","확인 필요")))</f>
        <v/>
      </c>
      <c r="T309" s="20" t="inlineStr">
        <is>
          <t>기도</t>
        </is>
      </c>
      <c r="U309" s="20" t="inlineStr">
        <is>
          <t>미얀마</t>
        </is>
      </c>
      <c r="V309" s="20" t="n"/>
      <c r="W309" s="26" t="n"/>
      <c r="X309" s="26" t="n"/>
      <c r="Y309" s="22" t="n"/>
      <c r="Z309" s="27" t="n">
        <v>1500</v>
      </c>
      <c r="AA309" s="27" t="n">
        <v>46500000</v>
      </c>
      <c r="AB309" s="27" t="n">
        <v>252000000</v>
      </c>
      <c r="AC309" s="20" t="n"/>
      <c r="AD309" s="20">
        <f>IF($J309="","출고일 미정",IF($P309="X","작지 미발행",IF($P309="부분","작지 일부 미발행",IF(AND($R309&lt;&gt;"",$R309&gt;$M309),"소재입고 마감("&amp;TEXT($M309,"MM/DD")&amp;") 초과",IF($P309="","발행여부 확인 필요",IF($R309="","소재 입고일정 확인 필요","정상"))))))</f>
        <v/>
      </c>
      <c r="AE309" s="19">
        <f>IF($J309="","",IF(OR(LEFT($AD309,2)="작지",LEFT($AD309,4)="소재입고"),IF(LEFT($G309,1)="A","★ 납기위험(A코드)","◆ 지연주의"),IF($AD309="정상","✓ 정상","? 확인필요")))</f>
        <v/>
      </c>
      <c r="AF309" s="21" t="n"/>
      <c r="AG309" s="28" t="n"/>
    </row>
    <row r="310">
      <c r="A310" s="19" t="n">
        <v>306</v>
      </c>
      <c r="B310" s="20" t="inlineStr">
        <is>
          <t>이재헌</t>
        </is>
      </c>
      <c r="C310" s="20" t="inlineStr">
        <is>
          <t>나영길</t>
        </is>
      </c>
      <c r="D310" s="20" t="inlineStr">
        <is>
          <t>JKJDW27442</t>
        </is>
      </c>
      <c r="E310" s="20" t="inlineStr">
        <is>
          <t>여성 고어텍스 윈드스토퍼 미드 후디드 다운 재킷</t>
        </is>
      </c>
      <c r="F310" s="20" t="inlineStr">
        <is>
          <t>ABE/DEB</t>
        </is>
      </c>
      <c r="G310" s="19">
        <f>IF($D310="","",IF(MID($D310,5,1)="A","A(가을)",IF(MID($D310,5,1)="W","W(겨울)",IF(MID($D310,5,1)="X","X(사계절)",MID($D310,5,1)))))</f>
        <v/>
      </c>
      <c r="H310" s="19" t="n"/>
      <c r="I310" s="21" t="inlineStr">
        <is>
          <t>9월4주</t>
        </is>
      </c>
      <c r="J310" s="22">
        <f>IF($I310="","",IFERROR(DATE(기준정보!$C$7,VALUE(LEFT($I310,FIND("월",$I310)-1)),1+7*(VALUE(SUBSTITUTE(MID($I310,FIND("월",$I310)+1,5),"주",""))-1)),""))</f>
        <v/>
      </c>
      <c r="K310" s="22">
        <f>IF($J310="","",IF(AND(ISNUMBER(SEARCH("미얀마",$U310)),$J310-기준정보!$C$5&gt;=기준정보!$C$8,$J310-기준정보!$C$5&lt;=기준정보!$C$9),기준정보!$C$8-1,IF(AND(ISNUMBER(SEARCH("인도네시아",$U310)),$J310-기준정보!$C$5&gt;=기준정보!$C$10,$J310-기준정보!$C$5&lt;=기준정보!$C$11),기준정보!$C$10-1,$J310-기준정보!$C$5)))</f>
        <v/>
      </c>
      <c r="L310" s="23">
        <f>IF($K310="","",IF(ISNUMBER(SEARCH("미얀마",$U310)),MAX(0,MIN($K310,기준정보!$C$9)-MAX($K310-기준정보!$C$6,기준정보!$C$8)+1),IF(ISNUMBER(SEARCH("인도네시아",$U310)),MAX(0,MIN($K310,기준정보!$C$11)-MAX($K310-기준정보!$C$6,기준정보!$C$10)+1),0)))</f>
        <v/>
      </c>
      <c r="M310" s="22">
        <f>IF($K310="","",$K310-기준정보!$C$6-$L310)</f>
        <v/>
      </c>
      <c r="N310" s="24">
        <f>IF($M310="","",$M310-기준정보!$C$4)</f>
        <v/>
      </c>
      <c r="O310" s="21" t="n"/>
      <c r="P310" s="21" t="n"/>
      <c r="Q310" s="21" t="n"/>
      <c r="R310" s="25" t="n"/>
      <c r="S310" s="20">
        <f>IF($H310="","",IF($H310="C","본사(소재팀)",IF($H310="완","생산처","확인 필요")))</f>
        <v/>
      </c>
      <c r="T310" s="20" t="inlineStr">
        <is>
          <t>원전</t>
        </is>
      </c>
      <c r="U310" s="20" t="inlineStr">
        <is>
          <t>인도네시아</t>
        </is>
      </c>
      <c r="V310" s="20" t="n"/>
      <c r="W310" s="26" t="n"/>
      <c r="X310" s="26" t="n"/>
      <c r="Y310" s="22" t="n"/>
      <c r="Z310" s="27" t="n">
        <v>500</v>
      </c>
      <c r="AA310" s="27" t="n">
        <v>76577000</v>
      </c>
      <c r="AB310" s="27" t="n">
        <v>295000000</v>
      </c>
      <c r="AC310" s="20" t="n"/>
      <c r="AD310" s="20">
        <f>IF($J310="","출고일 미정",IF($P310="X","작지 미발행",IF($P310="부분","작지 일부 미발행",IF(AND($R310&lt;&gt;"",$R310&gt;$M310),"소재입고 마감("&amp;TEXT($M310,"MM/DD")&amp;") 초과",IF($P310="","발행여부 확인 필요",IF($R310="","소재 입고일정 확인 필요","정상"))))))</f>
        <v/>
      </c>
      <c r="AE310" s="19">
        <f>IF($J310="","",IF(OR(LEFT($AD310,2)="작지",LEFT($AD310,4)="소재입고"),IF(LEFT($G310,1)="A","★ 납기위험(A코드)","◆ 지연주의"),IF($AD310="정상","✓ 정상","? 확인필요")))</f>
        <v/>
      </c>
      <c r="AF310" s="21" t="n"/>
      <c r="AG310" s="28" t="n"/>
    </row>
    <row r="311">
      <c r="A311" s="19" t="n">
        <v>307</v>
      </c>
      <c r="B311" s="20" t="inlineStr">
        <is>
          <t>이재헌</t>
        </is>
      </c>
      <c r="C311" s="20" t="inlineStr">
        <is>
          <t>나영길</t>
        </is>
      </c>
      <c r="D311" s="20" t="inlineStr">
        <is>
          <t>JWJDW27441</t>
        </is>
      </c>
      <c r="E311" s="20" t="inlineStr">
        <is>
          <t>남성 고어텍스 윈드스토퍼 미드 후디드 다운 재킷</t>
        </is>
      </c>
      <c r="F311" s="20" t="inlineStr">
        <is>
          <t>SKA/DEB</t>
        </is>
      </c>
      <c r="G311" s="19">
        <f>IF($D311="","",IF(MID($D311,5,1)="A","A(가을)",IF(MID($D311,5,1)="W","W(겨울)",IF(MID($D311,5,1)="X","X(사계절)",MID($D311,5,1)))))</f>
        <v/>
      </c>
      <c r="H311" s="19" t="n"/>
      <c r="I311" s="21" t="inlineStr">
        <is>
          <t>9월4주</t>
        </is>
      </c>
      <c r="J311" s="22">
        <f>IF($I311="","",IFERROR(DATE(기준정보!$C$7,VALUE(LEFT($I311,FIND("월",$I311)-1)),1+7*(VALUE(SUBSTITUTE(MID($I311,FIND("월",$I311)+1,5),"주",""))-1)),""))</f>
        <v/>
      </c>
      <c r="K311" s="22">
        <f>IF($J311="","",IF(AND(ISNUMBER(SEARCH("미얀마",$U311)),$J311-기준정보!$C$5&gt;=기준정보!$C$8,$J311-기준정보!$C$5&lt;=기준정보!$C$9),기준정보!$C$8-1,IF(AND(ISNUMBER(SEARCH("인도네시아",$U311)),$J311-기준정보!$C$5&gt;=기준정보!$C$10,$J311-기준정보!$C$5&lt;=기준정보!$C$11),기준정보!$C$10-1,$J311-기준정보!$C$5)))</f>
        <v/>
      </c>
      <c r="L311" s="23">
        <f>IF($K311="","",IF(ISNUMBER(SEARCH("미얀마",$U311)),MAX(0,MIN($K311,기준정보!$C$9)-MAX($K311-기준정보!$C$6,기준정보!$C$8)+1),IF(ISNUMBER(SEARCH("인도네시아",$U311)),MAX(0,MIN($K311,기준정보!$C$11)-MAX($K311-기준정보!$C$6,기준정보!$C$10)+1),0)))</f>
        <v/>
      </c>
      <c r="M311" s="22">
        <f>IF($K311="","",$K311-기준정보!$C$6-$L311)</f>
        <v/>
      </c>
      <c r="N311" s="24">
        <f>IF($M311="","",$M311-기준정보!$C$4)</f>
        <v/>
      </c>
      <c r="O311" s="21" t="n"/>
      <c r="P311" s="21" t="n"/>
      <c r="Q311" s="21" t="n"/>
      <c r="R311" s="25" t="n"/>
      <c r="S311" s="20">
        <f>IF($H311="","",IF($H311="C","본사(소재팀)",IF($H311="완","생산처","확인 필요")))</f>
        <v/>
      </c>
      <c r="T311" s="20" t="inlineStr">
        <is>
          <t>원전</t>
        </is>
      </c>
      <c r="U311" s="20" t="inlineStr">
        <is>
          <t>인도네시아</t>
        </is>
      </c>
      <c r="V311" s="20" t="n"/>
      <c r="W311" s="26" t="n"/>
      <c r="X311" s="26" t="n"/>
      <c r="Y311" s="22" t="n"/>
      <c r="Z311" s="27" t="n">
        <v>950</v>
      </c>
      <c r="AA311" s="27" t="n">
        <v>163308800</v>
      </c>
      <c r="AB311" s="27" t="n">
        <v>560500000</v>
      </c>
      <c r="AC311" s="20" t="n"/>
      <c r="AD311" s="20">
        <f>IF($J311="","출고일 미정",IF($P311="X","작지 미발행",IF($P311="부분","작지 일부 미발행",IF(AND($R311&lt;&gt;"",$R311&gt;$M311),"소재입고 마감("&amp;TEXT($M311,"MM/DD")&amp;") 초과",IF($P311="","발행여부 확인 필요",IF($R311="","소재 입고일정 확인 필요","정상"))))))</f>
        <v/>
      </c>
      <c r="AE311" s="19">
        <f>IF($J311="","",IF(OR(LEFT($AD311,2)="작지",LEFT($AD311,4)="소재입고"),IF(LEFT($G311,1)="A","★ 납기위험(A코드)","◆ 지연주의"),IF($AD311="정상","✓ 정상","? 확인필요")))</f>
        <v/>
      </c>
      <c r="AF311" s="21" t="n"/>
      <c r="AG311" s="28" t="n"/>
    </row>
    <row r="312">
      <c r="A312" s="19" t="n">
        <v>308</v>
      </c>
      <c r="B312" s="20" t="inlineStr">
        <is>
          <t>문도혁</t>
        </is>
      </c>
      <c r="C312" s="20" t="inlineStr">
        <is>
          <t>서은미</t>
        </is>
      </c>
      <c r="D312" s="20" t="inlineStr">
        <is>
          <t>TVPNW27608</t>
        </is>
      </c>
      <c r="E312" s="20" t="inlineStr">
        <is>
          <t>여성 융기모 테이퍼드 팬츠</t>
        </is>
      </c>
      <c r="F312" s="20" t="inlineStr">
        <is>
          <t>DNV/DEB</t>
        </is>
      </c>
      <c r="G312" s="19">
        <f>IF($D312="","",IF(MID($D312,5,1)="A","A(가을)",IF(MID($D312,5,1)="W","W(겨울)",IF(MID($D312,5,1)="X","X(사계절)",MID($D312,5,1)))))</f>
        <v/>
      </c>
      <c r="H312" s="19" t="inlineStr">
        <is>
          <t>완</t>
        </is>
      </c>
      <c r="I312" s="21" t="inlineStr">
        <is>
          <t>9월4주</t>
        </is>
      </c>
      <c r="J312" s="22">
        <f>IF($I312="","",IFERROR(DATE(기준정보!$C$7,VALUE(LEFT($I312,FIND("월",$I312)-1)),1+7*(VALUE(SUBSTITUTE(MID($I312,FIND("월",$I312)+1,5),"주",""))-1)),""))</f>
        <v/>
      </c>
      <c r="K312" s="22">
        <f>IF($J312="","",IF(AND(ISNUMBER(SEARCH("미얀마",$U312)),$J312-기준정보!$C$5&gt;=기준정보!$C$8,$J312-기준정보!$C$5&lt;=기준정보!$C$9),기준정보!$C$8-1,IF(AND(ISNUMBER(SEARCH("인도네시아",$U312)),$J312-기준정보!$C$5&gt;=기준정보!$C$10,$J312-기준정보!$C$5&lt;=기준정보!$C$11),기준정보!$C$10-1,$J312-기준정보!$C$5)))</f>
        <v/>
      </c>
      <c r="L312" s="23">
        <f>IF($K312="","",IF(ISNUMBER(SEARCH("미얀마",$U312)),MAX(0,MIN($K312,기준정보!$C$9)-MAX($K312-기준정보!$C$6,기준정보!$C$8)+1),IF(ISNUMBER(SEARCH("인도네시아",$U312)),MAX(0,MIN($K312,기준정보!$C$11)-MAX($K312-기준정보!$C$6,기준정보!$C$10)+1),0)))</f>
        <v/>
      </c>
      <c r="M312" s="22">
        <f>IF($K312="","",$K312-기준정보!$C$6-$L312)</f>
        <v/>
      </c>
      <c r="N312" s="24">
        <f>IF($M312="","",$M312-기준정보!$C$4)</f>
        <v/>
      </c>
      <c r="O312" s="21" t="n"/>
      <c r="P312" s="21" t="n"/>
      <c r="Q312" s="21" t="n"/>
      <c r="R312" s="25" t="n"/>
      <c r="S312" s="20">
        <f>IF($H312="","",IF($H312="C","본사(소재팀)",IF($H312="완","생산처","확인 필요")))</f>
        <v/>
      </c>
      <c r="T312" s="20" t="inlineStr">
        <is>
          <t>디코드</t>
        </is>
      </c>
      <c r="U312" s="20" t="inlineStr">
        <is>
          <t>베트남</t>
        </is>
      </c>
      <c r="V312" s="20" t="n"/>
      <c r="W312" s="26" t="n"/>
      <c r="X312" s="26" t="n"/>
      <c r="Y312" s="22" t="n"/>
      <c r="Z312" s="27" t="n">
        <v>3000</v>
      </c>
      <c r="AA312" s="27" t="n">
        <v>120288000</v>
      </c>
      <c r="AB312" s="27" t="n">
        <v>660000000</v>
      </c>
      <c r="AC312" s="20" t="n"/>
      <c r="AD312" s="20">
        <f>IF($J312="","출고일 미정",IF($P312="X","작지 미발행",IF($P312="부분","작지 일부 미발행",IF(AND($R312&lt;&gt;"",$R312&gt;$M312),"소재입고 마감("&amp;TEXT($M312,"MM/DD")&amp;") 초과",IF($P312="","발행여부 확인 필요",IF($R312="","소재 입고일정 확인 필요","정상"))))))</f>
        <v/>
      </c>
      <c r="AE312" s="19">
        <f>IF($J312="","",IF(OR(LEFT($AD312,2)="작지",LEFT($AD312,4)="소재입고"),IF(LEFT($G312,1)="A","★ 납기위험(A코드)","◆ 지연주의"),IF($AD312="정상","✓ 정상","? 확인필요")))</f>
        <v/>
      </c>
      <c r="AF312" s="21" t="n"/>
      <c r="AG312" s="28" t="n"/>
    </row>
    <row r="313">
      <c r="A313" s="19" t="n">
        <v>309</v>
      </c>
      <c r="B313" s="20" t="inlineStr">
        <is>
          <t>박지인</t>
        </is>
      </c>
      <c r="C313" s="20" t="inlineStr">
        <is>
          <t>심현숙</t>
        </is>
      </c>
      <c r="D313" s="20" t="inlineStr">
        <is>
          <t>JNJDW27501</t>
        </is>
      </c>
      <c r="E313" s="20" t="inlineStr">
        <is>
          <t>남녀공용 UL 헤비 다운 재킷</t>
        </is>
      </c>
      <c r="F313" s="20" t="inlineStr">
        <is>
          <t>DOE/CTP</t>
        </is>
      </c>
      <c r="G313" s="19">
        <f>IF($D313="","",IF(MID($D313,5,1)="A","A(가을)",IF(MID($D313,5,1)="W","W(겨울)",IF(MID($D313,5,1)="X","X(사계절)",MID($D313,5,1)))))</f>
        <v/>
      </c>
      <c r="H313" s="19" t="n"/>
      <c r="I313" s="21" t="inlineStr">
        <is>
          <t>10월1주</t>
        </is>
      </c>
      <c r="J313" s="22">
        <f>IF($I313="","",IFERROR(DATE(기준정보!$C$7,VALUE(LEFT($I313,FIND("월",$I313)-1)),1+7*(VALUE(SUBSTITUTE(MID($I313,FIND("월",$I313)+1,5),"주",""))-1)),""))</f>
        <v/>
      </c>
      <c r="K313" s="22">
        <f>IF($J313="","",IF(AND(ISNUMBER(SEARCH("미얀마",$U313)),$J313-기준정보!$C$5&gt;=기준정보!$C$8,$J313-기준정보!$C$5&lt;=기준정보!$C$9),기준정보!$C$8-1,IF(AND(ISNUMBER(SEARCH("인도네시아",$U313)),$J313-기준정보!$C$5&gt;=기준정보!$C$10,$J313-기준정보!$C$5&lt;=기준정보!$C$11),기준정보!$C$10-1,$J313-기준정보!$C$5)))</f>
        <v/>
      </c>
      <c r="L313" s="23">
        <f>IF($K313="","",IF(ISNUMBER(SEARCH("미얀마",$U313)),MAX(0,MIN($K313,기준정보!$C$9)-MAX($K313-기준정보!$C$6,기준정보!$C$8)+1),IF(ISNUMBER(SEARCH("인도네시아",$U313)),MAX(0,MIN($K313,기준정보!$C$11)-MAX($K313-기준정보!$C$6,기준정보!$C$10)+1),0)))</f>
        <v/>
      </c>
      <c r="M313" s="22">
        <f>IF($K313="","",$K313-기준정보!$C$6-$L313)</f>
        <v/>
      </c>
      <c r="N313" s="24">
        <f>IF($M313="","",$M313-기준정보!$C$4)</f>
        <v/>
      </c>
      <c r="O313" s="21" t="n"/>
      <c r="P313" s="21" t="n"/>
      <c r="Q313" s="21" t="n"/>
      <c r="R313" s="25" t="n"/>
      <c r="S313" s="20">
        <f>IF($H313="","",IF($H313="C","본사(소재팀)",IF($H313="완","생산처","확인 필요")))</f>
        <v/>
      </c>
      <c r="T313" s="20" t="inlineStr">
        <is>
          <t>원전</t>
        </is>
      </c>
      <c r="U313" s="20" t="inlineStr">
        <is>
          <t>인도네시아</t>
        </is>
      </c>
      <c r="V313" s="20" t="n"/>
      <c r="W313" s="26" t="n"/>
      <c r="X313" s="26" t="n"/>
      <c r="Y313" s="22" t="n"/>
      <c r="Z313" s="27" t="n">
        <v>600</v>
      </c>
      <c r="AA313" s="27" t="n">
        <v>109378200</v>
      </c>
      <c r="AB313" s="27" t="n">
        <v>420000000</v>
      </c>
      <c r="AC313" s="20" t="n"/>
      <c r="AD313" s="20">
        <f>IF($J313="","출고일 미정",IF($P313="X","작지 미발행",IF($P313="부분","작지 일부 미발행",IF(AND($R313&lt;&gt;"",$R313&gt;$M313),"소재입고 마감("&amp;TEXT($M313,"MM/DD")&amp;") 초과",IF($P313="","발행여부 확인 필요",IF($R313="","소재 입고일정 확인 필요","정상"))))))</f>
        <v/>
      </c>
      <c r="AE313" s="19">
        <f>IF($J313="","",IF(OR(LEFT($AD313,2)="작지",LEFT($AD313,4)="소재입고"),IF(LEFT($G313,1)="A","★ 납기위험(A코드)","◆ 지연주의"),IF($AD313="정상","✓ 정상","? 확인필요")))</f>
        <v/>
      </c>
      <c r="AF313" s="21" t="n"/>
      <c r="AG313" s="28" t="n"/>
    </row>
    <row r="314">
      <c r="A314" s="19" t="n">
        <v>310</v>
      </c>
      <c r="B314" s="20" t="inlineStr">
        <is>
          <t>박지인</t>
        </is>
      </c>
      <c r="C314" s="20" t="inlineStr">
        <is>
          <t>심현숙</t>
        </is>
      </c>
      <c r="D314" s="20" t="inlineStr">
        <is>
          <t>JNPNW27501</t>
        </is>
      </c>
      <c r="E314" s="20" t="inlineStr">
        <is>
          <t>남녀공용 UL 다운 팬츠</t>
        </is>
      </c>
      <c r="F314" s="20" t="inlineStr">
        <is>
          <t>DEB</t>
        </is>
      </c>
      <c r="G314" s="19">
        <f>IF($D314="","",IF(MID($D314,5,1)="A","A(가을)",IF(MID($D314,5,1)="W","W(겨울)",IF(MID($D314,5,1)="X","X(사계절)",MID($D314,5,1)))))</f>
        <v/>
      </c>
      <c r="H314" s="19" t="n"/>
      <c r="I314" s="21" t="inlineStr">
        <is>
          <t>10월1주</t>
        </is>
      </c>
      <c r="J314" s="22">
        <f>IF($I314="","",IFERROR(DATE(기준정보!$C$7,VALUE(LEFT($I314,FIND("월",$I314)-1)),1+7*(VALUE(SUBSTITUTE(MID($I314,FIND("월",$I314)+1,5),"주",""))-1)),""))</f>
        <v/>
      </c>
      <c r="K314" s="22">
        <f>IF($J314="","",IF(AND(ISNUMBER(SEARCH("미얀마",$U314)),$J314-기준정보!$C$5&gt;=기준정보!$C$8,$J314-기준정보!$C$5&lt;=기준정보!$C$9),기준정보!$C$8-1,IF(AND(ISNUMBER(SEARCH("인도네시아",$U314)),$J314-기준정보!$C$5&gt;=기준정보!$C$10,$J314-기준정보!$C$5&lt;=기준정보!$C$11),기준정보!$C$10-1,$J314-기준정보!$C$5)))</f>
        <v/>
      </c>
      <c r="L314" s="23">
        <f>IF($K314="","",IF(ISNUMBER(SEARCH("미얀마",$U314)),MAX(0,MIN($K314,기준정보!$C$9)-MAX($K314-기준정보!$C$6,기준정보!$C$8)+1),IF(ISNUMBER(SEARCH("인도네시아",$U314)),MAX(0,MIN($K314,기준정보!$C$11)-MAX($K314-기준정보!$C$6,기준정보!$C$10)+1),0)))</f>
        <v/>
      </c>
      <c r="M314" s="22">
        <f>IF($K314="","",$K314-기준정보!$C$6-$L314)</f>
        <v/>
      </c>
      <c r="N314" s="24">
        <f>IF($M314="","",$M314-기준정보!$C$4)</f>
        <v/>
      </c>
      <c r="O314" s="21" t="n"/>
      <c r="P314" s="21" t="n"/>
      <c r="Q314" s="21" t="n"/>
      <c r="R314" s="25" t="n"/>
      <c r="S314" s="20">
        <f>IF($H314="","",IF($H314="C","본사(소재팀)",IF($H314="완","생산처","확인 필요")))</f>
        <v/>
      </c>
      <c r="T314" s="20" t="inlineStr">
        <is>
          <t>원전</t>
        </is>
      </c>
      <c r="U314" s="20" t="inlineStr">
        <is>
          <t>인도네시아</t>
        </is>
      </c>
      <c r="V314" s="20" t="n"/>
      <c r="W314" s="26" t="n"/>
      <c r="X314" s="26" t="n"/>
      <c r="Y314" s="22" t="n"/>
      <c r="Z314" s="27" t="n">
        <v>100</v>
      </c>
      <c r="AA314" s="27" t="n">
        <v>12164600</v>
      </c>
      <c r="AB314" s="27" t="n">
        <v>39000000</v>
      </c>
      <c r="AC314" s="20" t="n"/>
      <c r="AD314" s="20">
        <f>IF($J314="","출고일 미정",IF($P314="X","작지 미발행",IF($P314="부분","작지 일부 미발행",IF(AND($R314&lt;&gt;"",$R314&gt;$M314),"소재입고 마감("&amp;TEXT($M314,"MM/DD")&amp;") 초과",IF($P314="","발행여부 확인 필요",IF($R314="","소재 입고일정 확인 필요","정상"))))))</f>
        <v/>
      </c>
      <c r="AE314" s="19">
        <f>IF($J314="","",IF(OR(LEFT($AD314,2)="작지",LEFT($AD314,4)="소재입고"),IF(LEFT($G314,1)="A","★ 납기위험(A코드)","◆ 지연주의"),IF($AD314="정상","✓ 정상","? 확인필요")))</f>
        <v/>
      </c>
      <c r="AF314" s="21" t="n"/>
      <c r="AG314" s="28" t="n"/>
    </row>
    <row r="315">
      <c r="A315" s="19" t="n">
        <v>311</v>
      </c>
      <c r="B315" s="20" t="inlineStr">
        <is>
          <t>문도혁</t>
        </is>
      </c>
      <c r="C315" s="20" t="inlineStr">
        <is>
          <t>강기환</t>
        </is>
      </c>
      <c r="D315" s="20" t="inlineStr">
        <is>
          <t>JWJDW27631</t>
        </is>
      </c>
      <c r="E315" s="20" t="inlineStr">
        <is>
          <t>남성 고어텍스 2L 헤비 다운</t>
        </is>
      </c>
      <c r="F315" s="20" t="inlineStr">
        <is>
          <t>RBW/DEB</t>
        </is>
      </c>
      <c r="G315" s="19">
        <f>IF($D315="","",IF(MID($D315,5,1)="A","A(가을)",IF(MID($D315,5,1)="W","W(겨울)",IF(MID($D315,5,1)="X","X(사계절)",MID($D315,5,1)))))</f>
        <v/>
      </c>
      <c r="H315" s="19" t="n"/>
      <c r="I315" s="21" t="inlineStr">
        <is>
          <t>10월1주</t>
        </is>
      </c>
      <c r="J315" s="22">
        <f>IF($I315="","",IFERROR(DATE(기준정보!$C$7,VALUE(LEFT($I315,FIND("월",$I315)-1)),1+7*(VALUE(SUBSTITUTE(MID($I315,FIND("월",$I315)+1,5),"주",""))-1)),""))</f>
        <v/>
      </c>
      <c r="K315" s="22">
        <f>IF($J315="","",IF(AND(ISNUMBER(SEARCH("미얀마",$U315)),$J315-기준정보!$C$5&gt;=기준정보!$C$8,$J315-기준정보!$C$5&lt;=기준정보!$C$9),기준정보!$C$8-1,IF(AND(ISNUMBER(SEARCH("인도네시아",$U315)),$J315-기준정보!$C$5&gt;=기준정보!$C$10,$J315-기준정보!$C$5&lt;=기준정보!$C$11),기준정보!$C$10-1,$J315-기준정보!$C$5)))</f>
        <v/>
      </c>
      <c r="L315" s="23">
        <f>IF($K315="","",IF(ISNUMBER(SEARCH("미얀마",$U315)),MAX(0,MIN($K315,기준정보!$C$9)-MAX($K315-기준정보!$C$6,기준정보!$C$8)+1),IF(ISNUMBER(SEARCH("인도네시아",$U315)),MAX(0,MIN($K315,기준정보!$C$11)-MAX($K315-기준정보!$C$6,기준정보!$C$10)+1),0)))</f>
        <v/>
      </c>
      <c r="M315" s="22">
        <f>IF($K315="","",$K315-기준정보!$C$6-$L315)</f>
        <v/>
      </c>
      <c r="N315" s="24">
        <f>IF($M315="","",$M315-기준정보!$C$4)</f>
        <v/>
      </c>
      <c r="O315" s="21" t="n"/>
      <c r="P315" s="21" t="n"/>
      <c r="Q315" s="21" t="n"/>
      <c r="R315" s="25" t="n"/>
      <c r="S315" s="20">
        <f>IF($H315="","",IF($H315="C","본사(소재팀)",IF($H315="완","생산처","확인 필요")))</f>
        <v/>
      </c>
      <c r="T315" s="20" t="inlineStr">
        <is>
          <t>포마트</t>
        </is>
      </c>
      <c r="U315" s="20" t="inlineStr">
        <is>
          <t>베트남</t>
        </is>
      </c>
      <c r="V315" s="20" t="n"/>
      <c r="W315" s="26" t="n"/>
      <c r="X315" s="26" t="n"/>
      <c r="Y315" s="22" t="n"/>
      <c r="Z315" s="27" t="n">
        <v>600</v>
      </c>
      <c r="AA315" s="27" t="n">
        <v>120210000</v>
      </c>
      <c r="AB315" s="27" t="n">
        <v>534000000</v>
      </c>
      <c r="AC315" s="20" t="n"/>
      <c r="AD315" s="20">
        <f>IF($J315="","출고일 미정",IF($P315="X","작지 미발행",IF($P315="부분","작지 일부 미발행",IF(AND($R315&lt;&gt;"",$R315&gt;$M315),"소재입고 마감("&amp;TEXT($M315,"MM/DD")&amp;") 초과",IF($P315="","발행여부 확인 필요",IF($R315="","소재 입고일정 확인 필요","정상"))))))</f>
        <v/>
      </c>
      <c r="AE315" s="19">
        <f>IF($J315="","",IF(OR(LEFT($AD315,2)="작지",LEFT($AD315,4)="소재입고"),IF(LEFT($G315,1)="A","★ 납기위험(A코드)","◆ 지연주의"),IF($AD315="정상","✓ 정상","? 확인필요")))</f>
        <v/>
      </c>
      <c r="AF315" s="21" t="n"/>
      <c r="AG315" s="28" t="n"/>
    </row>
    <row r="316">
      <c r="A316" s="19" t="n">
        <v>312</v>
      </c>
      <c r="B316" s="20" t="inlineStr">
        <is>
          <t>문도혁</t>
        </is>
      </c>
      <c r="C316" s="20" t="inlineStr">
        <is>
          <t>강기환</t>
        </is>
      </c>
      <c r="D316" s="20" t="inlineStr">
        <is>
          <t>JWJDW27641</t>
        </is>
      </c>
      <c r="E316" s="20" t="inlineStr">
        <is>
          <t>남성 고어텍스 2L 헤비 다운</t>
        </is>
      </c>
      <c r="F316" s="20" t="inlineStr">
        <is>
          <t>CTP/DEB</t>
        </is>
      </c>
      <c r="G316" s="19">
        <f>IF($D316="","",IF(MID($D316,5,1)="A","A(가을)",IF(MID($D316,5,1)="W","W(겨울)",IF(MID($D316,5,1)="X","X(사계절)",MID($D316,5,1)))))</f>
        <v/>
      </c>
      <c r="H316" s="19" t="n"/>
      <c r="I316" s="21" t="inlineStr">
        <is>
          <t>10월1주</t>
        </is>
      </c>
      <c r="J316" s="22">
        <f>IF($I316="","",IFERROR(DATE(기준정보!$C$7,VALUE(LEFT($I316,FIND("월",$I316)-1)),1+7*(VALUE(SUBSTITUTE(MID($I316,FIND("월",$I316)+1,5),"주",""))-1)),""))</f>
        <v/>
      </c>
      <c r="K316" s="22">
        <f>IF($J316="","",IF(AND(ISNUMBER(SEARCH("미얀마",$U316)),$J316-기준정보!$C$5&gt;=기준정보!$C$8,$J316-기준정보!$C$5&lt;=기준정보!$C$9),기준정보!$C$8-1,IF(AND(ISNUMBER(SEARCH("인도네시아",$U316)),$J316-기준정보!$C$5&gt;=기준정보!$C$10,$J316-기준정보!$C$5&lt;=기준정보!$C$11),기준정보!$C$10-1,$J316-기준정보!$C$5)))</f>
        <v/>
      </c>
      <c r="L316" s="23">
        <f>IF($K316="","",IF(ISNUMBER(SEARCH("미얀마",$U316)),MAX(0,MIN($K316,기준정보!$C$9)-MAX($K316-기준정보!$C$6,기준정보!$C$8)+1),IF(ISNUMBER(SEARCH("인도네시아",$U316)),MAX(0,MIN($K316,기준정보!$C$11)-MAX($K316-기준정보!$C$6,기준정보!$C$10)+1),0)))</f>
        <v/>
      </c>
      <c r="M316" s="22">
        <f>IF($K316="","",$K316-기준정보!$C$6-$L316)</f>
        <v/>
      </c>
      <c r="N316" s="24">
        <f>IF($M316="","",$M316-기준정보!$C$4)</f>
        <v/>
      </c>
      <c r="O316" s="21" t="n"/>
      <c r="P316" s="21" t="n"/>
      <c r="Q316" s="21" t="n"/>
      <c r="R316" s="25" t="n"/>
      <c r="S316" s="20">
        <f>IF($H316="","",IF($H316="C","본사(소재팀)",IF($H316="완","생산처","확인 필요")))</f>
        <v/>
      </c>
      <c r="T316" s="20" t="inlineStr">
        <is>
          <t>기도</t>
        </is>
      </c>
      <c r="U316" s="20" t="inlineStr">
        <is>
          <t>베트남</t>
        </is>
      </c>
      <c r="V316" s="20" t="n"/>
      <c r="W316" s="26" t="n"/>
      <c r="X316" s="26" t="n"/>
      <c r="Y316" s="22" t="n"/>
      <c r="Z316" s="27" t="n">
        <v>250</v>
      </c>
      <c r="AA316" s="27" t="n">
        <v>70467500</v>
      </c>
      <c r="AB316" s="27" t="n">
        <v>300000000</v>
      </c>
      <c r="AC316" s="20" t="n"/>
      <c r="AD316" s="20">
        <f>IF($J316="","출고일 미정",IF($P316="X","작지 미발행",IF($P316="부분","작지 일부 미발행",IF(AND($R316&lt;&gt;"",$R316&gt;$M316),"소재입고 마감("&amp;TEXT($M316,"MM/DD")&amp;") 초과",IF($P316="","발행여부 확인 필요",IF($R316="","소재 입고일정 확인 필요","정상"))))))</f>
        <v/>
      </c>
      <c r="AE316" s="19">
        <f>IF($J316="","",IF(OR(LEFT($AD316,2)="작지",LEFT($AD316,4)="소재입고"),IF(LEFT($G316,1)="A","★ 납기위험(A코드)","◆ 지연주의"),IF($AD316="정상","✓ 정상","? 확인필요")))</f>
        <v/>
      </c>
      <c r="AF316" s="21" t="n"/>
      <c r="AG316" s="28" t="n"/>
    </row>
    <row r="317">
      <c r="A317" s="19" t="n">
        <v>313</v>
      </c>
      <c r="B317" s="20" t="inlineStr">
        <is>
          <t>박진아</t>
        </is>
      </c>
      <c r="C317" s="20" t="inlineStr">
        <is>
          <t>나영길</t>
        </is>
      </c>
      <c r="D317" s="20" t="inlineStr">
        <is>
          <t>JKJFW27402</t>
        </is>
      </c>
      <c r="E317" s="20" t="inlineStr">
        <is>
          <t>여성 사카리바 플리스 풀 집업</t>
        </is>
      </c>
      <c r="F317" s="20" t="inlineStr">
        <is>
          <t>NEG/PEG</t>
        </is>
      </c>
      <c r="G317" s="19">
        <f>IF($D317="","",IF(MID($D317,5,1)="A","A(가을)",IF(MID($D317,5,1)="W","W(겨울)",IF(MID($D317,5,1)="X","X(사계절)",MID($D317,5,1)))))</f>
        <v/>
      </c>
      <c r="H317" s="19" t="n"/>
      <c r="I317" s="21" t="inlineStr">
        <is>
          <t>10월2주</t>
        </is>
      </c>
      <c r="J317" s="22">
        <f>IF($I317="","",IFERROR(DATE(기준정보!$C$7,VALUE(LEFT($I317,FIND("월",$I317)-1)),1+7*(VALUE(SUBSTITUTE(MID($I317,FIND("월",$I317)+1,5),"주",""))-1)),""))</f>
        <v/>
      </c>
      <c r="K317" s="22">
        <f>IF($J317="","",IF(AND(ISNUMBER(SEARCH("미얀마",$U317)),$J317-기준정보!$C$5&gt;=기준정보!$C$8,$J317-기준정보!$C$5&lt;=기준정보!$C$9),기준정보!$C$8-1,IF(AND(ISNUMBER(SEARCH("인도네시아",$U317)),$J317-기준정보!$C$5&gt;=기준정보!$C$10,$J317-기준정보!$C$5&lt;=기준정보!$C$11),기준정보!$C$10-1,$J317-기준정보!$C$5)))</f>
        <v/>
      </c>
      <c r="L317" s="23">
        <f>IF($K317="","",IF(ISNUMBER(SEARCH("미얀마",$U317)),MAX(0,MIN($K317,기준정보!$C$9)-MAX($K317-기준정보!$C$6,기준정보!$C$8)+1),IF(ISNUMBER(SEARCH("인도네시아",$U317)),MAX(0,MIN($K317,기준정보!$C$11)-MAX($K317-기준정보!$C$6,기준정보!$C$10)+1),0)))</f>
        <v/>
      </c>
      <c r="M317" s="22">
        <f>IF($K317="","",$K317-기준정보!$C$6-$L317)</f>
        <v/>
      </c>
      <c r="N317" s="24">
        <f>IF($M317="","",$M317-기준정보!$C$4)</f>
        <v/>
      </c>
      <c r="O317" s="21" t="n"/>
      <c r="P317" s="21" t="n"/>
      <c r="Q317" s="21" t="n"/>
      <c r="R317" s="25" t="n"/>
      <c r="S317" s="20">
        <f>IF($H317="","",IF($H317="C","본사(소재팀)",IF($H317="완","생산처","확인 필요")))</f>
        <v/>
      </c>
      <c r="T317" s="20" t="inlineStr">
        <is>
          <t>장안</t>
        </is>
      </c>
      <c r="U317" s="20" t="inlineStr">
        <is>
          <t>베트남</t>
        </is>
      </c>
      <c r="V317" s="20" t="n"/>
      <c r="W317" s="26" t="n"/>
      <c r="X317" s="26" t="n"/>
      <c r="Y317" s="22" t="n"/>
      <c r="Z317" s="27" t="n">
        <v>800</v>
      </c>
      <c r="AA317" s="27" t="n">
        <v>46212000</v>
      </c>
      <c r="AB317" s="27" t="n">
        <v>176000000</v>
      </c>
      <c r="AC317" s="20" t="n"/>
      <c r="AD317" s="20">
        <f>IF($J317="","출고일 미정",IF($P317="X","작지 미발행",IF($P317="부분","작지 일부 미발행",IF(AND($R317&lt;&gt;"",$R317&gt;$M317),"소재입고 마감("&amp;TEXT($M317,"MM/DD")&amp;") 초과",IF($P317="","발행여부 확인 필요",IF($R317="","소재 입고일정 확인 필요","정상"))))))</f>
        <v/>
      </c>
      <c r="AE317" s="19">
        <f>IF($J317="","",IF(OR(LEFT($AD317,2)="작지",LEFT($AD317,4)="소재입고"),IF(LEFT($G317,1)="A","★ 납기위험(A코드)","◆ 지연주의"),IF($AD317="정상","✓ 정상","? 확인필요")))</f>
        <v/>
      </c>
      <c r="AF317" s="21" t="n"/>
      <c r="AG317" s="28" t="n"/>
    </row>
    <row r="318">
      <c r="A318" s="19" t="n">
        <v>314</v>
      </c>
      <c r="B318" s="20" t="inlineStr">
        <is>
          <t>박진아</t>
        </is>
      </c>
      <c r="C318" s="20" t="inlineStr">
        <is>
          <t>나영길</t>
        </is>
      </c>
      <c r="D318" s="20" t="inlineStr">
        <is>
          <t>JKPNW27406</t>
        </is>
      </c>
      <c r="E318" s="20" t="inlineStr">
        <is>
          <t>여성 고어 윈드스토퍼 팬츠</t>
        </is>
      </c>
      <c r="F318" s="20" t="inlineStr">
        <is>
          <t>ABE/DEB</t>
        </is>
      </c>
      <c r="G318" s="19">
        <f>IF($D318="","",IF(MID($D318,5,1)="A","A(가을)",IF(MID($D318,5,1)="W","W(겨울)",IF(MID($D318,5,1)="X","X(사계절)",MID($D318,5,1)))))</f>
        <v/>
      </c>
      <c r="H318" s="19" t="n"/>
      <c r="I318" s="21" t="inlineStr">
        <is>
          <t>10월2주</t>
        </is>
      </c>
      <c r="J318" s="22">
        <f>IF($I318="","",IFERROR(DATE(기준정보!$C$7,VALUE(LEFT($I318,FIND("월",$I318)-1)),1+7*(VALUE(SUBSTITUTE(MID($I318,FIND("월",$I318)+1,5),"주",""))-1)),""))</f>
        <v/>
      </c>
      <c r="K318" s="22">
        <f>IF($J318="","",IF(AND(ISNUMBER(SEARCH("미얀마",$U318)),$J318-기준정보!$C$5&gt;=기준정보!$C$8,$J318-기준정보!$C$5&lt;=기준정보!$C$9),기준정보!$C$8-1,IF(AND(ISNUMBER(SEARCH("인도네시아",$U318)),$J318-기준정보!$C$5&gt;=기준정보!$C$10,$J318-기준정보!$C$5&lt;=기준정보!$C$11),기준정보!$C$10-1,$J318-기준정보!$C$5)))</f>
        <v/>
      </c>
      <c r="L318" s="23">
        <f>IF($K318="","",IF(ISNUMBER(SEARCH("미얀마",$U318)),MAX(0,MIN($K318,기준정보!$C$9)-MAX($K318-기준정보!$C$6,기준정보!$C$8)+1),IF(ISNUMBER(SEARCH("인도네시아",$U318)),MAX(0,MIN($K318,기준정보!$C$11)-MAX($K318-기준정보!$C$6,기준정보!$C$10)+1),0)))</f>
        <v/>
      </c>
      <c r="M318" s="22">
        <f>IF($K318="","",$K318-기준정보!$C$6-$L318)</f>
        <v/>
      </c>
      <c r="N318" s="24">
        <f>IF($M318="","",$M318-기준정보!$C$4)</f>
        <v/>
      </c>
      <c r="O318" s="21" t="n"/>
      <c r="P318" s="21" t="n"/>
      <c r="Q318" s="21" t="n"/>
      <c r="R318" s="25" t="n"/>
      <c r="S318" s="20">
        <f>IF($H318="","",IF($H318="C","본사(소재팀)",IF($H318="완","생산처","확인 필요")))</f>
        <v/>
      </c>
      <c r="T318" s="20" t="inlineStr">
        <is>
          <t>TBO</t>
        </is>
      </c>
      <c r="U318" s="20" t="inlineStr">
        <is>
          <t>베트남</t>
        </is>
      </c>
      <c r="V318" s="20" t="n"/>
      <c r="W318" s="26" t="n"/>
      <c r="X318" s="26" t="n"/>
      <c r="Y318" s="22" t="n"/>
      <c r="Z318" s="27" t="n">
        <v>550</v>
      </c>
      <c r="AA318" s="27" t="n">
        <v>51744550</v>
      </c>
      <c r="AB318" s="27" t="n">
        <v>192500000</v>
      </c>
      <c r="AC318" s="20" t="n"/>
      <c r="AD318" s="20">
        <f>IF($J318="","출고일 미정",IF($P318="X","작지 미발행",IF($P318="부분","작지 일부 미발행",IF(AND($R318&lt;&gt;"",$R318&gt;$M318),"소재입고 마감("&amp;TEXT($M318,"MM/DD")&amp;") 초과",IF($P318="","발행여부 확인 필요",IF($R318="","소재 입고일정 확인 필요","정상"))))))</f>
        <v/>
      </c>
      <c r="AE318" s="19">
        <f>IF($J318="","",IF(OR(LEFT($AD318,2)="작지",LEFT($AD318,4)="소재입고"),IF(LEFT($G318,1)="A","★ 납기위험(A코드)","◆ 지연주의"),IF($AD318="정상","✓ 정상","? 확인필요")))</f>
        <v/>
      </c>
      <c r="AF318" s="21" t="n"/>
      <c r="AG318" s="28" t="n"/>
    </row>
    <row r="319">
      <c r="A319" s="19" t="n">
        <v>315</v>
      </c>
      <c r="B319" s="20" t="inlineStr">
        <is>
          <t>박진아</t>
        </is>
      </c>
      <c r="C319" s="20" t="inlineStr">
        <is>
          <t>나영길</t>
        </is>
      </c>
      <c r="D319" s="20" t="inlineStr">
        <is>
          <t>JWJFW27401</t>
        </is>
      </c>
      <c r="E319" s="20" t="inlineStr">
        <is>
          <t>남성 사카리바 플리스 풀 집업</t>
        </is>
      </c>
      <c r="F319" s="20" t="inlineStr">
        <is>
          <t>SKA/DOE/DEB</t>
        </is>
      </c>
      <c r="G319" s="19">
        <f>IF($D319="","",IF(MID($D319,5,1)="A","A(가을)",IF(MID($D319,5,1)="W","W(겨울)",IF(MID($D319,5,1)="X","X(사계절)",MID($D319,5,1)))))</f>
        <v/>
      </c>
      <c r="H319" s="19" t="n"/>
      <c r="I319" s="21" t="inlineStr">
        <is>
          <t>10월2주</t>
        </is>
      </c>
      <c r="J319" s="22">
        <f>IF($I319="","",IFERROR(DATE(기준정보!$C$7,VALUE(LEFT($I319,FIND("월",$I319)-1)),1+7*(VALUE(SUBSTITUTE(MID($I319,FIND("월",$I319)+1,5),"주",""))-1)),""))</f>
        <v/>
      </c>
      <c r="K319" s="22">
        <f>IF($J319="","",IF(AND(ISNUMBER(SEARCH("미얀마",$U319)),$J319-기준정보!$C$5&gt;=기준정보!$C$8,$J319-기준정보!$C$5&lt;=기준정보!$C$9),기준정보!$C$8-1,IF(AND(ISNUMBER(SEARCH("인도네시아",$U319)),$J319-기준정보!$C$5&gt;=기준정보!$C$10,$J319-기준정보!$C$5&lt;=기준정보!$C$11),기준정보!$C$10-1,$J319-기준정보!$C$5)))</f>
        <v/>
      </c>
      <c r="L319" s="23">
        <f>IF($K319="","",IF(ISNUMBER(SEARCH("미얀마",$U319)),MAX(0,MIN($K319,기준정보!$C$9)-MAX($K319-기준정보!$C$6,기준정보!$C$8)+1),IF(ISNUMBER(SEARCH("인도네시아",$U319)),MAX(0,MIN($K319,기준정보!$C$11)-MAX($K319-기준정보!$C$6,기준정보!$C$10)+1),0)))</f>
        <v/>
      </c>
      <c r="M319" s="22">
        <f>IF($K319="","",$K319-기준정보!$C$6-$L319)</f>
        <v/>
      </c>
      <c r="N319" s="24">
        <f>IF($M319="","",$M319-기준정보!$C$4)</f>
        <v/>
      </c>
      <c r="O319" s="21" t="n"/>
      <c r="P319" s="21" t="n"/>
      <c r="Q319" s="21" t="n"/>
      <c r="R319" s="25" t="n"/>
      <c r="S319" s="20">
        <f>IF($H319="","",IF($H319="C","본사(소재팀)",IF($H319="완","생산처","확인 필요")))</f>
        <v/>
      </c>
      <c r="T319" s="20" t="inlineStr">
        <is>
          <t>장안</t>
        </is>
      </c>
      <c r="U319" s="20" t="inlineStr">
        <is>
          <t>베트남</t>
        </is>
      </c>
      <c r="V319" s="20" t="n"/>
      <c r="W319" s="26" t="n"/>
      <c r="X319" s="26" t="n"/>
      <c r="Y319" s="22" t="n"/>
      <c r="Z319" s="27" t="n">
        <v>800</v>
      </c>
      <c r="AA319" s="27" t="n">
        <v>48800000</v>
      </c>
      <c r="AB319" s="27" t="n">
        <v>176000000</v>
      </c>
      <c r="AC319" s="20" t="n"/>
      <c r="AD319" s="20">
        <f>IF($J319="","출고일 미정",IF($P319="X","작지 미발행",IF($P319="부분","작지 일부 미발행",IF(AND($R319&lt;&gt;"",$R319&gt;$M319),"소재입고 마감("&amp;TEXT($M319,"MM/DD")&amp;") 초과",IF($P319="","발행여부 확인 필요",IF($R319="","소재 입고일정 확인 필요","정상"))))))</f>
        <v/>
      </c>
      <c r="AE319" s="19">
        <f>IF($J319="","",IF(OR(LEFT($AD319,2)="작지",LEFT($AD319,4)="소재입고"),IF(LEFT($G319,1)="A","★ 납기위험(A코드)","◆ 지연주의"),IF($AD319="정상","✓ 정상","? 확인필요")))</f>
        <v/>
      </c>
      <c r="AF319" s="21" t="n"/>
      <c r="AG319" s="28" t="n"/>
    </row>
    <row r="320">
      <c r="A320" s="19" t="n">
        <v>316</v>
      </c>
      <c r="B320" s="20" t="inlineStr">
        <is>
          <t>박진아</t>
        </is>
      </c>
      <c r="C320" s="20" t="inlineStr">
        <is>
          <t>나영길</t>
        </is>
      </c>
      <c r="D320" s="20" t="inlineStr">
        <is>
          <t>JWPNW27405</t>
        </is>
      </c>
      <c r="E320" s="20" t="inlineStr">
        <is>
          <t>남성 고어 윈드스토퍼 팬츠</t>
        </is>
      </c>
      <c r="F320" s="20" t="inlineStr">
        <is>
          <t>CTP/DEB</t>
        </is>
      </c>
      <c r="G320" s="19">
        <f>IF($D320="","",IF(MID($D320,5,1)="A","A(가을)",IF(MID($D320,5,1)="W","W(겨울)",IF(MID($D320,5,1)="X","X(사계절)",MID($D320,5,1)))))</f>
        <v/>
      </c>
      <c r="H320" s="19" t="n"/>
      <c r="I320" s="21" t="inlineStr">
        <is>
          <t>10월2주</t>
        </is>
      </c>
      <c r="J320" s="22">
        <f>IF($I320="","",IFERROR(DATE(기준정보!$C$7,VALUE(LEFT($I320,FIND("월",$I320)-1)),1+7*(VALUE(SUBSTITUTE(MID($I320,FIND("월",$I320)+1,5),"주",""))-1)),""))</f>
        <v/>
      </c>
      <c r="K320" s="22">
        <f>IF($J320="","",IF(AND(ISNUMBER(SEARCH("미얀마",$U320)),$J320-기준정보!$C$5&gt;=기준정보!$C$8,$J320-기준정보!$C$5&lt;=기준정보!$C$9),기준정보!$C$8-1,IF(AND(ISNUMBER(SEARCH("인도네시아",$U320)),$J320-기준정보!$C$5&gt;=기준정보!$C$10,$J320-기준정보!$C$5&lt;=기준정보!$C$11),기준정보!$C$10-1,$J320-기준정보!$C$5)))</f>
        <v/>
      </c>
      <c r="L320" s="23">
        <f>IF($K320="","",IF(ISNUMBER(SEARCH("미얀마",$U320)),MAX(0,MIN($K320,기준정보!$C$9)-MAX($K320-기준정보!$C$6,기준정보!$C$8)+1),IF(ISNUMBER(SEARCH("인도네시아",$U320)),MAX(0,MIN($K320,기준정보!$C$11)-MAX($K320-기준정보!$C$6,기준정보!$C$10)+1),0)))</f>
        <v/>
      </c>
      <c r="M320" s="22">
        <f>IF($K320="","",$K320-기준정보!$C$6-$L320)</f>
        <v/>
      </c>
      <c r="N320" s="24">
        <f>IF($M320="","",$M320-기준정보!$C$4)</f>
        <v/>
      </c>
      <c r="O320" s="21" t="n"/>
      <c r="P320" s="21" t="n"/>
      <c r="Q320" s="21" t="n"/>
      <c r="R320" s="25" t="n"/>
      <c r="S320" s="20">
        <f>IF($H320="","",IF($H320="C","본사(소재팀)",IF($H320="완","생산처","확인 필요")))</f>
        <v/>
      </c>
      <c r="T320" s="20" t="inlineStr">
        <is>
          <t>TBO</t>
        </is>
      </c>
      <c r="U320" s="20" t="inlineStr">
        <is>
          <t>베트남</t>
        </is>
      </c>
      <c r="V320" s="20" t="n"/>
      <c r="W320" s="26" t="n"/>
      <c r="X320" s="26" t="n"/>
      <c r="Y320" s="22" t="n"/>
      <c r="Z320" s="27" t="n">
        <v>1200</v>
      </c>
      <c r="AA320" s="27" t="n">
        <v>105404400</v>
      </c>
      <c r="AB320" s="27" t="n">
        <v>420000000</v>
      </c>
      <c r="AC320" s="20" t="n"/>
      <c r="AD320" s="20">
        <f>IF($J320="","출고일 미정",IF($P320="X","작지 미발행",IF($P320="부분","작지 일부 미발행",IF(AND($R320&lt;&gt;"",$R320&gt;$M320),"소재입고 마감("&amp;TEXT($M320,"MM/DD")&amp;") 초과",IF($P320="","발행여부 확인 필요",IF($R320="","소재 입고일정 확인 필요","정상"))))))</f>
        <v/>
      </c>
      <c r="AE320" s="19">
        <f>IF($J320="","",IF(OR(LEFT($AD320,2)="작지",LEFT($AD320,4)="소재입고"),IF(LEFT($G320,1)="A","★ 납기위험(A코드)","◆ 지연주의"),IF($AD320="정상","✓ 정상","? 확인필요")))</f>
        <v/>
      </c>
      <c r="AF320" s="21" t="n"/>
      <c r="AG320" s="28" t="n"/>
    </row>
    <row r="321">
      <c r="A321" s="19" t="n">
        <v>317</v>
      </c>
      <c r="B321" s="20" t="inlineStr">
        <is>
          <t>정영준</t>
        </is>
      </c>
      <c r="C321" s="20" t="inlineStr">
        <is>
          <t>강기환</t>
        </is>
      </c>
      <c r="D321" s="20" t="inlineStr">
        <is>
          <t>JKJDW27632</t>
        </is>
      </c>
      <c r="E321" s="20" t="inlineStr">
        <is>
          <t>여성 고어텍스 2L 헤비 다운</t>
        </is>
      </c>
      <c r="F321" s="20" t="inlineStr">
        <is>
          <t>DEB/DPL</t>
        </is>
      </c>
      <c r="G321" s="19">
        <f>IF($D321="","",IF(MID($D321,5,1)="A","A(가을)",IF(MID($D321,5,1)="W","W(겨울)",IF(MID($D321,5,1)="X","X(사계절)",MID($D321,5,1)))))</f>
        <v/>
      </c>
      <c r="H321" s="19" t="n"/>
      <c r="I321" s="21" t="inlineStr">
        <is>
          <t>10월3주</t>
        </is>
      </c>
      <c r="J321" s="22">
        <f>IF($I321="","",IFERROR(DATE(기준정보!$C$7,VALUE(LEFT($I321,FIND("월",$I321)-1)),1+7*(VALUE(SUBSTITUTE(MID($I321,FIND("월",$I321)+1,5),"주",""))-1)),""))</f>
        <v/>
      </c>
      <c r="K321" s="22">
        <f>IF($J321="","",IF(AND(ISNUMBER(SEARCH("미얀마",$U321)),$J321-기준정보!$C$5&gt;=기준정보!$C$8,$J321-기준정보!$C$5&lt;=기준정보!$C$9),기준정보!$C$8-1,IF(AND(ISNUMBER(SEARCH("인도네시아",$U321)),$J321-기준정보!$C$5&gt;=기준정보!$C$10,$J321-기준정보!$C$5&lt;=기준정보!$C$11),기준정보!$C$10-1,$J321-기준정보!$C$5)))</f>
        <v/>
      </c>
      <c r="L321" s="23">
        <f>IF($K321="","",IF(ISNUMBER(SEARCH("미얀마",$U321)),MAX(0,MIN($K321,기준정보!$C$9)-MAX($K321-기준정보!$C$6,기준정보!$C$8)+1),IF(ISNUMBER(SEARCH("인도네시아",$U321)),MAX(0,MIN($K321,기준정보!$C$11)-MAX($K321-기준정보!$C$6,기준정보!$C$10)+1),0)))</f>
        <v/>
      </c>
      <c r="M321" s="22">
        <f>IF($K321="","",$K321-기준정보!$C$6-$L321)</f>
        <v/>
      </c>
      <c r="N321" s="24">
        <f>IF($M321="","",$M321-기준정보!$C$4)</f>
        <v/>
      </c>
      <c r="O321" s="21" t="n"/>
      <c r="P321" s="21" t="n"/>
      <c r="Q321" s="21" t="n"/>
      <c r="R321" s="25" t="n"/>
      <c r="S321" s="20">
        <f>IF($H321="","",IF($H321="C","본사(소재팀)",IF($H321="완","생산처","확인 필요")))</f>
        <v/>
      </c>
      <c r="T321" s="20" t="inlineStr">
        <is>
          <t>포마트</t>
        </is>
      </c>
      <c r="U321" s="20" t="inlineStr">
        <is>
          <t>베트남</t>
        </is>
      </c>
      <c r="V321" s="20" t="n"/>
      <c r="W321" s="26" t="n"/>
      <c r="X321" s="26" t="n"/>
      <c r="Y321" s="22" t="n"/>
      <c r="Z321" s="27" t="n">
        <v>300</v>
      </c>
      <c r="AA321" s="27" t="n">
        <v>66000000</v>
      </c>
      <c r="AB321" s="27" t="n">
        <v>267000000</v>
      </c>
      <c r="AC321" s="20" t="n"/>
      <c r="AD321" s="20">
        <f>IF($J321="","출고일 미정",IF($P321="X","작지 미발행",IF($P321="부분","작지 일부 미발행",IF(AND($R321&lt;&gt;"",$R321&gt;$M321),"소재입고 마감("&amp;TEXT($M321,"MM/DD")&amp;") 초과",IF($P321="","발행여부 확인 필요",IF($R321="","소재 입고일정 확인 필요","정상"))))))</f>
        <v/>
      </c>
      <c r="AE321" s="19">
        <f>IF($J321="","",IF(OR(LEFT($AD321,2)="작지",LEFT($AD321,4)="소재입고"),IF(LEFT($G321,1)="A","★ 납기위험(A코드)","◆ 지연주의"),IF($AD321="정상","✓ 정상","? 확인필요")))</f>
        <v/>
      </c>
      <c r="AF321" s="21" t="n"/>
      <c r="AG321" s="28" t="n"/>
    </row>
    <row r="322">
      <c r="A322" s="19" t="n">
        <v>318</v>
      </c>
      <c r="B322" s="20" t="inlineStr">
        <is>
          <t>정영준</t>
        </is>
      </c>
      <c r="C322" s="20" t="inlineStr">
        <is>
          <t>강기환</t>
        </is>
      </c>
      <c r="D322" s="20" t="inlineStr">
        <is>
          <t>JKJDW27642</t>
        </is>
      </c>
      <c r="E322" s="20" t="inlineStr">
        <is>
          <t>여성 고어텍스 2L 롱 헤비 다운</t>
        </is>
      </c>
      <c r="F322" s="20" t="inlineStr">
        <is>
          <t>DEB/ABE</t>
        </is>
      </c>
      <c r="G322" s="19">
        <f>IF($D322="","",IF(MID($D322,5,1)="A","A(가을)",IF(MID($D322,5,1)="W","W(겨울)",IF(MID($D322,5,1)="X","X(사계절)",MID($D322,5,1)))))</f>
        <v/>
      </c>
      <c r="H322" s="19" t="n"/>
      <c r="I322" s="21" t="inlineStr">
        <is>
          <t>10월3주</t>
        </is>
      </c>
      <c r="J322" s="22">
        <f>IF($I322="","",IFERROR(DATE(기준정보!$C$7,VALUE(LEFT($I322,FIND("월",$I322)-1)),1+7*(VALUE(SUBSTITUTE(MID($I322,FIND("월",$I322)+1,5),"주",""))-1)),""))</f>
        <v/>
      </c>
      <c r="K322" s="22">
        <f>IF($J322="","",IF(AND(ISNUMBER(SEARCH("미얀마",$U322)),$J322-기준정보!$C$5&gt;=기준정보!$C$8,$J322-기준정보!$C$5&lt;=기준정보!$C$9),기준정보!$C$8-1,IF(AND(ISNUMBER(SEARCH("인도네시아",$U322)),$J322-기준정보!$C$5&gt;=기준정보!$C$10,$J322-기준정보!$C$5&lt;=기준정보!$C$11),기준정보!$C$10-1,$J322-기준정보!$C$5)))</f>
        <v/>
      </c>
      <c r="L322" s="23">
        <f>IF($K322="","",IF(ISNUMBER(SEARCH("미얀마",$U322)),MAX(0,MIN($K322,기준정보!$C$9)-MAX($K322-기준정보!$C$6,기준정보!$C$8)+1),IF(ISNUMBER(SEARCH("인도네시아",$U322)),MAX(0,MIN($K322,기준정보!$C$11)-MAX($K322-기준정보!$C$6,기준정보!$C$10)+1),0)))</f>
        <v/>
      </c>
      <c r="M322" s="22">
        <f>IF($K322="","",$K322-기준정보!$C$6-$L322)</f>
        <v/>
      </c>
      <c r="N322" s="24">
        <f>IF($M322="","",$M322-기준정보!$C$4)</f>
        <v/>
      </c>
      <c r="O322" s="21" t="n"/>
      <c r="P322" s="21" t="n"/>
      <c r="Q322" s="21" t="n"/>
      <c r="R322" s="25" t="n"/>
      <c r="S322" s="20">
        <f>IF($H322="","",IF($H322="C","본사(소재팀)",IF($H322="완","생산처","확인 필요")))</f>
        <v/>
      </c>
      <c r="T322" s="20" t="inlineStr">
        <is>
          <t>기도</t>
        </is>
      </c>
      <c r="U322" s="20" t="inlineStr">
        <is>
          <t>베트남</t>
        </is>
      </c>
      <c r="V322" s="20" t="n"/>
      <c r="W322" s="26" t="n"/>
      <c r="X322" s="26" t="n"/>
      <c r="Y322" s="22" t="n"/>
      <c r="Z322" s="27" t="n">
        <v>400</v>
      </c>
      <c r="AA322" s="27" t="n">
        <v>102000000</v>
      </c>
      <c r="AB322" s="27" t="n">
        <v>396000000</v>
      </c>
      <c r="AC322" s="20" t="n"/>
      <c r="AD322" s="20">
        <f>IF($J322="","출고일 미정",IF($P322="X","작지 미발행",IF($P322="부분","작지 일부 미발행",IF(AND($R322&lt;&gt;"",$R322&gt;$M322),"소재입고 마감("&amp;TEXT($M322,"MM/DD")&amp;") 초과",IF($P322="","발행여부 확인 필요",IF($R322="","소재 입고일정 확인 필요","정상"))))))</f>
        <v/>
      </c>
      <c r="AE322" s="19">
        <f>IF($J322="","",IF(OR(LEFT($AD322,2)="작지",LEFT($AD322,4)="소재입고"),IF(LEFT($G322,1)="A","★ 납기위험(A코드)","◆ 지연주의"),IF($AD322="정상","✓ 정상","? 확인필요")))</f>
        <v/>
      </c>
      <c r="AF322" s="21" t="n"/>
      <c r="AG322" s="28" t="n"/>
    </row>
    <row r="323">
      <c r="A323" s="19" t="n">
        <v>319</v>
      </c>
      <c r="B323" s="20" t="inlineStr">
        <is>
          <t>최진민</t>
        </is>
      </c>
      <c r="C323" s="20" t="inlineStr">
        <is>
          <t>김지원</t>
        </is>
      </c>
      <c r="D323" s="20" t="inlineStr">
        <is>
          <t>JNJDW27005</t>
        </is>
      </c>
      <c r="E323" s="20" t="inlineStr">
        <is>
          <t>남녀공용 빌레이 헤비 다운</t>
        </is>
      </c>
      <c r="F323" s="20" t="inlineStr">
        <is>
          <t>DEB/EFL</t>
        </is>
      </c>
      <c r="G323" s="19">
        <f>IF($D323="","",IF(MID($D323,5,1)="A","A(가을)",IF(MID($D323,5,1)="W","W(겨울)",IF(MID($D323,5,1)="X","X(사계절)",MID($D323,5,1)))))</f>
        <v/>
      </c>
      <c r="H323" s="19" t="inlineStr">
        <is>
          <t>C</t>
        </is>
      </c>
      <c r="I323" s="21" t="inlineStr">
        <is>
          <t>10월3주</t>
        </is>
      </c>
      <c r="J323" s="22">
        <f>IF($I323="","",IFERROR(DATE(기준정보!$C$7,VALUE(LEFT($I323,FIND("월",$I323)-1)),1+7*(VALUE(SUBSTITUTE(MID($I323,FIND("월",$I323)+1,5),"주",""))-1)),""))</f>
        <v/>
      </c>
      <c r="K323" s="22">
        <f>IF($J323="","",IF(AND(ISNUMBER(SEARCH("미얀마",$U323)),$J323-기준정보!$C$5&gt;=기준정보!$C$8,$J323-기준정보!$C$5&lt;=기준정보!$C$9),기준정보!$C$8-1,IF(AND(ISNUMBER(SEARCH("인도네시아",$U323)),$J323-기준정보!$C$5&gt;=기준정보!$C$10,$J323-기준정보!$C$5&lt;=기준정보!$C$11),기준정보!$C$10-1,$J323-기준정보!$C$5)))</f>
        <v/>
      </c>
      <c r="L323" s="23">
        <f>IF($K323="","",IF(ISNUMBER(SEARCH("미얀마",$U323)),MAX(0,MIN($K323,기준정보!$C$9)-MAX($K323-기준정보!$C$6,기준정보!$C$8)+1),IF(ISNUMBER(SEARCH("인도네시아",$U323)),MAX(0,MIN($K323,기준정보!$C$11)-MAX($K323-기준정보!$C$6,기준정보!$C$10)+1),0)))</f>
        <v/>
      </c>
      <c r="M323" s="22">
        <f>IF($K323="","",$K323-기준정보!$C$6-$L323)</f>
        <v/>
      </c>
      <c r="N323" s="24">
        <f>IF($M323="","",$M323-기준정보!$C$4)</f>
        <v/>
      </c>
      <c r="O323" s="21" t="n"/>
      <c r="P323" s="21" t="n"/>
      <c r="Q323" s="21" t="n"/>
      <c r="R323" s="25" t="n"/>
      <c r="S323" s="20">
        <f>IF($H323="","",IF($H323="C","본사(소재팀)",IF($H323="완","생산처","확인 필요")))</f>
        <v/>
      </c>
      <c r="T323" s="20" t="inlineStr">
        <is>
          <t>원전</t>
        </is>
      </c>
      <c r="U323" s="20" t="inlineStr">
        <is>
          <t>인도네시아</t>
        </is>
      </c>
      <c r="V323" s="20" t="n"/>
      <c r="W323" s="26" t="n"/>
      <c r="X323" s="26" t="n"/>
      <c r="Y323" s="22" t="n"/>
      <c r="Z323" s="27" t="n">
        <v>170</v>
      </c>
      <c r="AA323" s="27" t="n">
        <v>45900000</v>
      </c>
      <c r="AB323" s="27" t="n">
        <v>221000000</v>
      </c>
      <c r="AC323" s="20" t="n"/>
      <c r="AD323" s="20">
        <f>IF($J323="","출고일 미정",IF($P323="X","작지 미발행",IF($P323="부분","작지 일부 미발행",IF(AND($R323&lt;&gt;"",$R323&gt;$M323),"소재입고 마감("&amp;TEXT($M323,"MM/DD")&amp;") 초과",IF($P323="","발행여부 확인 필요",IF($R323="","소재 입고일정 확인 필요","정상"))))))</f>
        <v/>
      </c>
      <c r="AE323" s="19">
        <f>IF($J323="","",IF(OR(LEFT($AD323,2)="작지",LEFT($AD323,4)="소재입고"),IF(LEFT($G323,1)="A","★ 납기위험(A코드)","◆ 지연주의"),IF($AD323="정상","✓ 정상","? 확인필요")))</f>
        <v/>
      </c>
      <c r="AF323" s="21" t="n"/>
      <c r="AG323" s="28" t="n"/>
    </row>
    <row r="324">
      <c r="A324" s="19" t="n">
        <v>320</v>
      </c>
      <c r="B324" s="20" t="inlineStr">
        <is>
          <t>최진민</t>
        </is>
      </c>
      <c r="C324" s="20" t="inlineStr">
        <is>
          <t>김지원</t>
        </is>
      </c>
      <c r="D324" s="20" t="inlineStr">
        <is>
          <t>JNPNW27005</t>
        </is>
      </c>
      <c r="E324" s="20" t="inlineStr">
        <is>
          <t>남녀공용 빌레이 루즈핏 다운 팬츠</t>
        </is>
      </c>
      <c r="F324" s="20" t="inlineStr">
        <is>
          <t>DEB</t>
        </is>
      </c>
      <c r="G324" s="19">
        <f>IF($D324="","",IF(MID($D324,5,1)="A","A(가을)",IF(MID($D324,5,1)="W","W(겨울)",IF(MID($D324,5,1)="X","X(사계절)",MID($D324,5,1)))))</f>
        <v/>
      </c>
      <c r="H324" s="19" t="inlineStr">
        <is>
          <t>완</t>
        </is>
      </c>
      <c r="I324" s="21" t="inlineStr">
        <is>
          <t>10월3주</t>
        </is>
      </c>
      <c r="J324" s="22">
        <f>IF($I324="","",IFERROR(DATE(기준정보!$C$7,VALUE(LEFT($I324,FIND("월",$I324)-1)),1+7*(VALUE(SUBSTITUTE(MID($I324,FIND("월",$I324)+1,5),"주",""))-1)),""))</f>
        <v/>
      </c>
      <c r="K324" s="22">
        <f>IF($J324="","",IF(AND(ISNUMBER(SEARCH("미얀마",$U324)),$J324-기준정보!$C$5&gt;=기준정보!$C$8,$J324-기준정보!$C$5&lt;=기준정보!$C$9),기준정보!$C$8-1,IF(AND(ISNUMBER(SEARCH("인도네시아",$U324)),$J324-기준정보!$C$5&gt;=기준정보!$C$10,$J324-기준정보!$C$5&lt;=기준정보!$C$11),기준정보!$C$10-1,$J324-기준정보!$C$5)))</f>
        <v/>
      </c>
      <c r="L324" s="23">
        <f>IF($K324="","",IF(ISNUMBER(SEARCH("미얀마",$U324)),MAX(0,MIN($K324,기준정보!$C$9)-MAX($K324-기준정보!$C$6,기준정보!$C$8)+1),IF(ISNUMBER(SEARCH("인도네시아",$U324)),MAX(0,MIN($K324,기준정보!$C$11)-MAX($K324-기준정보!$C$6,기준정보!$C$10)+1),0)))</f>
        <v/>
      </c>
      <c r="M324" s="22">
        <f>IF($K324="","",$K324-기준정보!$C$6-$L324)</f>
        <v/>
      </c>
      <c r="N324" s="24">
        <f>IF($M324="","",$M324-기준정보!$C$4)</f>
        <v/>
      </c>
      <c r="O324" s="21" t="n"/>
      <c r="P324" s="21" t="n"/>
      <c r="Q324" s="21" t="n"/>
      <c r="R324" s="25" t="n"/>
      <c r="S324" s="20">
        <f>IF($H324="","",IF($H324="C","본사(소재팀)",IF($H324="완","생산처","확인 필요")))</f>
        <v/>
      </c>
      <c r="T324" s="20" t="inlineStr">
        <is>
          <t>아이블</t>
        </is>
      </c>
      <c r="U324" s="20" t="inlineStr">
        <is>
          <t>베트남</t>
        </is>
      </c>
      <c r="V324" s="20" t="n"/>
      <c r="W324" s="26" t="n"/>
      <c r="X324" s="26" t="n"/>
      <c r="Y324" s="22" t="n"/>
      <c r="Z324" s="27" t="n">
        <v>120</v>
      </c>
      <c r="AA324" s="27" t="n">
        <v>16800000</v>
      </c>
      <c r="AB324" s="27" t="n">
        <v>74400000</v>
      </c>
      <c r="AC324" s="20" t="n"/>
      <c r="AD324" s="20">
        <f>IF($J324="","출고일 미정",IF($P324="X","작지 미발행",IF($P324="부분","작지 일부 미발행",IF(AND($R324&lt;&gt;"",$R324&gt;$M324),"소재입고 마감("&amp;TEXT($M324,"MM/DD")&amp;") 초과",IF($P324="","발행여부 확인 필요",IF($R324="","소재 입고일정 확인 필요","정상"))))))</f>
        <v/>
      </c>
      <c r="AE324" s="19">
        <f>IF($J324="","",IF(OR(LEFT($AD324,2)="작지",LEFT($AD324,4)="소재입고"),IF(LEFT($G324,1)="A","★ 납기위험(A코드)","◆ 지연주의"),IF($AD324="정상","✓ 정상","? 확인필요")))</f>
        <v/>
      </c>
      <c r="AF324" s="21" t="n"/>
      <c r="AG324" s="28" t="n"/>
    </row>
    <row r="325">
      <c r="A325" s="19" t="n">
        <v>321</v>
      </c>
      <c r="B325" s="20" t="inlineStr">
        <is>
          <t>문도혁</t>
        </is>
      </c>
      <c r="C325" s="20" t="inlineStr">
        <is>
          <t>이민선</t>
        </is>
      </c>
      <c r="D325" s="20" t="inlineStr">
        <is>
          <t>TLJDW27691</t>
        </is>
      </c>
      <c r="E325" s="20" t="inlineStr">
        <is>
          <t>남성 안타티카 고어텍스 2L 헤비 다운</t>
        </is>
      </c>
      <c r="F325" s="20" t="inlineStr">
        <is>
          <t>MUD/DEB</t>
        </is>
      </c>
      <c r="G325" s="19">
        <f>IF($D325="","",IF(MID($D325,5,1)="A","A(가을)",IF(MID($D325,5,1)="W","W(겨울)",IF(MID($D325,5,1)="X","X(사계절)",MID($D325,5,1)))))</f>
        <v/>
      </c>
      <c r="H325" s="19" t="inlineStr">
        <is>
          <t>C</t>
        </is>
      </c>
      <c r="I325" s="21" t="inlineStr">
        <is>
          <t>10월3주</t>
        </is>
      </c>
      <c r="J325" s="22">
        <f>IF($I325="","",IFERROR(DATE(기준정보!$C$7,VALUE(LEFT($I325,FIND("월",$I325)-1)),1+7*(VALUE(SUBSTITUTE(MID($I325,FIND("월",$I325)+1,5),"주",""))-1)),""))</f>
        <v/>
      </c>
      <c r="K325" s="22">
        <f>IF($J325="","",IF(AND(ISNUMBER(SEARCH("미얀마",$U325)),$J325-기준정보!$C$5&gt;=기준정보!$C$8,$J325-기준정보!$C$5&lt;=기준정보!$C$9),기준정보!$C$8-1,IF(AND(ISNUMBER(SEARCH("인도네시아",$U325)),$J325-기준정보!$C$5&gt;=기준정보!$C$10,$J325-기준정보!$C$5&lt;=기준정보!$C$11),기준정보!$C$10-1,$J325-기준정보!$C$5)))</f>
        <v/>
      </c>
      <c r="L325" s="23">
        <f>IF($K325="","",IF(ISNUMBER(SEARCH("미얀마",$U325)),MAX(0,MIN($K325,기준정보!$C$9)-MAX($K325-기준정보!$C$6,기준정보!$C$8)+1),IF(ISNUMBER(SEARCH("인도네시아",$U325)),MAX(0,MIN($K325,기준정보!$C$11)-MAX($K325-기준정보!$C$6,기준정보!$C$10)+1),0)))</f>
        <v/>
      </c>
      <c r="M325" s="22">
        <f>IF($K325="","",$K325-기준정보!$C$6-$L325)</f>
        <v/>
      </c>
      <c r="N325" s="24">
        <f>IF($M325="","",$M325-기준정보!$C$4)</f>
        <v/>
      </c>
      <c r="O325" s="21" t="n"/>
      <c r="P325" s="21" t="n"/>
      <c r="Q325" s="21" t="n"/>
      <c r="R325" s="25" t="n"/>
      <c r="S325" s="20">
        <f>IF($H325="","",IF($H325="C","본사(소재팀)",IF($H325="완","생산처","확인 필요")))</f>
        <v/>
      </c>
      <c r="T325" s="20" t="inlineStr">
        <is>
          <t>원전</t>
        </is>
      </c>
      <c r="U325" s="20" t="inlineStr">
        <is>
          <t>인도네시아</t>
        </is>
      </c>
      <c r="V325" s="20" t="n"/>
      <c r="W325" s="26" t="n"/>
      <c r="X325" s="26" t="n"/>
      <c r="Y325" s="22" t="n"/>
      <c r="Z325" s="27" t="n">
        <v>9000</v>
      </c>
      <c r="AA325" s="27" t="n">
        <v>2169099000</v>
      </c>
      <c r="AB325" s="27" t="n">
        <v>8010000000</v>
      </c>
      <c r="AC325" s="20" t="n"/>
      <c r="AD325" s="20">
        <f>IF($J325="","출고일 미정",IF($P325="X","작지 미발행",IF($P325="부분","작지 일부 미발행",IF(AND($R325&lt;&gt;"",$R325&gt;$M325),"소재입고 마감("&amp;TEXT($M325,"MM/DD")&amp;") 초과",IF($P325="","발행여부 확인 필요",IF($R325="","소재 입고일정 확인 필요","정상"))))))</f>
        <v/>
      </c>
      <c r="AE325" s="19">
        <f>IF($J325="","",IF(OR(LEFT($AD325,2)="작지",LEFT($AD325,4)="소재입고"),IF(LEFT($G325,1)="A","★ 납기위험(A코드)","◆ 지연주의"),IF($AD325="정상","✓ 정상","? 확인필요")))</f>
        <v/>
      </c>
      <c r="AF325" s="21" t="n"/>
      <c r="AG325" s="28" t="n"/>
    </row>
    <row r="326">
      <c r="A326" s="19" t="n">
        <v>322</v>
      </c>
      <c r="B326" s="20" t="inlineStr">
        <is>
          <t>문도혁</t>
        </is>
      </c>
      <c r="C326" s="20" t="inlineStr">
        <is>
          <t>이민선</t>
        </is>
      </c>
      <c r="D326" s="20" t="inlineStr">
        <is>
          <t>TLJDW27693</t>
        </is>
      </c>
      <c r="E326" s="20" t="inlineStr">
        <is>
          <t>남성 안타티카 고어텍스 2L 롱기장 헤비 다운</t>
        </is>
      </c>
      <c r="F326" s="20" t="inlineStr">
        <is>
          <t>CHR/DEB</t>
        </is>
      </c>
      <c r="G326" s="19">
        <f>IF($D326="","",IF(MID($D326,5,1)="A","A(가을)",IF(MID($D326,5,1)="W","W(겨울)",IF(MID($D326,5,1)="X","X(사계절)",MID($D326,5,1)))))</f>
        <v/>
      </c>
      <c r="H326" s="19" t="inlineStr">
        <is>
          <t>C</t>
        </is>
      </c>
      <c r="I326" s="21" t="inlineStr">
        <is>
          <t>10월3주</t>
        </is>
      </c>
      <c r="J326" s="22">
        <f>IF($I326="","",IFERROR(DATE(기준정보!$C$7,VALUE(LEFT($I326,FIND("월",$I326)-1)),1+7*(VALUE(SUBSTITUTE(MID($I326,FIND("월",$I326)+1,5),"주",""))-1)),""))</f>
        <v/>
      </c>
      <c r="K326" s="22">
        <f>IF($J326="","",IF(AND(ISNUMBER(SEARCH("미얀마",$U326)),$J326-기준정보!$C$5&gt;=기준정보!$C$8,$J326-기준정보!$C$5&lt;=기준정보!$C$9),기준정보!$C$8-1,IF(AND(ISNUMBER(SEARCH("인도네시아",$U326)),$J326-기준정보!$C$5&gt;=기준정보!$C$10,$J326-기준정보!$C$5&lt;=기준정보!$C$11),기준정보!$C$10-1,$J326-기준정보!$C$5)))</f>
        <v/>
      </c>
      <c r="L326" s="23">
        <f>IF($K326="","",IF(ISNUMBER(SEARCH("미얀마",$U326)),MAX(0,MIN($K326,기준정보!$C$9)-MAX($K326-기준정보!$C$6,기준정보!$C$8)+1),IF(ISNUMBER(SEARCH("인도네시아",$U326)),MAX(0,MIN($K326,기준정보!$C$11)-MAX($K326-기준정보!$C$6,기준정보!$C$10)+1),0)))</f>
        <v/>
      </c>
      <c r="M326" s="22">
        <f>IF($K326="","",$K326-기준정보!$C$6-$L326)</f>
        <v/>
      </c>
      <c r="N326" s="24">
        <f>IF($M326="","",$M326-기준정보!$C$4)</f>
        <v/>
      </c>
      <c r="O326" s="21" t="n"/>
      <c r="P326" s="21" t="n"/>
      <c r="Q326" s="21" t="n"/>
      <c r="R326" s="25" t="n"/>
      <c r="S326" s="20">
        <f>IF($H326="","",IF($H326="C","본사(소재팀)",IF($H326="완","생산처","확인 필요")))</f>
        <v/>
      </c>
      <c r="T326" s="20" t="inlineStr">
        <is>
          <t>원전</t>
        </is>
      </c>
      <c r="U326" s="20" t="inlineStr">
        <is>
          <t>인도네시아</t>
        </is>
      </c>
      <c r="V326" s="20" t="n"/>
      <c r="W326" s="26" t="n"/>
      <c r="X326" s="26" t="n"/>
      <c r="Y326" s="22" t="n"/>
      <c r="Z326" s="27" t="n">
        <v>4000</v>
      </c>
      <c r="AA326" s="27" t="n">
        <v>1132472000</v>
      </c>
      <c r="AB326" s="27" t="n">
        <v>4400000000</v>
      </c>
      <c r="AC326" s="20" t="n"/>
      <c r="AD326" s="20">
        <f>IF($J326="","출고일 미정",IF($P326="X","작지 미발행",IF($P326="부분","작지 일부 미발행",IF(AND($R326&lt;&gt;"",$R326&gt;$M326),"소재입고 마감("&amp;TEXT($M326,"MM/DD")&amp;") 초과",IF($P326="","발행여부 확인 필요",IF($R326="","소재 입고일정 확인 필요","정상"))))))</f>
        <v/>
      </c>
      <c r="AE326" s="19">
        <f>IF($J326="","",IF(OR(LEFT($AD326,2)="작지",LEFT($AD326,4)="소재입고"),IF(LEFT($G326,1)="A","★ 납기위험(A코드)","◆ 지연주의"),IF($AD326="정상","✓ 정상","? 확인필요")))</f>
        <v/>
      </c>
      <c r="AF326" s="21" t="n"/>
      <c r="AG326" s="28" t="n"/>
    </row>
    <row r="327">
      <c r="A327" s="19" t="n">
        <v>323</v>
      </c>
      <c r="B327" s="20" t="inlineStr">
        <is>
          <t>정영준</t>
        </is>
      </c>
      <c r="C327" s="20" t="inlineStr">
        <is>
          <t>이민선</t>
        </is>
      </c>
      <c r="D327" s="20" t="inlineStr">
        <is>
          <t>TVJDW27692</t>
        </is>
      </c>
      <c r="E327" s="20" t="inlineStr">
        <is>
          <t>여성 안타티카 헤비 다운</t>
        </is>
      </c>
      <c r="F327" s="20" t="inlineStr">
        <is>
          <t>CO1/CO2</t>
        </is>
      </c>
      <c r="G327" s="19">
        <f>IF($D327="","",IF(MID($D327,5,1)="A","A(가을)",IF(MID($D327,5,1)="W","W(겨울)",IF(MID($D327,5,1)="X","X(사계절)",MID($D327,5,1)))))</f>
        <v/>
      </c>
      <c r="H327" s="19" t="n"/>
      <c r="I327" s="21" t="inlineStr">
        <is>
          <t>10월3주</t>
        </is>
      </c>
      <c r="J327" s="22">
        <f>IF($I327="","",IFERROR(DATE(기준정보!$C$7,VALUE(LEFT($I327,FIND("월",$I327)-1)),1+7*(VALUE(SUBSTITUTE(MID($I327,FIND("월",$I327)+1,5),"주",""))-1)),""))</f>
        <v/>
      </c>
      <c r="K327" s="22">
        <f>IF($J327="","",IF(AND(ISNUMBER(SEARCH("미얀마",$U327)),$J327-기준정보!$C$5&gt;=기준정보!$C$8,$J327-기준정보!$C$5&lt;=기준정보!$C$9),기준정보!$C$8-1,IF(AND(ISNUMBER(SEARCH("인도네시아",$U327)),$J327-기준정보!$C$5&gt;=기준정보!$C$10,$J327-기준정보!$C$5&lt;=기준정보!$C$11),기준정보!$C$10-1,$J327-기준정보!$C$5)))</f>
        <v/>
      </c>
      <c r="L327" s="23">
        <f>IF($K327="","",IF(ISNUMBER(SEARCH("미얀마",$U327)),MAX(0,MIN($K327,기준정보!$C$9)-MAX($K327-기준정보!$C$6,기준정보!$C$8)+1),IF(ISNUMBER(SEARCH("인도네시아",$U327)),MAX(0,MIN($K327,기준정보!$C$11)-MAX($K327-기준정보!$C$6,기준정보!$C$10)+1),0)))</f>
        <v/>
      </c>
      <c r="M327" s="22">
        <f>IF($K327="","",$K327-기준정보!$C$6-$L327)</f>
        <v/>
      </c>
      <c r="N327" s="24">
        <f>IF($M327="","",$M327-기준정보!$C$4)</f>
        <v/>
      </c>
      <c r="O327" s="21" t="n"/>
      <c r="P327" s="21" t="n"/>
      <c r="Q327" s="21" t="n"/>
      <c r="R327" s="25" t="n"/>
      <c r="S327" s="20">
        <f>IF($H327="","",IF($H327="C","본사(소재팀)",IF($H327="완","생산처","확인 필요")))</f>
        <v/>
      </c>
      <c r="T327" s="20" t="inlineStr">
        <is>
          <t>원전</t>
        </is>
      </c>
      <c r="U327" s="20" t="inlineStr">
        <is>
          <t>인도네시아</t>
        </is>
      </c>
      <c r="V327" s="20" t="n"/>
      <c r="W327" s="26" t="n"/>
      <c r="X327" s="26" t="n"/>
      <c r="Y327" s="22" t="n"/>
      <c r="Z327" s="27" t="n">
        <v>6000</v>
      </c>
      <c r="AA327" s="27" t="n">
        <v>1200000000</v>
      </c>
      <c r="AB327" s="27" t="n">
        <v>5100000000</v>
      </c>
      <c r="AC327" s="20" t="n"/>
      <c r="AD327" s="20">
        <f>IF($J327="","출고일 미정",IF($P327="X","작지 미발행",IF($P327="부분","작지 일부 미발행",IF(AND($R327&lt;&gt;"",$R327&gt;$M327),"소재입고 마감("&amp;TEXT($M327,"MM/DD")&amp;") 초과",IF($P327="","발행여부 확인 필요",IF($R327="","소재 입고일정 확인 필요","정상"))))))</f>
        <v/>
      </c>
      <c r="AE327" s="19">
        <f>IF($J327="","",IF(OR(LEFT($AD327,2)="작지",LEFT($AD327,4)="소재입고"),IF(LEFT($G327,1)="A","★ 납기위험(A코드)","◆ 지연주의"),IF($AD327="정상","✓ 정상","? 확인필요")))</f>
        <v/>
      </c>
      <c r="AF327" s="21" t="n"/>
      <c r="AG327" s="28" t="n"/>
    </row>
    <row r="328">
      <c r="A328" s="19" t="n">
        <v>324</v>
      </c>
      <c r="B328" s="20" t="inlineStr">
        <is>
          <t>정영준</t>
        </is>
      </c>
      <c r="C328" s="20" t="inlineStr">
        <is>
          <t>이민선</t>
        </is>
      </c>
      <c r="D328" s="20" t="inlineStr">
        <is>
          <t>TVJDW27694</t>
        </is>
      </c>
      <c r="E328" s="20" t="inlineStr">
        <is>
          <t>여성 안타티카 롱 헤비 다운</t>
        </is>
      </c>
      <c r="F328" s="20" t="inlineStr">
        <is>
          <t>CO1/CO2</t>
        </is>
      </c>
      <c r="G328" s="19">
        <f>IF($D328="","",IF(MID($D328,5,1)="A","A(가을)",IF(MID($D328,5,1)="W","W(겨울)",IF(MID($D328,5,1)="X","X(사계절)",MID($D328,5,1)))))</f>
        <v/>
      </c>
      <c r="H328" s="19" t="n"/>
      <c r="I328" s="21" t="inlineStr">
        <is>
          <t>10월3주</t>
        </is>
      </c>
      <c r="J328" s="22">
        <f>IF($I328="","",IFERROR(DATE(기준정보!$C$7,VALUE(LEFT($I328,FIND("월",$I328)-1)),1+7*(VALUE(SUBSTITUTE(MID($I328,FIND("월",$I328)+1,5),"주",""))-1)),""))</f>
        <v/>
      </c>
      <c r="K328" s="22">
        <f>IF($J328="","",IF(AND(ISNUMBER(SEARCH("미얀마",$U328)),$J328-기준정보!$C$5&gt;=기준정보!$C$8,$J328-기준정보!$C$5&lt;=기준정보!$C$9),기준정보!$C$8-1,IF(AND(ISNUMBER(SEARCH("인도네시아",$U328)),$J328-기준정보!$C$5&gt;=기준정보!$C$10,$J328-기준정보!$C$5&lt;=기준정보!$C$11),기준정보!$C$10-1,$J328-기준정보!$C$5)))</f>
        <v/>
      </c>
      <c r="L328" s="23">
        <f>IF($K328="","",IF(ISNUMBER(SEARCH("미얀마",$U328)),MAX(0,MIN($K328,기준정보!$C$9)-MAX($K328-기준정보!$C$6,기준정보!$C$8)+1),IF(ISNUMBER(SEARCH("인도네시아",$U328)),MAX(0,MIN($K328,기준정보!$C$11)-MAX($K328-기준정보!$C$6,기준정보!$C$10)+1),0)))</f>
        <v/>
      </c>
      <c r="M328" s="22">
        <f>IF($K328="","",$K328-기준정보!$C$6-$L328)</f>
        <v/>
      </c>
      <c r="N328" s="24">
        <f>IF($M328="","",$M328-기준정보!$C$4)</f>
        <v/>
      </c>
      <c r="O328" s="21" t="n"/>
      <c r="P328" s="21" t="n"/>
      <c r="Q328" s="21" t="n"/>
      <c r="R328" s="25" t="n"/>
      <c r="S328" s="20">
        <f>IF($H328="","",IF($H328="C","본사(소재팀)",IF($H328="완","생산처","확인 필요")))</f>
        <v/>
      </c>
      <c r="T328" s="20" t="inlineStr">
        <is>
          <t>원전</t>
        </is>
      </c>
      <c r="U328" s="20" t="inlineStr">
        <is>
          <t>인도네시아</t>
        </is>
      </c>
      <c r="V328" s="20" t="n"/>
      <c r="W328" s="26" t="n"/>
      <c r="X328" s="26" t="n"/>
      <c r="Y328" s="22" t="n"/>
      <c r="Z328" s="27" t="n">
        <v>15000</v>
      </c>
      <c r="AA328" s="27" t="n">
        <v>3750000000</v>
      </c>
      <c r="AB328" s="27" t="n">
        <v>16500000000</v>
      </c>
      <c r="AC328" s="20" t="n"/>
      <c r="AD328" s="20">
        <f>IF($J328="","출고일 미정",IF($P328="X","작지 미발행",IF($P328="부분","작지 일부 미발행",IF(AND($R328&lt;&gt;"",$R328&gt;$M328),"소재입고 마감("&amp;TEXT($M328,"MM/DD")&amp;") 초과",IF($P328="","발행여부 확인 필요",IF($R328="","소재 입고일정 확인 필요","정상"))))))</f>
        <v/>
      </c>
      <c r="AE328" s="19">
        <f>IF($J328="","",IF(OR(LEFT($AD328,2)="작지",LEFT($AD328,4)="소재입고"),IF(LEFT($G328,1)="A","★ 납기위험(A코드)","◆ 지연주의"),IF($AD328="정상","✓ 정상","? 확인필요")))</f>
        <v/>
      </c>
      <c r="AF328" s="21" t="n"/>
      <c r="AG328" s="28" t="n"/>
    </row>
    <row r="329">
      <c r="A329" s="19" t="n">
        <v>325</v>
      </c>
      <c r="B329" s="20" t="inlineStr"/>
      <c r="C329" s="20" t="inlineStr"/>
      <c r="D329" s="20" t="inlineStr">
        <is>
          <t>JKPNW27424</t>
        </is>
      </c>
      <c r="E329" s="20" t="inlineStr">
        <is>
          <t>여성 하이킹 위고 팬츠</t>
        </is>
      </c>
      <c r="F329" s="20" t="inlineStr">
        <is>
          <t>CO1</t>
        </is>
      </c>
      <c r="G329" s="19">
        <f>IF($D329="","",IF(MID($D329,5,1)="A","A(가을)",IF(MID($D329,5,1)="W","W(겨울)",IF(MID($D329,5,1)="X","X(사계절)",MID($D329,5,1)))))</f>
        <v/>
      </c>
      <c r="H329" s="19" t="n"/>
      <c r="I329" s="21" t="n"/>
      <c r="J329" s="22">
        <f>IF($I329="","",IFERROR(DATE(기준정보!$C$7,VALUE(LEFT($I329,FIND("월",$I329)-1)),1+7*(VALUE(SUBSTITUTE(MID($I329,FIND("월",$I329)+1,5),"주",""))-1)),""))</f>
        <v/>
      </c>
      <c r="K329" s="22">
        <f>IF($J329="","",IF(AND(ISNUMBER(SEARCH("미얀마",$U329)),$J329-기준정보!$C$5&gt;=기준정보!$C$8,$J329-기준정보!$C$5&lt;=기준정보!$C$9),기준정보!$C$8-1,IF(AND(ISNUMBER(SEARCH("인도네시아",$U329)),$J329-기준정보!$C$5&gt;=기준정보!$C$10,$J329-기준정보!$C$5&lt;=기준정보!$C$11),기준정보!$C$10-1,$J329-기준정보!$C$5)))</f>
        <v/>
      </c>
      <c r="L329" s="23">
        <f>IF($K329="","",IF(ISNUMBER(SEARCH("미얀마",$U329)),MAX(0,MIN($K329,기준정보!$C$9)-MAX($K329-기준정보!$C$6,기준정보!$C$8)+1),IF(ISNUMBER(SEARCH("인도네시아",$U329)),MAX(0,MIN($K329,기준정보!$C$11)-MAX($K329-기준정보!$C$6,기준정보!$C$10)+1),0)))</f>
        <v/>
      </c>
      <c r="M329" s="22">
        <f>IF($K329="","",$K329-기준정보!$C$6-$L329)</f>
        <v/>
      </c>
      <c r="N329" s="24">
        <f>IF($M329="","",$M329-기준정보!$C$4)</f>
        <v/>
      </c>
      <c r="O329" s="21" t="n"/>
      <c r="P329" s="21" t="n"/>
      <c r="Q329" s="21" t="n"/>
      <c r="R329" s="25" t="n"/>
      <c r="S329" s="20">
        <f>IF($H329="","",IF($H329="C","본사(소재팀)",IF($H329="완","생산처","확인 필요")))</f>
        <v/>
      </c>
      <c r="T329" s="20" t="n"/>
      <c r="U329" s="20" t="n"/>
      <c r="V329" s="20" t="n"/>
      <c r="W329" s="26" t="n"/>
      <c r="X329" s="26" t="n"/>
      <c r="Y329" s="22" t="n"/>
      <c r="Z329" s="27" t="n">
        <v>500</v>
      </c>
      <c r="AA329" s="27" t="n">
        <v>31000000</v>
      </c>
      <c r="AB329" s="27" t="n">
        <v>135000000</v>
      </c>
      <c r="AC329" s="20" t="n"/>
      <c r="AD329" s="20">
        <f>IF($J329="","출고일 미정",IF($P329="X","작지 미발행",IF($P329="부분","작지 일부 미발행",IF(AND($R329&lt;&gt;"",$R329&gt;$M329),"소재입고 마감("&amp;TEXT($M329,"MM/DD")&amp;") 초과",IF($P329="","발행여부 확인 필요",IF($R329="","소재 입고일정 확인 필요","정상"))))))</f>
        <v/>
      </c>
      <c r="AE329" s="19">
        <f>IF($J329="","",IF(OR(LEFT($AD329,2)="작지",LEFT($AD329,4)="소재입고"),IF(LEFT($G329,1)="A","★ 납기위험(A코드)","◆ 지연주의"),IF($AD329="정상","✓ 정상","? 확인필요")))</f>
        <v/>
      </c>
      <c r="AF329" s="21" t="n"/>
      <c r="AG329" s="28" t="n"/>
    </row>
    <row r="330">
      <c r="A330" s="19" t="n">
        <v>326</v>
      </c>
      <c r="B330" s="20" t="inlineStr"/>
      <c r="C330" s="20" t="inlineStr"/>
      <c r="D330" s="20" t="inlineStr">
        <is>
          <t>JWPNW27423</t>
        </is>
      </c>
      <c r="E330" s="20" t="inlineStr">
        <is>
          <t>남성 하이킹 위고 팬츠</t>
        </is>
      </c>
      <c r="F330" s="20" t="inlineStr">
        <is>
          <t>CO1</t>
        </is>
      </c>
      <c r="G330" s="19">
        <f>IF($D330="","",IF(MID($D330,5,1)="A","A(가을)",IF(MID($D330,5,1)="W","W(겨울)",IF(MID($D330,5,1)="X","X(사계절)",MID($D330,5,1)))))</f>
        <v/>
      </c>
      <c r="H330" s="19" t="n"/>
      <c r="I330" s="21" t="n"/>
      <c r="J330" s="22">
        <f>IF($I330="","",IFERROR(DATE(기준정보!$C$7,VALUE(LEFT($I330,FIND("월",$I330)-1)),1+7*(VALUE(SUBSTITUTE(MID($I330,FIND("월",$I330)+1,5),"주",""))-1)),""))</f>
        <v/>
      </c>
      <c r="K330" s="22">
        <f>IF($J330="","",IF(AND(ISNUMBER(SEARCH("미얀마",$U330)),$J330-기준정보!$C$5&gt;=기준정보!$C$8,$J330-기준정보!$C$5&lt;=기준정보!$C$9),기준정보!$C$8-1,IF(AND(ISNUMBER(SEARCH("인도네시아",$U330)),$J330-기준정보!$C$5&gt;=기준정보!$C$10,$J330-기준정보!$C$5&lt;=기준정보!$C$11),기준정보!$C$10-1,$J330-기준정보!$C$5)))</f>
        <v/>
      </c>
      <c r="L330" s="23">
        <f>IF($K330="","",IF(ISNUMBER(SEARCH("미얀마",$U330)),MAX(0,MIN($K330,기준정보!$C$9)-MAX($K330-기준정보!$C$6,기준정보!$C$8)+1),IF(ISNUMBER(SEARCH("인도네시아",$U330)),MAX(0,MIN($K330,기준정보!$C$11)-MAX($K330-기준정보!$C$6,기준정보!$C$10)+1),0)))</f>
        <v/>
      </c>
      <c r="M330" s="22">
        <f>IF($K330="","",$K330-기준정보!$C$6-$L330)</f>
        <v/>
      </c>
      <c r="N330" s="24">
        <f>IF($M330="","",$M330-기준정보!$C$4)</f>
        <v/>
      </c>
      <c r="O330" s="21" t="n"/>
      <c r="P330" s="21" t="n"/>
      <c r="Q330" s="21" t="n"/>
      <c r="R330" s="25" t="n"/>
      <c r="S330" s="20">
        <f>IF($H330="","",IF($H330="C","본사(소재팀)",IF($H330="완","생산처","확인 필요")))</f>
        <v/>
      </c>
      <c r="T330" s="20" t="n"/>
      <c r="U330" s="20" t="n"/>
      <c r="V330" s="20" t="n"/>
      <c r="W330" s="26" t="n"/>
      <c r="X330" s="26" t="n"/>
      <c r="Y330" s="22" t="n"/>
      <c r="Z330" s="27" t="n">
        <v>500</v>
      </c>
      <c r="AA330" s="27" t="n">
        <v>32000000</v>
      </c>
      <c r="AB330" s="27" t="n">
        <v>135000000</v>
      </c>
      <c r="AC330" s="20" t="n"/>
      <c r="AD330" s="20">
        <f>IF($J330="","출고일 미정",IF($P330="X","작지 미발행",IF($P330="부분","작지 일부 미발행",IF(AND($R330&lt;&gt;"",$R330&gt;$M330),"소재입고 마감("&amp;TEXT($M330,"MM/DD")&amp;") 초과",IF($P330="","발행여부 확인 필요",IF($R330="","소재 입고일정 확인 필요","정상"))))))</f>
        <v/>
      </c>
      <c r="AE330" s="19">
        <f>IF($J330="","",IF(OR(LEFT($AD330,2)="작지",LEFT($AD330,4)="소재입고"),IF(LEFT($G330,1)="A","★ 납기위험(A코드)","◆ 지연주의"),IF($AD330="정상","✓ 정상","? 확인필요")))</f>
        <v/>
      </c>
      <c r="AF330" s="21" t="n"/>
      <c r="AG330" s="28" t="n"/>
    </row>
    <row r="331">
      <c r="A331" s="19" t="n">
        <v>327</v>
      </c>
      <c r="B331" s="20" t="inlineStr">
        <is>
          <t>최지희</t>
        </is>
      </c>
      <c r="C331" s="20" t="inlineStr">
        <is>
          <t>조은선</t>
        </is>
      </c>
      <c r="D331" s="20" t="inlineStr">
        <is>
          <t>QYAAW27421</t>
        </is>
      </c>
      <c r="E331" s="20" t="inlineStr">
        <is>
          <t>남녀공용 2L 방수 스패츠</t>
        </is>
      </c>
      <c r="F331" s="20" t="inlineStr">
        <is>
          <t>CO1/CO2</t>
        </is>
      </c>
      <c r="G331" s="19">
        <f>IF($D331="","",IF(MID($D331,5,1)="A","A(가을)",IF(MID($D331,5,1)="W","W(겨울)",IF(MID($D331,5,1)="X","X(사계절)",MID($D331,5,1)))))</f>
        <v/>
      </c>
      <c r="H331" s="19" t="n"/>
      <c r="I331" s="21" t="n"/>
      <c r="J331" s="22">
        <f>IF($I331="","",IFERROR(DATE(기준정보!$C$7,VALUE(LEFT($I331,FIND("월",$I331)-1)),1+7*(VALUE(SUBSTITUTE(MID($I331,FIND("월",$I331)+1,5),"주",""))-1)),""))</f>
        <v/>
      </c>
      <c r="K331" s="22">
        <f>IF($J331="","",IF(AND(ISNUMBER(SEARCH("미얀마",$U331)),$J331-기준정보!$C$5&gt;=기준정보!$C$8,$J331-기준정보!$C$5&lt;=기준정보!$C$9),기준정보!$C$8-1,IF(AND(ISNUMBER(SEARCH("인도네시아",$U331)),$J331-기준정보!$C$5&gt;=기준정보!$C$10,$J331-기준정보!$C$5&lt;=기준정보!$C$11),기준정보!$C$10-1,$J331-기준정보!$C$5)))</f>
        <v/>
      </c>
      <c r="L331" s="23">
        <f>IF($K331="","",IF(ISNUMBER(SEARCH("미얀마",$U331)),MAX(0,MIN($K331,기준정보!$C$9)-MAX($K331-기준정보!$C$6,기준정보!$C$8)+1),IF(ISNUMBER(SEARCH("인도네시아",$U331)),MAX(0,MIN($K331,기준정보!$C$11)-MAX($K331-기준정보!$C$6,기준정보!$C$10)+1),0)))</f>
        <v/>
      </c>
      <c r="M331" s="22">
        <f>IF($K331="","",$K331-기준정보!$C$6-$L331)</f>
        <v/>
      </c>
      <c r="N331" s="24">
        <f>IF($M331="","",$M331-기준정보!$C$4)</f>
        <v/>
      </c>
      <c r="O331" s="21" t="n"/>
      <c r="P331" s="21" t="n"/>
      <c r="Q331" s="21" t="n"/>
      <c r="R331" s="25" t="n"/>
      <c r="S331" s="20">
        <f>IF($H331="","",IF($H331="C","본사(소재팀)",IF($H331="완","생산처","확인 필요")))</f>
        <v/>
      </c>
      <c r="T331" s="20" t="inlineStr">
        <is>
          <t>캐비야</t>
        </is>
      </c>
      <c r="U331" s="20" t="inlineStr">
        <is>
          <t>국내</t>
        </is>
      </c>
      <c r="V331" s="20" t="n"/>
      <c r="W331" s="26" t="n"/>
      <c r="X331" s="26" t="n"/>
      <c r="Y331" s="22" t="n"/>
      <c r="Z331" s="27" t="n">
        <v>750</v>
      </c>
      <c r="AA331" s="27" t="n">
        <v>22229250</v>
      </c>
      <c r="AB331" s="27" t="n">
        <v>81000000</v>
      </c>
      <c r="AC331" s="20" t="n"/>
      <c r="AD331" s="20">
        <f>IF($J331="","출고일 미정",IF($P331="X","작지 미발행",IF($P331="부분","작지 일부 미발행",IF(AND($R331&lt;&gt;"",$R331&gt;$M331),"소재입고 마감("&amp;TEXT($M331,"MM/DD")&amp;") 초과",IF($P331="","발행여부 확인 필요",IF($R331="","소재 입고일정 확인 필요","정상"))))))</f>
        <v/>
      </c>
      <c r="AE331" s="19">
        <f>IF($J331="","",IF(OR(LEFT($AD331,2)="작지",LEFT($AD331,4)="소재입고"),IF(LEFT($G331,1)="A","★ 납기위험(A코드)","◆ 지연주의"),IF($AD331="정상","✓ 정상","? 확인필요")))</f>
        <v/>
      </c>
      <c r="AF331" s="21" t="n"/>
      <c r="AG331" s="28" t="n"/>
    </row>
    <row r="332">
      <c r="A332" s="19" t="n">
        <v>328</v>
      </c>
      <c r="B332" s="20" t="inlineStr">
        <is>
          <t>최지희</t>
        </is>
      </c>
      <c r="C332" s="20" t="inlineStr">
        <is>
          <t>조은선</t>
        </is>
      </c>
      <c r="D332" s="20" t="inlineStr">
        <is>
          <t>QYAKW27411</t>
        </is>
      </c>
      <c r="E332" s="20" t="inlineStr">
        <is>
          <t>남녀공용 폴라텍 파워스트레치 넥워머</t>
        </is>
      </c>
      <c r="F332" s="20" t="inlineStr">
        <is>
          <t>CO1/CO2</t>
        </is>
      </c>
      <c r="G332" s="19">
        <f>IF($D332="","",IF(MID($D332,5,1)="A","A(가을)",IF(MID($D332,5,1)="W","W(겨울)",IF(MID($D332,5,1)="X","X(사계절)",MID($D332,5,1)))))</f>
        <v/>
      </c>
      <c r="H332" s="19" t="n"/>
      <c r="I332" s="21" t="n"/>
      <c r="J332" s="22">
        <f>IF($I332="","",IFERROR(DATE(기준정보!$C$7,VALUE(LEFT($I332,FIND("월",$I332)-1)),1+7*(VALUE(SUBSTITUTE(MID($I332,FIND("월",$I332)+1,5),"주",""))-1)),""))</f>
        <v/>
      </c>
      <c r="K332" s="22">
        <f>IF($J332="","",IF(AND(ISNUMBER(SEARCH("미얀마",$U332)),$J332-기준정보!$C$5&gt;=기준정보!$C$8,$J332-기준정보!$C$5&lt;=기준정보!$C$9),기준정보!$C$8-1,IF(AND(ISNUMBER(SEARCH("인도네시아",$U332)),$J332-기준정보!$C$5&gt;=기준정보!$C$10,$J332-기준정보!$C$5&lt;=기준정보!$C$11),기준정보!$C$10-1,$J332-기준정보!$C$5)))</f>
        <v/>
      </c>
      <c r="L332" s="23">
        <f>IF($K332="","",IF(ISNUMBER(SEARCH("미얀마",$U332)),MAX(0,MIN($K332,기준정보!$C$9)-MAX($K332-기준정보!$C$6,기준정보!$C$8)+1),IF(ISNUMBER(SEARCH("인도네시아",$U332)),MAX(0,MIN($K332,기준정보!$C$11)-MAX($K332-기준정보!$C$6,기준정보!$C$10)+1),0)))</f>
        <v/>
      </c>
      <c r="M332" s="22">
        <f>IF($K332="","",$K332-기준정보!$C$6-$L332)</f>
        <v/>
      </c>
      <c r="N332" s="24">
        <f>IF($M332="","",$M332-기준정보!$C$4)</f>
        <v/>
      </c>
      <c r="O332" s="21" t="n"/>
      <c r="P332" s="21" t="n"/>
      <c r="Q332" s="21" t="n"/>
      <c r="R332" s="25" t="n"/>
      <c r="S332" s="20">
        <f>IF($H332="","",IF($H332="C","본사(소재팀)",IF($H332="완","생산처","확인 필요")))</f>
        <v/>
      </c>
      <c r="T332" s="20" t="inlineStr">
        <is>
          <t>아이앤지</t>
        </is>
      </c>
      <c r="U332" s="20" t="inlineStr">
        <is>
          <t>중국</t>
        </is>
      </c>
      <c r="V332" s="20" t="n"/>
      <c r="W332" s="26" t="n"/>
      <c r="X332" s="26" t="n"/>
      <c r="Y332" s="22" t="n"/>
      <c r="Z332" s="27" t="n">
        <v>2250</v>
      </c>
      <c r="AA332" s="27" t="n">
        <v>21546000</v>
      </c>
      <c r="AB332" s="27" t="n">
        <v>135000000</v>
      </c>
      <c r="AC332" s="20" t="n"/>
      <c r="AD332" s="20">
        <f>IF($J332="","출고일 미정",IF($P332="X","작지 미발행",IF($P332="부분","작지 일부 미발행",IF(AND($R332&lt;&gt;"",$R332&gt;$M332),"소재입고 마감("&amp;TEXT($M332,"MM/DD")&amp;") 초과",IF($P332="","발행여부 확인 필요",IF($R332="","소재 입고일정 확인 필요","정상"))))))</f>
        <v/>
      </c>
      <c r="AE332" s="19">
        <f>IF($J332="","",IF(OR(LEFT($AD332,2)="작지",LEFT($AD332,4)="소재입고"),IF(LEFT($G332,1)="A","★ 납기위험(A코드)","◆ 지연주의"),IF($AD332="정상","✓ 정상","? 확인필요")))</f>
        <v/>
      </c>
      <c r="AF332" s="21" t="n"/>
      <c r="AG332" s="28" t="n"/>
    </row>
    <row r="333">
      <c r="A333" s="19" t="n">
        <v>329</v>
      </c>
      <c r="B333" s="20" t="inlineStr">
        <is>
          <t>최지희</t>
        </is>
      </c>
      <c r="C333" s="20" t="inlineStr">
        <is>
          <t>조은선</t>
        </is>
      </c>
      <c r="D333" s="20" t="inlineStr">
        <is>
          <t>QYAKW27413</t>
        </is>
      </c>
      <c r="E333" s="20" t="inlineStr">
        <is>
          <t>남녀공용 폴라텍 파워스트레치 방한대</t>
        </is>
      </c>
      <c r="F333" s="20" t="inlineStr">
        <is>
          <t>CO1</t>
        </is>
      </c>
      <c r="G333" s="19">
        <f>IF($D333="","",IF(MID($D333,5,1)="A","A(가을)",IF(MID($D333,5,1)="W","W(겨울)",IF(MID($D333,5,1)="X","X(사계절)",MID($D333,5,1)))))</f>
        <v/>
      </c>
      <c r="H333" s="19" t="n"/>
      <c r="I333" s="21" t="n"/>
      <c r="J333" s="22">
        <f>IF($I333="","",IFERROR(DATE(기준정보!$C$7,VALUE(LEFT($I333,FIND("월",$I333)-1)),1+7*(VALUE(SUBSTITUTE(MID($I333,FIND("월",$I333)+1,5),"주",""))-1)),""))</f>
        <v/>
      </c>
      <c r="K333" s="22">
        <f>IF($J333="","",IF(AND(ISNUMBER(SEARCH("미얀마",$U333)),$J333-기준정보!$C$5&gt;=기준정보!$C$8,$J333-기준정보!$C$5&lt;=기준정보!$C$9),기준정보!$C$8-1,IF(AND(ISNUMBER(SEARCH("인도네시아",$U333)),$J333-기준정보!$C$5&gt;=기준정보!$C$10,$J333-기준정보!$C$5&lt;=기준정보!$C$11),기준정보!$C$10-1,$J333-기준정보!$C$5)))</f>
        <v/>
      </c>
      <c r="L333" s="23">
        <f>IF($K333="","",IF(ISNUMBER(SEARCH("미얀마",$U333)),MAX(0,MIN($K333,기준정보!$C$9)-MAX($K333-기준정보!$C$6,기준정보!$C$8)+1),IF(ISNUMBER(SEARCH("인도네시아",$U333)),MAX(0,MIN($K333,기준정보!$C$11)-MAX($K333-기준정보!$C$6,기준정보!$C$10)+1),0)))</f>
        <v/>
      </c>
      <c r="M333" s="22">
        <f>IF($K333="","",$K333-기준정보!$C$6-$L333)</f>
        <v/>
      </c>
      <c r="N333" s="24">
        <f>IF($M333="","",$M333-기준정보!$C$4)</f>
        <v/>
      </c>
      <c r="O333" s="21" t="n"/>
      <c r="P333" s="21" t="n"/>
      <c r="Q333" s="21" t="n"/>
      <c r="R333" s="25" t="n"/>
      <c r="S333" s="20">
        <f>IF($H333="","",IF($H333="C","본사(소재팀)",IF($H333="완","생산처","확인 필요")))</f>
        <v/>
      </c>
      <c r="T333" s="20" t="inlineStr">
        <is>
          <t>신기SB</t>
        </is>
      </c>
      <c r="U333" s="20" t="inlineStr">
        <is>
          <t>국내</t>
        </is>
      </c>
      <c r="V333" s="20" t="n"/>
      <c r="W333" s="26" t="n"/>
      <c r="X333" s="26" t="n"/>
      <c r="Y333" s="22" t="n"/>
      <c r="Z333" s="27" t="n">
        <v>1000</v>
      </c>
      <c r="AA333" s="27" t="n">
        <v>16984000</v>
      </c>
      <c r="AB333" s="27" t="n">
        <v>70000000</v>
      </c>
      <c r="AC333" s="20" t="n"/>
      <c r="AD333" s="20">
        <f>IF($J333="","출고일 미정",IF($P333="X","작지 미발행",IF($P333="부분","작지 일부 미발행",IF(AND($R333&lt;&gt;"",$R333&gt;$M333),"소재입고 마감("&amp;TEXT($M333,"MM/DD")&amp;") 초과",IF($P333="","발행여부 확인 필요",IF($R333="","소재 입고일정 확인 필요","정상"))))))</f>
        <v/>
      </c>
      <c r="AE333" s="19">
        <f>IF($J333="","",IF(OR(LEFT($AD333,2)="작지",LEFT($AD333,4)="소재입고"),IF(LEFT($G333,1)="A","★ 납기위험(A코드)","◆ 지연주의"),IF($AD333="정상","✓ 정상","? 확인필요")))</f>
        <v/>
      </c>
      <c r="AF333" s="21" t="n"/>
      <c r="AG333" s="28" t="n"/>
    </row>
    <row r="334">
      <c r="A334" s="19" t="n">
        <v>330</v>
      </c>
      <c r="B334" s="20" t="inlineStr">
        <is>
          <t>최지희</t>
        </is>
      </c>
      <c r="C334" s="20" t="inlineStr">
        <is>
          <t>조은선</t>
        </is>
      </c>
      <c r="D334" s="20" t="inlineStr">
        <is>
          <t>QYAKW27415</t>
        </is>
      </c>
      <c r="E334" s="20" t="inlineStr">
        <is>
          <t>남녀공용 폴라텍 파워스트레치 바라클라바</t>
        </is>
      </c>
      <c r="F334" s="20" t="inlineStr">
        <is>
          <t>CO1</t>
        </is>
      </c>
      <c r="G334" s="19">
        <f>IF($D334="","",IF(MID($D334,5,1)="A","A(가을)",IF(MID($D334,5,1)="W","W(겨울)",IF(MID($D334,5,1)="X","X(사계절)",MID($D334,5,1)))))</f>
        <v/>
      </c>
      <c r="H334" s="19" t="n"/>
      <c r="I334" s="21" t="n"/>
      <c r="J334" s="22">
        <f>IF($I334="","",IFERROR(DATE(기준정보!$C$7,VALUE(LEFT($I334,FIND("월",$I334)-1)),1+7*(VALUE(SUBSTITUTE(MID($I334,FIND("월",$I334)+1,5),"주",""))-1)),""))</f>
        <v/>
      </c>
      <c r="K334" s="22">
        <f>IF($J334="","",IF(AND(ISNUMBER(SEARCH("미얀마",$U334)),$J334-기준정보!$C$5&gt;=기준정보!$C$8,$J334-기준정보!$C$5&lt;=기준정보!$C$9),기준정보!$C$8-1,IF(AND(ISNUMBER(SEARCH("인도네시아",$U334)),$J334-기준정보!$C$5&gt;=기준정보!$C$10,$J334-기준정보!$C$5&lt;=기준정보!$C$11),기준정보!$C$10-1,$J334-기준정보!$C$5)))</f>
        <v/>
      </c>
      <c r="L334" s="23">
        <f>IF($K334="","",IF(ISNUMBER(SEARCH("미얀마",$U334)),MAX(0,MIN($K334,기준정보!$C$9)-MAX($K334-기준정보!$C$6,기준정보!$C$8)+1),IF(ISNUMBER(SEARCH("인도네시아",$U334)),MAX(0,MIN($K334,기준정보!$C$11)-MAX($K334-기준정보!$C$6,기준정보!$C$10)+1),0)))</f>
        <v/>
      </c>
      <c r="M334" s="22">
        <f>IF($K334="","",$K334-기준정보!$C$6-$L334)</f>
        <v/>
      </c>
      <c r="N334" s="24">
        <f>IF($M334="","",$M334-기준정보!$C$4)</f>
        <v/>
      </c>
      <c r="O334" s="21" t="n"/>
      <c r="P334" s="21" t="n"/>
      <c r="Q334" s="21" t="n"/>
      <c r="R334" s="25" t="n"/>
      <c r="S334" s="20">
        <f>IF($H334="","",IF($H334="C","본사(소재팀)",IF($H334="완","생산처","확인 필요")))</f>
        <v/>
      </c>
      <c r="T334" s="20" t="inlineStr">
        <is>
          <t>신기SB</t>
        </is>
      </c>
      <c r="U334" s="20" t="inlineStr">
        <is>
          <t>국내</t>
        </is>
      </c>
      <c r="V334" s="20" t="n"/>
      <c r="W334" s="26" t="n"/>
      <c r="X334" s="26" t="n"/>
      <c r="Y334" s="22" t="n"/>
      <c r="Z334" s="27" t="n">
        <v>1000</v>
      </c>
      <c r="AA334" s="27" t="n">
        <v>19210000</v>
      </c>
      <c r="AB334" s="27" t="n">
        <v>78000000</v>
      </c>
      <c r="AC334" s="20" t="n"/>
      <c r="AD334" s="20">
        <f>IF($J334="","출고일 미정",IF($P334="X","작지 미발행",IF($P334="부분","작지 일부 미발행",IF(AND($R334&lt;&gt;"",$R334&gt;$M334),"소재입고 마감("&amp;TEXT($M334,"MM/DD")&amp;") 초과",IF($P334="","발행여부 확인 필요",IF($R334="","소재 입고일정 확인 필요","정상"))))))</f>
        <v/>
      </c>
      <c r="AE334" s="19">
        <f>IF($J334="","",IF(OR(LEFT($AD334,2)="작지",LEFT($AD334,4)="소재입고"),IF(LEFT($G334,1)="A","★ 납기위험(A코드)","◆ 지연주의"),IF($AD334="정상","✓ 정상","? 확인필요")))</f>
        <v/>
      </c>
      <c r="AF334" s="21" t="n"/>
      <c r="AG334" s="28" t="n"/>
    </row>
    <row r="335">
      <c r="A335" s="19" t="n">
        <v>331</v>
      </c>
      <c r="B335" s="20" t="inlineStr">
        <is>
          <t>최지희</t>
        </is>
      </c>
      <c r="C335" s="20" t="inlineStr">
        <is>
          <t>조은선</t>
        </is>
      </c>
      <c r="D335" s="20" t="inlineStr">
        <is>
          <t>QYAKW27601</t>
        </is>
      </c>
      <c r="E335" s="20" t="inlineStr">
        <is>
          <t>남녀공용 솟솟 패딩 머플러</t>
        </is>
      </c>
      <c r="F335" s="20" t="inlineStr">
        <is>
          <t>CO1/CO2</t>
        </is>
      </c>
      <c r="G335" s="19">
        <f>IF($D335="","",IF(MID($D335,5,1)="A","A(가을)",IF(MID($D335,5,1)="W","W(겨울)",IF(MID($D335,5,1)="X","X(사계절)",MID($D335,5,1)))))</f>
        <v/>
      </c>
      <c r="H335" s="19" t="n"/>
      <c r="I335" s="21" t="n"/>
      <c r="J335" s="22">
        <f>IF($I335="","",IFERROR(DATE(기준정보!$C$7,VALUE(LEFT($I335,FIND("월",$I335)-1)),1+7*(VALUE(SUBSTITUTE(MID($I335,FIND("월",$I335)+1,5),"주",""))-1)),""))</f>
        <v/>
      </c>
      <c r="K335" s="22">
        <f>IF($J335="","",IF(AND(ISNUMBER(SEARCH("미얀마",$U335)),$J335-기준정보!$C$5&gt;=기준정보!$C$8,$J335-기준정보!$C$5&lt;=기준정보!$C$9),기준정보!$C$8-1,IF(AND(ISNUMBER(SEARCH("인도네시아",$U335)),$J335-기준정보!$C$5&gt;=기준정보!$C$10,$J335-기준정보!$C$5&lt;=기준정보!$C$11),기준정보!$C$10-1,$J335-기준정보!$C$5)))</f>
        <v/>
      </c>
      <c r="L335" s="23">
        <f>IF($K335="","",IF(ISNUMBER(SEARCH("미얀마",$U335)),MAX(0,MIN($K335,기준정보!$C$9)-MAX($K335-기준정보!$C$6,기준정보!$C$8)+1),IF(ISNUMBER(SEARCH("인도네시아",$U335)),MAX(0,MIN($K335,기준정보!$C$11)-MAX($K335-기준정보!$C$6,기준정보!$C$10)+1),0)))</f>
        <v/>
      </c>
      <c r="M335" s="22">
        <f>IF($K335="","",$K335-기준정보!$C$6-$L335)</f>
        <v/>
      </c>
      <c r="N335" s="24">
        <f>IF($M335="","",$M335-기준정보!$C$4)</f>
        <v/>
      </c>
      <c r="O335" s="21" t="n"/>
      <c r="P335" s="21" t="n"/>
      <c r="Q335" s="21" t="n"/>
      <c r="R335" s="25" t="n"/>
      <c r="S335" s="20">
        <f>IF($H335="","",IF($H335="C","본사(소재팀)",IF($H335="완","생산처","확인 필요")))</f>
        <v/>
      </c>
      <c r="T335" s="20" t="inlineStr">
        <is>
          <t>아이블</t>
        </is>
      </c>
      <c r="U335" s="20" t="inlineStr">
        <is>
          <t>베트남</t>
        </is>
      </c>
      <c r="V335" s="20" t="n"/>
      <c r="W335" s="26" t="n"/>
      <c r="X335" s="26" t="n"/>
      <c r="Y335" s="22" t="n"/>
      <c r="Z335" s="27" t="n">
        <v>2000</v>
      </c>
      <c r="AA335" s="27" t="n">
        <v>20000000</v>
      </c>
      <c r="AB335" s="27" t="n">
        <v>156000000</v>
      </c>
      <c r="AC335" s="20" t="n"/>
      <c r="AD335" s="20">
        <f>IF($J335="","출고일 미정",IF($P335="X","작지 미발행",IF($P335="부분","작지 일부 미발행",IF(AND($R335&lt;&gt;"",$R335&gt;$M335),"소재입고 마감("&amp;TEXT($M335,"MM/DD")&amp;") 초과",IF($P335="","발행여부 확인 필요",IF($R335="","소재 입고일정 확인 필요","정상"))))))</f>
        <v/>
      </c>
      <c r="AE335" s="19">
        <f>IF($J335="","",IF(OR(LEFT($AD335,2)="작지",LEFT($AD335,4)="소재입고"),IF(LEFT($G335,1)="A","★ 납기위험(A코드)","◆ 지연주의"),IF($AD335="정상","✓ 정상","? 확인필요")))</f>
        <v/>
      </c>
      <c r="AF335" s="21" t="n"/>
      <c r="AG335" s="28" t="n"/>
    </row>
    <row r="336">
      <c r="A336" s="19" t="n">
        <v>332</v>
      </c>
      <c r="B336" s="20" t="inlineStr">
        <is>
          <t>최지희</t>
        </is>
      </c>
      <c r="C336" s="20" t="inlineStr">
        <is>
          <t>조은선</t>
        </is>
      </c>
      <c r="D336" s="20" t="inlineStr">
        <is>
          <t>QYAUW27601</t>
        </is>
      </c>
      <c r="E336" s="20" t="inlineStr">
        <is>
          <t>남여공용 솟솟 퀼팅 이어워머</t>
        </is>
      </c>
      <c r="F336" s="20" t="inlineStr">
        <is>
          <t>CO1/CO2</t>
        </is>
      </c>
      <c r="G336" s="19">
        <f>IF($D336="","",IF(MID($D336,5,1)="A","A(가을)",IF(MID($D336,5,1)="W","W(겨울)",IF(MID($D336,5,1)="X","X(사계절)",MID($D336,5,1)))))</f>
        <v/>
      </c>
      <c r="H336" s="19" t="n"/>
      <c r="I336" s="21" t="n"/>
      <c r="J336" s="22">
        <f>IF($I336="","",IFERROR(DATE(기준정보!$C$7,VALUE(LEFT($I336,FIND("월",$I336)-1)),1+7*(VALUE(SUBSTITUTE(MID($I336,FIND("월",$I336)+1,5),"주",""))-1)),""))</f>
        <v/>
      </c>
      <c r="K336" s="22">
        <f>IF($J336="","",IF(AND(ISNUMBER(SEARCH("미얀마",$U336)),$J336-기준정보!$C$5&gt;=기준정보!$C$8,$J336-기준정보!$C$5&lt;=기준정보!$C$9),기준정보!$C$8-1,IF(AND(ISNUMBER(SEARCH("인도네시아",$U336)),$J336-기준정보!$C$5&gt;=기준정보!$C$10,$J336-기준정보!$C$5&lt;=기준정보!$C$11),기준정보!$C$10-1,$J336-기준정보!$C$5)))</f>
        <v/>
      </c>
      <c r="L336" s="23">
        <f>IF($K336="","",IF(ISNUMBER(SEARCH("미얀마",$U336)),MAX(0,MIN($K336,기준정보!$C$9)-MAX($K336-기준정보!$C$6,기준정보!$C$8)+1),IF(ISNUMBER(SEARCH("인도네시아",$U336)),MAX(0,MIN($K336,기준정보!$C$11)-MAX($K336-기준정보!$C$6,기준정보!$C$10)+1),0)))</f>
        <v/>
      </c>
      <c r="M336" s="22">
        <f>IF($K336="","",$K336-기준정보!$C$6-$L336)</f>
        <v/>
      </c>
      <c r="N336" s="24">
        <f>IF($M336="","",$M336-기준정보!$C$4)</f>
        <v/>
      </c>
      <c r="O336" s="21" t="n"/>
      <c r="P336" s="21" t="n"/>
      <c r="Q336" s="21" t="n"/>
      <c r="R336" s="25" t="n"/>
      <c r="S336" s="20">
        <f>IF($H336="","",IF($H336="C","본사(소재팀)",IF($H336="완","생산처","확인 필요")))</f>
        <v/>
      </c>
      <c r="T336" s="20" t="inlineStr">
        <is>
          <t>ING</t>
        </is>
      </c>
      <c r="U336" s="20" t="inlineStr">
        <is>
          <t>국내</t>
        </is>
      </c>
      <c r="V336" s="20" t="n"/>
      <c r="W336" s="26" t="n"/>
      <c r="X336" s="26" t="n"/>
      <c r="Y336" s="22" t="n"/>
      <c r="Z336" s="27" t="n">
        <v>2000</v>
      </c>
      <c r="AA336" s="27" t="n">
        <v>18400000</v>
      </c>
      <c r="AB336" s="27" t="n">
        <v>100000000</v>
      </c>
      <c r="AC336" s="20" t="n"/>
      <c r="AD336" s="20">
        <f>IF($J336="","출고일 미정",IF($P336="X","작지 미발행",IF($P336="부분","작지 일부 미발행",IF(AND($R336&lt;&gt;"",$R336&gt;$M336),"소재입고 마감("&amp;TEXT($M336,"MM/DD")&amp;") 초과",IF($P336="","발행여부 확인 필요",IF($R336="","소재 입고일정 확인 필요","정상"))))))</f>
        <v/>
      </c>
      <c r="AE336" s="19">
        <f>IF($J336="","",IF(OR(LEFT($AD336,2)="작지",LEFT($AD336,4)="소재입고"),IF(LEFT($G336,1)="A","★ 납기위험(A코드)","◆ 지연주의"),IF($AD336="정상","✓ 정상","? 확인필요")))</f>
        <v/>
      </c>
      <c r="AF336" s="21" t="n"/>
      <c r="AG336" s="28" t="n"/>
    </row>
    <row r="337">
      <c r="A337" s="19" t="n">
        <v>333</v>
      </c>
      <c r="B337" s="20" t="inlineStr">
        <is>
          <t>최지희</t>
        </is>
      </c>
      <c r="C337" s="20" t="inlineStr">
        <is>
          <t>조은선</t>
        </is>
      </c>
      <c r="D337" s="20" t="inlineStr">
        <is>
          <t>QYBDW27602</t>
        </is>
      </c>
      <c r="E337" s="20" t="inlineStr">
        <is>
          <t>여성 솟솟 크로스백</t>
        </is>
      </c>
      <c r="F337" s="20" t="inlineStr">
        <is>
          <t>CO1/CO2</t>
        </is>
      </c>
      <c r="G337" s="19">
        <f>IF($D337="","",IF(MID($D337,5,1)="A","A(가을)",IF(MID($D337,5,1)="W","W(겨울)",IF(MID($D337,5,1)="X","X(사계절)",MID($D337,5,1)))))</f>
        <v/>
      </c>
      <c r="H337" s="19" t="n"/>
      <c r="I337" s="21" t="n"/>
      <c r="J337" s="22">
        <f>IF($I337="","",IFERROR(DATE(기준정보!$C$7,VALUE(LEFT($I337,FIND("월",$I337)-1)),1+7*(VALUE(SUBSTITUTE(MID($I337,FIND("월",$I337)+1,5),"주",""))-1)),""))</f>
        <v/>
      </c>
      <c r="K337" s="22">
        <f>IF($J337="","",IF(AND(ISNUMBER(SEARCH("미얀마",$U337)),$J337-기준정보!$C$5&gt;=기준정보!$C$8,$J337-기준정보!$C$5&lt;=기준정보!$C$9),기준정보!$C$8-1,IF(AND(ISNUMBER(SEARCH("인도네시아",$U337)),$J337-기준정보!$C$5&gt;=기준정보!$C$10,$J337-기준정보!$C$5&lt;=기준정보!$C$11),기준정보!$C$10-1,$J337-기준정보!$C$5)))</f>
        <v/>
      </c>
      <c r="L337" s="23">
        <f>IF($K337="","",IF(ISNUMBER(SEARCH("미얀마",$U337)),MAX(0,MIN($K337,기준정보!$C$9)-MAX($K337-기준정보!$C$6,기준정보!$C$8)+1),IF(ISNUMBER(SEARCH("인도네시아",$U337)),MAX(0,MIN($K337,기준정보!$C$11)-MAX($K337-기준정보!$C$6,기준정보!$C$10)+1),0)))</f>
        <v/>
      </c>
      <c r="M337" s="22">
        <f>IF($K337="","",$K337-기준정보!$C$6-$L337)</f>
        <v/>
      </c>
      <c r="N337" s="24">
        <f>IF($M337="","",$M337-기준정보!$C$4)</f>
        <v/>
      </c>
      <c r="O337" s="21" t="n"/>
      <c r="P337" s="21" t="n"/>
      <c r="Q337" s="21" t="n"/>
      <c r="R337" s="25" t="n"/>
      <c r="S337" s="20">
        <f>IF($H337="","",IF($H337="C","본사(소재팀)",IF($H337="완","생산처","확인 필요")))</f>
        <v/>
      </c>
      <c r="T337" s="20" t="inlineStr">
        <is>
          <t>풍국</t>
        </is>
      </c>
      <c r="U337" s="20" t="inlineStr">
        <is>
          <t>베트남</t>
        </is>
      </c>
      <c r="V337" s="20" t="n"/>
      <c r="W337" s="26" t="n"/>
      <c r="X337" s="26" t="n"/>
      <c r="Y337" s="22" t="n"/>
      <c r="Z337" s="27" t="n">
        <v>1500</v>
      </c>
      <c r="AA337" s="27" t="n">
        <v>33000000</v>
      </c>
      <c r="AB337" s="27" t="n">
        <v>132000000</v>
      </c>
      <c r="AC337" s="20" t="n"/>
      <c r="AD337" s="20">
        <f>IF($J337="","출고일 미정",IF($P337="X","작지 미발행",IF($P337="부분","작지 일부 미발행",IF(AND($R337&lt;&gt;"",$R337&gt;$M337),"소재입고 마감("&amp;TEXT($M337,"MM/DD")&amp;") 초과",IF($P337="","발행여부 확인 필요",IF($R337="","소재 입고일정 확인 필요","정상"))))))</f>
        <v/>
      </c>
      <c r="AE337" s="19">
        <f>IF($J337="","",IF(OR(LEFT($AD337,2)="작지",LEFT($AD337,4)="소재입고"),IF(LEFT($G337,1)="A","★ 납기위험(A코드)","◆ 지연주의"),IF($AD337="정상","✓ 정상","? 확인필요")))</f>
        <v/>
      </c>
      <c r="AF337" s="21" t="n"/>
      <c r="AG337" s="28" t="n"/>
    </row>
    <row r="338">
      <c r="A338" s="19" t="n">
        <v>334</v>
      </c>
      <c r="B338" s="20" t="inlineStr">
        <is>
          <t>최지희</t>
        </is>
      </c>
      <c r="C338" s="20" t="inlineStr">
        <is>
          <t>조은선</t>
        </is>
      </c>
      <c r="D338" s="20" t="inlineStr">
        <is>
          <t>QYBXW27602</t>
        </is>
      </c>
      <c r="E338" s="20" t="inlineStr">
        <is>
          <t>여성 솟솟 백팩</t>
        </is>
      </c>
      <c r="F338" s="20" t="inlineStr">
        <is>
          <t>CO1/CO2</t>
        </is>
      </c>
      <c r="G338" s="19">
        <f>IF($D338="","",IF(MID($D338,5,1)="A","A(가을)",IF(MID($D338,5,1)="W","W(겨울)",IF(MID($D338,5,1)="X","X(사계절)",MID($D338,5,1)))))</f>
        <v/>
      </c>
      <c r="H338" s="19" t="n"/>
      <c r="I338" s="21" t="n"/>
      <c r="J338" s="22">
        <f>IF($I338="","",IFERROR(DATE(기준정보!$C$7,VALUE(LEFT($I338,FIND("월",$I338)-1)),1+7*(VALUE(SUBSTITUTE(MID($I338,FIND("월",$I338)+1,5),"주",""))-1)),""))</f>
        <v/>
      </c>
      <c r="K338" s="22">
        <f>IF($J338="","",IF(AND(ISNUMBER(SEARCH("미얀마",$U338)),$J338-기준정보!$C$5&gt;=기준정보!$C$8,$J338-기준정보!$C$5&lt;=기준정보!$C$9),기준정보!$C$8-1,IF(AND(ISNUMBER(SEARCH("인도네시아",$U338)),$J338-기준정보!$C$5&gt;=기준정보!$C$10,$J338-기준정보!$C$5&lt;=기준정보!$C$11),기준정보!$C$10-1,$J338-기준정보!$C$5)))</f>
        <v/>
      </c>
      <c r="L338" s="23">
        <f>IF($K338="","",IF(ISNUMBER(SEARCH("미얀마",$U338)),MAX(0,MIN($K338,기준정보!$C$9)-MAX($K338-기준정보!$C$6,기준정보!$C$8)+1),IF(ISNUMBER(SEARCH("인도네시아",$U338)),MAX(0,MIN($K338,기준정보!$C$11)-MAX($K338-기준정보!$C$6,기준정보!$C$10)+1),0)))</f>
        <v/>
      </c>
      <c r="M338" s="22">
        <f>IF($K338="","",$K338-기준정보!$C$6-$L338)</f>
        <v/>
      </c>
      <c r="N338" s="24">
        <f>IF($M338="","",$M338-기준정보!$C$4)</f>
        <v/>
      </c>
      <c r="O338" s="21" t="n"/>
      <c r="P338" s="21" t="n"/>
      <c r="Q338" s="21" t="n"/>
      <c r="R338" s="25" t="n"/>
      <c r="S338" s="20">
        <f>IF($H338="","",IF($H338="C","본사(소재팀)",IF($H338="완","생산처","확인 필요")))</f>
        <v/>
      </c>
      <c r="T338" s="20" t="inlineStr">
        <is>
          <t>풍국</t>
        </is>
      </c>
      <c r="U338" s="20" t="inlineStr">
        <is>
          <t>베트남</t>
        </is>
      </c>
      <c r="V338" s="20" t="n"/>
      <c r="W338" s="26" t="n"/>
      <c r="X338" s="26" t="n"/>
      <c r="Y338" s="22" t="n"/>
      <c r="Z338" s="27" t="n">
        <v>500</v>
      </c>
      <c r="AA338" s="27" t="n">
        <v>17250000</v>
      </c>
      <c r="AB338" s="27" t="n">
        <v>69000000</v>
      </c>
      <c r="AC338" s="20" t="n"/>
      <c r="AD338" s="20">
        <f>IF($J338="","출고일 미정",IF($P338="X","작지 미발행",IF($P338="부분","작지 일부 미발행",IF(AND($R338&lt;&gt;"",$R338&gt;$M338),"소재입고 마감("&amp;TEXT($M338,"MM/DD")&amp;") 초과",IF($P338="","발행여부 확인 필요",IF($R338="","소재 입고일정 확인 필요","정상"))))))</f>
        <v/>
      </c>
      <c r="AE338" s="19">
        <f>IF($J338="","",IF(OR(LEFT($AD338,2)="작지",LEFT($AD338,4)="소재입고"),IF(LEFT($G338,1)="A","★ 납기위험(A코드)","◆ 지연주의"),IF($AD338="정상","✓ 정상","? 확인필요")))</f>
        <v/>
      </c>
      <c r="AF338" s="21" t="n"/>
      <c r="AG338" s="28" t="n"/>
    </row>
    <row r="339">
      <c r="A339" s="19" t="n">
        <v>335</v>
      </c>
      <c r="B339" s="20" t="inlineStr">
        <is>
          <t>최지희</t>
        </is>
      </c>
      <c r="C339" s="20" t="inlineStr">
        <is>
          <t>조은선</t>
        </is>
      </c>
      <c r="D339" s="20" t="inlineStr">
        <is>
          <t>QYHFW25421</t>
        </is>
      </c>
      <c r="E339" s="20" t="inlineStr">
        <is>
          <t>남녀공용 고어텍스 히어로 방수 장갑</t>
        </is>
      </c>
      <c r="F339" s="20" t="inlineStr">
        <is>
          <t>CO1</t>
        </is>
      </c>
      <c r="G339" s="19">
        <f>IF($D339="","",IF(MID($D339,5,1)="A","A(가을)",IF(MID($D339,5,1)="W","W(겨울)",IF(MID($D339,5,1)="X","X(사계절)",MID($D339,5,1)))))</f>
        <v/>
      </c>
      <c r="H339" s="19" t="n"/>
      <c r="I339" s="21" t="n"/>
      <c r="J339" s="22">
        <f>IF($I339="","",IFERROR(DATE(기준정보!$C$7,VALUE(LEFT($I339,FIND("월",$I339)-1)),1+7*(VALUE(SUBSTITUTE(MID($I339,FIND("월",$I339)+1,5),"주",""))-1)),""))</f>
        <v/>
      </c>
      <c r="K339" s="22">
        <f>IF($J339="","",IF(AND(ISNUMBER(SEARCH("미얀마",$U339)),$J339-기준정보!$C$5&gt;=기준정보!$C$8,$J339-기준정보!$C$5&lt;=기준정보!$C$9),기준정보!$C$8-1,IF(AND(ISNUMBER(SEARCH("인도네시아",$U339)),$J339-기준정보!$C$5&gt;=기준정보!$C$10,$J339-기준정보!$C$5&lt;=기준정보!$C$11),기준정보!$C$10-1,$J339-기준정보!$C$5)))</f>
        <v/>
      </c>
      <c r="L339" s="23">
        <f>IF($K339="","",IF(ISNUMBER(SEARCH("미얀마",$U339)),MAX(0,MIN($K339,기준정보!$C$9)-MAX($K339-기준정보!$C$6,기준정보!$C$8)+1),IF(ISNUMBER(SEARCH("인도네시아",$U339)),MAX(0,MIN($K339,기준정보!$C$11)-MAX($K339-기준정보!$C$6,기준정보!$C$10)+1),0)))</f>
        <v/>
      </c>
      <c r="M339" s="22">
        <f>IF($K339="","",$K339-기준정보!$C$6-$L339)</f>
        <v/>
      </c>
      <c r="N339" s="24">
        <f>IF($M339="","",$M339-기준정보!$C$4)</f>
        <v/>
      </c>
      <c r="O339" s="21" t="n"/>
      <c r="P339" s="21" t="n"/>
      <c r="Q339" s="21" t="n"/>
      <c r="R339" s="25" t="n"/>
      <c r="S339" s="20">
        <f>IF($H339="","",IF($H339="C","본사(소재팀)",IF($H339="완","생산처","확인 필요")))</f>
        <v/>
      </c>
      <c r="T339" s="20" t="inlineStr">
        <is>
          <t>시즈글로벌</t>
        </is>
      </c>
      <c r="U339" s="20" t="inlineStr">
        <is>
          <t>베트남</t>
        </is>
      </c>
      <c r="V339" s="20" t="n"/>
      <c r="W339" s="26" t="n"/>
      <c r="X339" s="26" t="n"/>
      <c r="Y339" s="22" t="n"/>
      <c r="Z339" s="27" t="n">
        <v>1000</v>
      </c>
      <c r="AA339" s="27" t="n">
        <v>38167000</v>
      </c>
      <c r="AB339" s="27" t="n">
        <v>158000000</v>
      </c>
      <c r="AC339" s="20" t="n"/>
      <c r="AD339" s="20">
        <f>IF($J339="","출고일 미정",IF($P339="X","작지 미발행",IF($P339="부분","작지 일부 미발행",IF(AND($R339&lt;&gt;"",$R339&gt;$M339),"소재입고 마감("&amp;TEXT($M339,"MM/DD")&amp;") 초과",IF($P339="","발행여부 확인 필요",IF($R339="","소재 입고일정 확인 필요","정상"))))))</f>
        <v/>
      </c>
      <c r="AE339" s="19">
        <f>IF($J339="","",IF(OR(LEFT($AD339,2)="작지",LEFT($AD339,4)="소재입고"),IF(LEFT($G339,1)="A","★ 납기위험(A코드)","◆ 지연주의"),IF($AD339="정상","✓ 정상","? 확인필요")))</f>
        <v/>
      </c>
      <c r="AF339" s="21" t="n"/>
      <c r="AG339" s="28" t="n"/>
    </row>
    <row r="340">
      <c r="A340" s="19" t="n">
        <v>336</v>
      </c>
      <c r="B340" s="20" t="inlineStr">
        <is>
          <t>최지희</t>
        </is>
      </c>
      <c r="C340" s="20" t="inlineStr">
        <is>
          <t>조은선</t>
        </is>
      </c>
      <c r="D340" s="20" t="inlineStr">
        <is>
          <t>QYHFW27401</t>
        </is>
      </c>
      <c r="E340" s="20" t="inlineStr">
        <is>
          <t>남녀공용 고어 윈드스토퍼 우븐 장갑</t>
        </is>
      </c>
      <c r="F340" s="20" t="inlineStr">
        <is>
          <t>CO1/CO2</t>
        </is>
      </c>
      <c r="G340" s="19">
        <f>IF($D340="","",IF(MID($D340,5,1)="A","A(가을)",IF(MID($D340,5,1)="W","W(겨울)",IF(MID($D340,5,1)="X","X(사계절)",MID($D340,5,1)))))</f>
        <v/>
      </c>
      <c r="H340" s="19" t="n"/>
      <c r="I340" s="21" t="n"/>
      <c r="J340" s="22">
        <f>IF($I340="","",IFERROR(DATE(기준정보!$C$7,VALUE(LEFT($I340,FIND("월",$I340)-1)),1+7*(VALUE(SUBSTITUTE(MID($I340,FIND("월",$I340)+1,5),"주",""))-1)),""))</f>
        <v/>
      </c>
      <c r="K340" s="22">
        <f>IF($J340="","",IF(AND(ISNUMBER(SEARCH("미얀마",$U340)),$J340-기준정보!$C$5&gt;=기준정보!$C$8,$J340-기준정보!$C$5&lt;=기준정보!$C$9),기준정보!$C$8-1,IF(AND(ISNUMBER(SEARCH("인도네시아",$U340)),$J340-기준정보!$C$5&gt;=기준정보!$C$10,$J340-기준정보!$C$5&lt;=기준정보!$C$11),기준정보!$C$10-1,$J340-기준정보!$C$5)))</f>
        <v/>
      </c>
      <c r="L340" s="23">
        <f>IF($K340="","",IF(ISNUMBER(SEARCH("미얀마",$U340)),MAX(0,MIN($K340,기준정보!$C$9)-MAX($K340-기준정보!$C$6,기준정보!$C$8)+1),IF(ISNUMBER(SEARCH("인도네시아",$U340)),MAX(0,MIN($K340,기준정보!$C$11)-MAX($K340-기준정보!$C$6,기준정보!$C$10)+1),0)))</f>
        <v/>
      </c>
      <c r="M340" s="22">
        <f>IF($K340="","",$K340-기준정보!$C$6-$L340)</f>
        <v/>
      </c>
      <c r="N340" s="24">
        <f>IF($M340="","",$M340-기준정보!$C$4)</f>
        <v/>
      </c>
      <c r="O340" s="21" t="n"/>
      <c r="P340" s="21" t="n"/>
      <c r="Q340" s="21" t="n"/>
      <c r="R340" s="25" t="n"/>
      <c r="S340" s="20">
        <f>IF($H340="","",IF($H340="C","본사(소재팀)",IF($H340="완","생산처","확인 필요")))</f>
        <v/>
      </c>
      <c r="T340" s="20" t="inlineStr">
        <is>
          <t>시즈글로벌</t>
        </is>
      </c>
      <c r="U340" s="20" t="inlineStr">
        <is>
          <t>베트남</t>
        </is>
      </c>
      <c r="V340" s="20" t="n"/>
      <c r="W340" s="26" t="n"/>
      <c r="X340" s="26" t="n"/>
      <c r="Y340" s="22" t="n"/>
      <c r="Z340" s="27" t="n">
        <v>2750</v>
      </c>
      <c r="AA340" s="27" t="n">
        <v>33052250</v>
      </c>
      <c r="AB340" s="27" t="n">
        <v>242000000</v>
      </c>
      <c r="AC340" s="20" t="n"/>
      <c r="AD340" s="20">
        <f>IF($J340="","출고일 미정",IF($P340="X","작지 미발행",IF($P340="부분","작지 일부 미발행",IF(AND($R340&lt;&gt;"",$R340&gt;$M340),"소재입고 마감("&amp;TEXT($M340,"MM/DD")&amp;") 초과",IF($P340="","발행여부 확인 필요",IF($R340="","소재 입고일정 확인 필요","정상"))))))</f>
        <v/>
      </c>
      <c r="AE340" s="19">
        <f>IF($J340="","",IF(OR(LEFT($AD340,2)="작지",LEFT($AD340,4)="소재입고"),IF(LEFT($G340,1)="A","★ 납기위험(A코드)","◆ 지연주의"),IF($AD340="정상","✓ 정상","? 확인필요")))</f>
        <v/>
      </c>
      <c r="AF340" s="21" t="n"/>
      <c r="AG340" s="28" t="n"/>
    </row>
    <row r="341">
      <c r="A341" s="19" t="n">
        <v>337</v>
      </c>
      <c r="B341" s="20" t="inlineStr">
        <is>
          <t>최지희</t>
        </is>
      </c>
      <c r="C341" s="20" t="inlineStr">
        <is>
          <t>조은선</t>
        </is>
      </c>
      <c r="D341" s="20" t="inlineStr">
        <is>
          <t>QYHFW27403</t>
        </is>
      </c>
      <c r="E341" s="20" t="inlineStr">
        <is>
          <t>남녀공용 고어 윈드스토퍼 플리스 장갑</t>
        </is>
      </c>
      <c r="F341" s="20" t="inlineStr">
        <is>
          <t>CO1/CO2</t>
        </is>
      </c>
      <c r="G341" s="19">
        <f>IF($D341="","",IF(MID($D341,5,1)="A","A(가을)",IF(MID($D341,5,1)="W","W(겨울)",IF(MID($D341,5,1)="X","X(사계절)",MID($D341,5,1)))))</f>
        <v/>
      </c>
      <c r="H341" s="19" t="n"/>
      <c r="I341" s="21" t="n"/>
      <c r="J341" s="22">
        <f>IF($I341="","",IFERROR(DATE(기준정보!$C$7,VALUE(LEFT($I341,FIND("월",$I341)-1)),1+7*(VALUE(SUBSTITUTE(MID($I341,FIND("월",$I341)+1,5),"주",""))-1)),""))</f>
        <v/>
      </c>
      <c r="K341" s="22">
        <f>IF($J341="","",IF(AND(ISNUMBER(SEARCH("미얀마",$U341)),$J341-기준정보!$C$5&gt;=기준정보!$C$8,$J341-기준정보!$C$5&lt;=기준정보!$C$9),기준정보!$C$8-1,IF(AND(ISNUMBER(SEARCH("인도네시아",$U341)),$J341-기준정보!$C$5&gt;=기준정보!$C$10,$J341-기준정보!$C$5&lt;=기준정보!$C$11),기준정보!$C$10-1,$J341-기준정보!$C$5)))</f>
        <v/>
      </c>
      <c r="L341" s="23">
        <f>IF($K341="","",IF(ISNUMBER(SEARCH("미얀마",$U341)),MAX(0,MIN($K341,기준정보!$C$9)-MAX($K341-기준정보!$C$6,기준정보!$C$8)+1),IF(ISNUMBER(SEARCH("인도네시아",$U341)),MAX(0,MIN($K341,기준정보!$C$11)-MAX($K341-기준정보!$C$6,기준정보!$C$10)+1),0)))</f>
        <v/>
      </c>
      <c r="M341" s="22">
        <f>IF($K341="","",$K341-기준정보!$C$6-$L341)</f>
        <v/>
      </c>
      <c r="N341" s="24">
        <f>IF($M341="","",$M341-기준정보!$C$4)</f>
        <v/>
      </c>
      <c r="O341" s="21" t="n"/>
      <c r="P341" s="21" t="n"/>
      <c r="Q341" s="21" t="n"/>
      <c r="R341" s="25" t="n"/>
      <c r="S341" s="20">
        <f>IF($H341="","",IF($H341="C","본사(소재팀)",IF($H341="완","생산처","확인 필요")))</f>
        <v/>
      </c>
      <c r="T341" s="20" t="inlineStr">
        <is>
          <t>시즈글로벌</t>
        </is>
      </c>
      <c r="U341" s="20" t="inlineStr">
        <is>
          <t>베트남</t>
        </is>
      </c>
      <c r="V341" s="20" t="n"/>
      <c r="W341" s="26" t="n"/>
      <c r="X341" s="26" t="n"/>
      <c r="Y341" s="22" t="n"/>
      <c r="Z341" s="27" t="n">
        <v>2000</v>
      </c>
      <c r="AA341" s="27" t="n">
        <v>26574000</v>
      </c>
      <c r="AB341" s="27" t="n">
        <v>176000000</v>
      </c>
      <c r="AC341" s="20" t="n"/>
      <c r="AD341" s="20">
        <f>IF($J341="","출고일 미정",IF($P341="X","작지 미발행",IF($P341="부분","작지 일부 미발행",IF(AND($R341&lt;&gt;"",$R341&gt;$M341),"소재입고 마감("&amp;TEXT($M341,"MM/DD")&amp;") 초과",IF($P341="","발행여부 확인 필요",IF($R341="","소재 입고일정 확인 필요","정상"))))))</f>
        <v/>
      </c>
      <c r="AE341" s="19">
        <f>IF($J341="","",IF(OR(LEFT($AD341,2)="작지",LEFT($AD341,4)="소재입고"),IF(LEFT($G341,1)="A","★ 납기위험(A코드)","◆ 지연주의"),IF($AD341="정상","✓ 정상","? 확인필요")))</f>
        <v/>
      </c>
      <c r="AF341" s="21" t="n"/>
      <c r="AG341" s="28" t="n"/>
    </row>
    <row r="342">
      <c r="A342" s="19" t="n">
        <v>338</v>
      </c>
      <c r="B342" s="20" t="inlineStr">
        <is>
          <t>최지희</t>
        </is>
      </c>
      <c r="C342" s="20" t="inlineStr">
        <is>
          <t>조은선</t>
        </is>
      </c>
      <c r="D342" s="20" t="inlineStr">
        <is>
          <t>QYHFW27405</t>
        </is>
      </c>
      <c r="E342" s="20" t="inlineStr">
        <is>
          <t>남녀공용 프리마로프트 패딩 장갑</t>
        </is>
      </c>
      <c r="F342" s="20" t="inlineStr">
        <is>
          <t>CO1/CO2</t>
        </is>
      </c>
      <c r="G342" s="19">
        <f>IF($D342="","",IF(MID($D342,5,1)="A","A(가을)",IF(MID($D342,5,1)="W","W(겨울)",IF(MID($D342,5,1)="X","X(사계절)",MID($D342,5,1)))))</f>
        <v/>
      </c>
      <c r="H342" s="19" t="n"/>
      <c r="I342" s="21" t="n"/>
      <c r="J342" s="22">
        <f>IF($I342="","",IFERROR(DATE(기준정보!$C$7,VALUE(LEFT($I342,FIND("월",$I342)-1)),1+7*(VALUE(SUBSTITUTE(MID($I342,FIND("월",$I342)+1,5),"주",""))-1)),""))</f>
        <v/>
      </c>
      <c r="K342" s="22">
        <f>IF($J342="","",IF(AND(ISNUMBER(SEARCH("미얀마",$U342)),$J342-기준정보!$C$5&gt;=기준정보!$C$8,$J342-기준정보!$C$5&lt;=기준정보!$C$9),기준정보!$C$8-1,IF(AND(ISNUMBER(SEARCH("인도네시아",$U342)),$J342-기준정보!$C$5&gt;=기준정보!$C$10,$J342-기준정보!$C$5&lt;=기준정보!$C$11),기준정보!$C$10-1,$J342-기준정보!$C$5)))</f>
        <v/>
      </c>
      <c r="L342" s="23">
        <f>IF($K342="","",IF(ISNUMBER(SEARCH("미얀마",$U342)),MAX(0,MIN($K342,기준정보!$C$9)-MAX($K342-기준정보!$C$6,기준정보!$C$8)+1),IF(ISNUMBER(SEARCH("인도네시아",$U342)),MAX(0,MIN($K342,기준정보!$C$11)-MAX($K342-기준정보!$C$6,기준정보!$C$10)+1),0)))</f>
        <v/>
      </c>
      <c r="M342" s="22">
        <f>IF($K342="","",$K342-기준정보!$C$6-$L342)</f>
        <v/>
      </c>
      <c r="N342" s="24">
        <f>IF($M342="","",$M342-기준정보!$C$4)</f>
        <v/>
      </c>
      <c r="O342" s="21" t="n"/>
      <c r="P342" s="21" t="n"/>
      <c r="Q342" s="21" t="n"/>
      <c r="R342" s="25" t="n"/>
      <c r="S342" s="20">
        <f>IF($H342="","",IF($H342="C","본사(소재팀)",IF($H342="완","생산처","확인 필요")))</f>
        <v/>
      </c>
      <c r="T342" s="20" t="inlineStr">
        <is>
          <t>시즈글로벌</t>
        </is>
      </c>
      <c r="U342" s="20" t="inlineStr">
        <is>
          <t>베트남</t>
        </is>
      </c>
      <c r="V342" s="20" t="n"/>
      <c r="W342" s="26" t="n"/>
      <c r="X342" s="26" t="n"/>
      <c r="Y342" s="22" t="n"/>
      <c r="Z342" s="27" t="n">
        <v>3000</v>
      </c>
      <c r="AA342" s="27" t="n">
        <v>38172000</v>
      </c>
      <c r="AB342" s="27" t="n">
        <v>234000000</v>
      </c>
      <c r="AC342" s="20" t="n"/>
      <c r="AD342" s="20">
        <f>IF($J342="","출고일 미정",IF($P342="X","작지 미발행",IF($P342="부분","작지 일부 미발행",IF(AND($R342&lt;&gt;"",$R342&gt;$M342),"소재입고 마감("&amp;TEXT($M342,"MM/DD")&amp;") 초과",IF($P342="","발행여부 확인 필요",IF($R342="","소재 입고일정 확인 필요","정상"))))))</f>
        <v/>
      </c>
      <c r="AE342" s="19">
        <f>IF($J342="","",IF(OR(LEFT($AD342,2)="작지",LEFT($AD342,4)="소재입고"),IF(LEFT($G342,1)="A","★ 납기위험(A코드)","◆ 지연주의"),IF($AD342="정상","✓ 정상","? 확인필요")))</f>
        <v/>
      </c>
      <c r="AF342" s="21" t="n"/>
      <c r="AG342" s="28" t="n"/>
    </row>
    <row r="343">
      <c r="A343" s="19" t="n">
        <v>339</v>
      </c>
      <c r="B343" s="20" t="inlineStr">
        <is>
          <t>최지희</t>
        </is>
      </c>
      <c r="C343" s="20" t="inlineStr">
        <is>
          <t>조은선</t>
        </is>
      </c>
      <c r="D343" s="20" t="inlineStr">
        <is>
          <t>QYHFW27407</t>
        </is>
      </c>
      <c r="E343" s="20" t="inlineStr">
        <is>
          <t>남녀공용 프리마로프트 패딩 미튼</t>
        </is>
      </c>
      <c r="F343" s="20" t="inlineStr">
        <is>
          <t>CO1/CO2</t>
        </is>
      </c>
      <c r="G343" s="19">
        <f>IF($D343="","",IF(MID($D343,5,1)="A","A(가을)",IF(MID($D343,5,1)="W","W(겨울)",IF(MID($D343,5,1)="X","X(사계절)",MID($D343,5,1)))))</f>
        <v/>
      </c>
      <c r="H343" s="19" t="n"/>
      <c r="I343" s="21" t="n"/>
      <c r="J343" s="22">
        <f>IF($I343="","",IFERROR(DATE(기준정보!$C$7,VALUE(LEFT($I343,FIND("월",$I343)-1)),1+7*(VALUE(SUBSTITUTE(MID($I343,FIND("월",$I343)+1,5),"주",""))-1)),""))</f>
        <v/>
      </c>
      <c r="K343" s="22">
        <f>IF($J343="","",IF(AND(ISNUMBER(SEARCH("미얀마",$U343)),$J343-기준정보!$C$5&gt;=기준정보!$C$8,$J343-기준정보!$C$5&lt;=기준정보!$C$9),기준정보!$C$8-1,IF(AND(ISNUMBER(SEARCH("인도네시아",$U343)),$J343-기준정보!$C$5&gt;=기준정보!$C$10,$J343-기준정보!$C$5&lt;=기준정보!$C$11),기준정보!$C$10-1,$J343-기준정보!$C$5)))</f>
        <v/>
      </c>
      <c r="L343" s="23">
        <f>IF($K343="","",IF(ISNUMBER(SEARCH("미얀마",$U343)),MAX(0,MIN($K343,기준정보!$C$9)-MAX($K343-기준정보!$C$6,기준정보!$C$8)+1),IF(ISNUMBER(SEARCH("인도네시아",$U343)),MAX(0,MIN($K343,기준정보!$C$11)-MAX($K343-기준정보!$C$6,기준정보!$C$10)+1),0)))</f>
        <v/>
      </c>
      <c r="M343" s="22">
        <f>IF($K343="","",$K343-기준정보!$C$6-$L343)</f>
        <v/>
      </c>
      <c r="N343" s="24">
        <f>IF($M343="","",$M343-기준정보!$C$4)</f>
        <v/>
      </c>
      <c r="O343" s="21" t="n"/>
      <c r="P343" s="21" t="n"/>
      <c r="Q343" s="21" t="n"/>
      <c r="R343" s="25" t="n"/>
      <c r="S343" s="20">
        <f>IF($H343="","",IF($H343="C","본사(소재팀)",IF($H343="완","생산처","확인 필요")))</f>
        <v/>
      </c>
      <c r="T343" s="20" t="inlineStr">
        <is>
          <t>시즈글로벌</t>
        </is>
      </c>
      <c r="U343" s="20" t="inlineStr">
        <is>
          <t>베트남</t>
        </is>
      </c>
      <c r="V343" s="20" t="n"/>
      <c r="W343" s="26" t="n"/>
      <c r="X343" s="26" t="n"/>
      <c r="Y343" s="22" t="n"/>
      <c r="Z343" s="27" t="n">
        <v>2000</v>
      </c>
      <c r="AA343" s="27" t="n">
        <v>30000000</v>
      </c>
      <c r="AB343" s="27" t="n">
        <v>156000000</v>
      </c>
      <c r="AC343" s="20" t="n"/>
      <c r="AD343" s="20">
        <f>IF($J343="","출고일 미정",IF($P343="X","작지 미발행",IF($P343="부분","작지 일부 미발행",IF(AND($R343&lt;&gt;"",$R343&gt;$M343),"소재입고 마감("&amp;TEXT($M343,"MM/DD")&amp;") 초과",IF($P343="","발행여부 확인 필요",IF($R343="","소재 입고일정 확인 필요","정상"))))))</f>
        <v/>
      </c>
      <c r="AE343" s="19">
        <f>IF($J343="","",IF(OR(LEFT($AD343,2)="작지",LEFT($AD343,4)="소재입고"),IF(LEFT($G343,1)="A","★ 납기위험(A코드)","◆ 지연주의"),IF($AD343="정상","✓ 정상","? 확인필요")))</f>
        <v/>
      </c>
      <c r="AF343" s="21" t="n"/>
      <c r="AG343" s="28" t="n"/>
    </row>
    <row r="344">
      <c r="A344" s="19" t="n">
        <v>340</v>
      </c>
      <c r="B344" s="20" t="inlineStr">
        <is>
          <t>최지희</t>
        </is>
      </c>
      <c r="C344" s="20" t="inlineStr">
        <is>
          <t>조은선</t>
        </is>
      </c>
      <c r="D344" s="20" t="inlineStr">
        <is>
          <t>QYHFW27409</t>
        </is>
      </c>
      <c r="E344" s="20" t="inlineStr">
        <is>
          <t>남녀공용 파워 스트레치 장갑</t>
        </is>
      </c>
      <c r="F344" s="20" t="inlineStr">
        <is>
          <t>CO1/CO2</t>
        </is>
      </c>
      <c r="G344" s="19">
        <f>IF($D344="","",IF(MID($D344,5,1)="A","A(가을)",IF(MID($D344,5,1)="W","W(겨울)",IF(MID($D344,5,1)="X","X(사계절)",MID($D344,5,1)))))</f>
        <v/>
      </c>
      <c r="H344" s="19" t="n"/>
      <c r="I344" s="21" t="n"/>
      <c r="J344" s="22">
        <f>IF($I344="","",IFERROR(DATE(기준정보!$C$7,VALUE(LEFT($I344,FIND("월",$I344)-1)),1+7*(VALUE(SUBSTITUTE(MID($I344,FIND("월",$I344)+1,5),"주",""))-1)),""))</f>
        <v/>
      </c>
      <c r="K344" s="22">
        <f>IF($J344="","",IF(AND(ISNUMBER(SEARCH("미얀마",$U344)),$J344-기준정보!$C$5&gt;=기준정보!$C$8,$J344-기준정보!$C$5&lt;=기준정보!$C$9),기준정보!$C$8-1,IF(AND(ISNUMBER(SEARCH("인도네시아",$U344)),$J344-기준정보!$C$5&gt;=기준정보!$C$10,$J344-기준정보!$C$5&lt;=기준정보!$C$11),기준정보!$C$10-1,$J344-기준정보!$C$5)))</f>
        <v/>
      </c>
      <c r="L344" s="23">
        <f>IF($K344="","",IF(ISNUMBER(SEARCH("미얀마",$U344)),MAX(0,MIN($K344,기준정보!$C$9)-MAX($K344-기준정보!$C$6,기준정보!$C$8)+1),IF(ISNUMBER(SEARCH("인도네시아",$U344)),MAX(0,MIN($K344,기준정보!$C$11)-MAX($K344-기준정보!$C$6,기준정보!$C$10)+1),0)))</f>
        <v/>
      </c>
      <c r="M344" s="22">
        <f>IF($K344="","",$K344-기준정보!$C$6-$L344)</f>
        <v/>
      </c>
      <c r="N344" s="24">
        <f>IF($M344="","",$M344-기준정보!$C$4)</f>
        <v/>
      </c>
      <c r="O344" s="21" t="n"/>
      <c r="P344" s="21" t="n"/>
      <c r="Q344" s="21" t="n"/>
      <c r="R344" s="25" t="n"/>
      <c r="S344" s="20">
        <f>IF($H344="","",IF($H344="C","본사(소재팀)",IF($H344="완","생산처","확인 필요")))</f>
        <v/>
      </c>
      <c r="T344" s="20" t="n"/>
      <c r="U344" s="20" t="n"/>
      <c r="V344" s="20" t="n"/>
      <c r="W344" s="26" t="n"/>
      <c r="X344" s="26" t="n"/>
      <c r="Y344" s="22" t="n"/>
      <c r="Z344" s="27" t="n">
        <v>5000</v>
      </c>
      <c r="AA344" s="27" t="n">
        <v>40000000</v>
      </c>
      <c r="AB344" s="27" t="n">
        <v>250000000</v>
      </c>
      <c r="AC344" s="20" t="n"/>
      <c r="AD344" s="20">
        <f>IF($J344="","출고일 미정",IF($P344="X","작지 미발행",IF($P344="부분","작지 일부 미발행",IF(AND($R344&lt;&gt;"",$R344&gt;$M344),"소재입고 마감("&amp;TEXT($M344,"MM/DD")&amp;") 초과",IF($P344="","발행여부 확인 필요",IF($R344="","소재 입고일정 확인 필요","정상"))))))</f>
        <v/>
      </c>
      <c r="AE344" s="19">
        <f>IF($J344="","",IF(OR(LEFT($AD344,2)="작지",LEFT($AD344,4)="소재입고"),IF(LEFT($G344,1)="A","★ 납기위험(A코드)","◆ 지연주의"),IF($AD344="정상","✓ 정상","? 확인필요")))</f>
        <v/>
      </c>
      <c r="AF344" s="21" t="n"/>
      <c r="AG344" s="28" t="n"/>
    </row>
    <row r="345">
      <c r="A345" s="19" t="n">
        <v>341</v>
      </c>
      <c r="B345" s="20" t="inlineStr">
        <is>
          <t>최지희</t>
        </is>
      </c>
      <c r="C345" s="20" t="inlineStr">
        <is>
          <t>조은선</t>
        </is>
      </c>
      <c r="D345" s="20" t="inlineStr">
        <is>
          <t>QYHFW27411</t>
        </is>
      </c>
      <c r="E345" s="20" t="inlineStr">
        <is>
          <t>남녀공용 울 이너 장갑</t>
        </is>
      </c>
      <c r="F345" s="20" t="inlineStr">
        <is>
          <t>CO1</t>
        </is>
      </c>
      <c r="G345" s="19">
        <f>IF($D345="","",IF(MID($D345,5,1)="A","A(가을)",IF(MID($D345,5,1)="W","W(겨울)",IF(MID($D345,5,1)="X","X(사계절)",MID($D345,5,1)))))</f>
        <v/>
      </c>
      <c r="H345" s="19" t="n"/>
      <c r="I345" s="21" t="n"/>
      <c r="J345" s="22">
        <f>IF($I345="","",IFERROR(DATE(기준정보!$C$7,VALUE(LEFT($I345,FIND("월",$I345)-1)),1+7*(VALUE(SUBSTITUTE(MID($I345,FIND("월",$I345)+1,5),"주",""))-1)),""))</f>
        <v/>
      </c>
      <c r="K345" s="22">
        <f>IF($J345="","",IF(AND(ISNUMBER(SEARCH("미얀마",$U345)),$J345-기준정보!$C$5&gt;=기준정보!$C$8,$J345-기준정보!$C$5&lt;=기준정보!$C$9),기준정보!$C$8-1,IF(AND(ISNUMBER(SEARCH("인도네시아",$U345)),$J345-기준정보!$C$5&gt;=기준정보!$C$10,$J345-기준정보!$C$5&lt;=기준정보!$C$11),기준정보!$C$10-1,$J345-기준정보!$C$5)))</f>
        <v/>
      </c>
      <c r="L345" s="23">
        <f>IF($K345="","",IF(ISNUMBER(SEARCH("미얀마",$U345)),MAX(0,MIN($K345,기준정보!$C$9)-MAX($K345-기준정보!$C$6,기준정보!$C$8)+1),IF(ISNUMBER(SEARCH("인도네시아",$U345)),MAX(0,MIN($K345,기준정보!$C$11)-MAX($K345-기준정보!$C$6,기준정보!$C$10)+1),0)))</f>
        <v/>
      </c>
      <c r="M345" s="22">
        <f>IF($K345="","",$K345-기준정보!$C$6-$L345)</f>
        <v/>
      </c>
      <c r="N345" s="24">
        <f>IF($M345="","",$M345-기준정보!$C$4)</f>
        <v/>
      </c>
      <c r="O345" s="21" t="n"/>
      <c r="P345" s="21" t="n"/>
      <c r="Q345" s="21" t="n"/>
      <c r="R345" s="25" t="n"/>
      <c r="S345" s="20">
        <f>IF($H345="","",IF($H345="C","본사(소재팀)",IF($H345="완","생산처","확인 필요")))</f>
        <v/>
      </c>
      <c r="T345" s="20" t="inlineStr">
        <is>
          <t>시즈글로벌</t>
        </is>
      </c>
      <c r="U345" s="20" t="inlineStr">
        <is>
          <t>베트남</t>
        </is>
      </c>
      <c r="V345" s="20" t="n"/>
      <c r="W345" s="26" t="n"/>
      <c r="X345" s="26" t="n"/>
      <c r="Y345" s="22" t="n"/>
      <c r="Z345" s="27" t="n">
        <v>500</v>
      </c>
      <c r="AA345" s="27" t="n">
        <v>5576000</v>
      </c>
      <c r="AB345" s="27" t="n">
        <v>27500000</v>
      </c>
      <c r="AC345" s="20" t="n"/>
      <c r="AD345" s="20">
        <f>IF($J345="","출고일 미정",IF($P345="X","작지 미발행",IF($P345="부분","작지 일부 미발행",IF(AND($R345&lt;&gt;"",$R345&gt;$M345),"소재입고 마감("&amp;TEXT($M345,"MM/DD")&amp;") 초과",IF($P345="","발행여부 확인 필요",IF($R345="","소재 입고일정 확인 필요","정상"))))))</f>
        <v/>
      </c>
      <c r="AE345" s="19">
        <f>IF($J345="","",IF(OR(LEFT($AD345,2)="작지",LEFT($AD345,4)="소재입고"),IF(LEFT($G345,1)="A","★ 납기위험(A코드)","◆ 지연주의"),IF($AD345="정상","✓ 정상","? 확인필요")))</f>
        <v/>
      </c>
      <c r="AF345" s="21" t="n"/>
      <c r="AG345" s="28" t="n"/>
    </row>
    <row r="346">
      <c r="A346" s="19" t="n">
        <v>342</v>
      </c>
      <c r="B346" s="20" t="inlineStr">
        <is>
          <t>최지희</t>
        </is>
      </c>
      <c r="C346" s="20" t="inlineStr">
        <is>
          <t>조은선</t>
        </is>
      </c>
      <c r="D346" s="20" t="inlineStr">
        <is>
          <t>QYHFW27601</t>
        </is>
      </c>
      <c r="E346" s="20" t="inlineStr">
        <is>
          <t>남녀공용 플리스 장갑</t>
        </is>
      </c>
      <c r="F346" s="20" t="inlineStr">
        <is>
          <t>CO1/CO2</t>
        </is>
      </c>
      <c r="G346" s="19">
        <f>IF($D346="","",IF(MID($D346,5,1)="A","A(가을)",IF(MID($D346,5,1)="W","W(겨울)",IF(MID($D346,5,1)="X","X(사계절)",MID($D346,5,1)))))</f>
        <v/>
      </c>
      <c r="H346" s="19" t="n"/>
      <c r="I346" s="21" t="n"/>
      <c r="J346" s="22">
        <f>IF($I346="","",IFERROR(DATE(기준정보!$C$7,VALUE(LEFT($I346,FIND("월",$I346)-1)),1+7*(VALUE(SUBSTITUTE(MID($I346,FIND("월",$I346)+1,5),"주",""))-1)),""))</f>
        <v/>
      </c>
      <c r="K346" s="22">
        <f>IF($J346="","",IF(AND(ISNUMBER(SEARCH("미얀마",$U346)),$J346-기준정보!$C$5&gt;=기준정보!$C$8,$J346-기준정보!$C$5&lt;=기준정보!$C$9),기준정보!$C$8-1,IF(AND(ISNUMBER(SEARCH("인도네시아",$U346)),$J346-기준정보!$C$5&gt;=기준정보!$C$10,$J346-기준정보!$C$5&lt;=기준정보!$C$11),기준정보!$C$10-1,$J346-기준정보!$C$5)))</f>
        <v/>
      </c>
      <c r="L346" s="23">
        <f>IF($K346="","",IF(ISNUMBER(SEARCH("미얀마",$U346)),MAX(0,MIN($K346,기준정보!$C$9)-MAX($K346-기준정보!$C$6,기준정보!$C$8)+1),IF(ISNUMBER(SEARCH("인도네시아",$U346)),MAX(0,MIN($K346,기준정보!$C$11)-MAX($K346-기준정보!$C$6,기준정보!$C$10)+1),0)))</f>
        <v/>
      </c>
      <c r="M346" s="22">
        <f>IF($K346="","",$K346-기준정보!$C$6-$L346)</f>
        <v/>
      </c>
      <c r="N346" s="24">
        <f>IF($M346="","",$M346-기준정보!$C$4)</f>
        <v/>
      </c>
      <c r="O346" s="21" t="n"/>
      <c r="P346" s="21" t="n"/>
      <c r="Q346" s="21" t="n"/>
      <c r="R346" s="25" t="n"/>
      <c r="S346" s="20">
        <f>IF($H346="","",IF($H346="C","본사(소재팀)",IF($H346="완","생산처","확인 필요")))</f>
        <v/>
      </c>
      <c r="T346" s="20" t="inlineStr">
        <is>
          <t>시즈글로벌</t>
        </is>
      </c>
      <c r="U346" s="20" t="inlineStr">
        <is>
          <t>베트남</t>
        </is>
      </c>
      <c r="V346" s="20" t="n"/>
      <c r="W346" s="26" t="n"/>
      <c r="X346" s="26" t="n"/>
      <c r="Y346" s="22" t="n"/>
      <c r="Z346" s="27" t="n">
        <v>1000</v>
      </c>
      <c r="AA346" s="27" t="n">
        <v>8300000</v>
      </c>
      <c r="AB346" s="27" t="n">
        <v>60000000</v>
      </c>
      <c r="AC346" s="20" t="n"/>
      <c r="AD346" s="20">
        <f>IF($J346="","출고일 미정",IF($P346="X","작지 미발행",IF($P346="부분","작지 일부 미발행",IF(AND($R346&lt;&gt;"",$R346&gt;$M346),"소재입고 마감("&amp;TEXT($M346,"MM/DD")&amp;") 초과",IF($P346="","발행여부 확인 필요",IF($R346="","소재 입고일정 확인 필요","정상"))))))</f>
        <v/>
      </c>
      <c r="AE346" s="19">
        <f>IF($J346="","",IF(OR(LEFT($AD346,2)="작지",LEFT($AD346,4)="소재입고"),IF(LEFT($G346,1)="A","★ 납기위험(A코드)","◆ 지연주의"),IF($AD346="정상","✓ 정상","? 확인필요")))</f>
        <v/>
      </c>
      <c r="AF346" s="21" t="n"/>
      <c r="AG346" s="28" t="n"/>
    </row>
    <row r="347">
      <c r="A347" s="19" t="n">
        <v>343</v>
      </c>
      <c r="B347" s="20" t="inlineStr">
        <is>
          <t>최지희</t>
        </is>
      </c>
      <c r="C347" s="20" t="inlineStr">
        <is>
          <t>조은선</t>
        </is>
      </c>
      <c r="D347" s="20" t="inlineStr">
        <is>
          <t>QYHFW27901</t>
        </is>
      </c>
      <c r="E347" s="20" t="inlineStr">
        <is>
          <t>남녀공용 방풍 패딩 장갑</t>
        </is>
      </c>
      <c r="F347" s="20" t="inlineStr">
        <is>
          <t>CO1/CO2</t>
        </is>
      </c>
      <c r="G347" s="19">
        <f>IF($D347="","",IF(MID($D347,5,1)="A","A(가을)",IF(MID($D347,5,1)="W","W(겨울)",IF(MID($D347,5,1)="X","X(사계절)",MID($D347,5,1)))))</f>
        <v/>
      </c>
      <c r="H347" s="19" t="n"/>
      <c r="I347" s="21" t="n"/>
      <c r="J347" s="22">
        <f>IF($I347="","",IFERROR(DATE(기준정보!$C$7,VALUE(LEFT($I347,FIND("월",$I347)-1)),1+7*(VALUE(SUBSTITUTE(MID($I347,FIND("월",$I347)+1,5),"주",""))-1)),""))</f>
        <v/>
      </c>
      <c r="K347" s="22">
        <f>IF($J347="","",IF(AND(ISNUMBER(SEARCH("미얀마",$U347)),$J347-기준정보!$C$5&gt;=기준정보!$C$8,$J347-기준정보!$C$5&lt;=기준정보!$C$9),기준정보!$C$8-1,IF(AND(ISNUMBER(SEARCH("인도네시아",$U347)),$J347-기준정보!$C$5&gt;=기준정보!$C$10,$J347-기준정보!$C$5&lt;=기준정보!$C$11),기준정보!$C$10-1,$J347-기준정보!$C$5)))</f>
        <v/>
      </c>
      <c r="L347" s="23">
        <f>IF($K347="","",IF(ISNUMBER(SEARCH("미얀마",$U347)),MAX(0,MIN($K347,기준정보!$C$9)-MAX($K347-기준정보!$C$6,기준정보!$C$8)+1),IF(ISNUMBER(SEARCH("인도네시아",$U347)),MAX(0,MIN($K347,기준정보!$C$11)-MAX($K347-기준정보!$C$6,기준정보!$C$10)+1),0)))</f>
        <v/>
      </c>
      <c r="M347" s="22">
        <f>IF($K347="","",$K347-기준정보!$C$6-$L347)</f>
        <v/>
      </c>
      <c r="N347" s="24">
        <f>IF($M347="","",$M347-기준정보!$C$4)</f>
        <v/>
      </c>
      <c r="O347" s="21" t="n"/>
      <c r="P347" s="21" t="n"/>
      <c r="Q347" s="21" t="n"/>
      <c r="R347" s="25" t="n"/>
      <c r="S347" s="20">
        <f>IF($H347="","",IF($H347="C","본사(소재팀)",IF($H347="완","생산처","확인 필요")))</f>
        <v/>
      </c>
      <c r="T347" s="20" t="inlineStr">
        <is>
          <t>시즈글로벌</t>
        </is>
      </c>
      <c r="U347" s="20" t="inlineStr">
        <is>
          <t>베트남</t>
        </is>
      </c>
      <c r="V347" s="20" t="n"/>
      <c r="W347" s="26" t="n"/>
      <c r="X347" s="26" t="n"/>
      <c r="Y347" s="22" t="n"/>
      <c r="Z347" s="27" t="n">
        <v>900</v>
      </c>
      <c r="AA347" s="27" t="n">
        <v>10800000</v>
      </c>
      <c r="AB347" s="27" t="n">
        <v>63000000</v>
      </c>
      <c r="AC347" s="20" t="n"/>
      <c r="AD347" s="20">
        <f>IF($J347="","출고일 미정",IF($P347="X","작지 미발행",IF($P347="부분","작지 일부 미발행",IF(AND($R347&lt;&gt;"",$R347&gt;$M347),"소재입고 마감("&amp;TEXT($M347,"MM/DD")&amp;") 초과",IF($P347="","발행여부 확인 필요",IF($R347="","소재 입고일정 확인 필요","정상"))))))</f>
        <v/>
      </c>
      <c r="AE347" s="19">
        <f>IF($J347="","",IF(OR(LEFT($AD347,2)="작지",LEFT($AD347,4)="소재입고"),IF(LEFT($G347,1)="A","★ 납기위험(A코드)","◆ 지연주의"),IF($AD347="정상","✓ 정상","? 확인필요")))</f>
        <v/>
      </c>
      <c r="AF347" s="21" t="n"/>
      <c r="AG347" s="28" t="n"/>
    </row>
    <row r="348">
      <c r="A348" s="19" t="n">
        <v>344</v>
      </c>
      <c r="B348" s="20" t="inlineStr">
        <is>
          <t>최지희</t>
        </is>
      </c>
      <c r="C348" s="20" t="inlineStr">
        <is>
          <t>조은선</t>
        </is>
      </c>
      <c r="D348" s="20" t="inlineStr">
        <is>
          <t>QYREW27405</t>
        </is>
      </c>
      <c r="E348" s="20" t="inlineStr">
        <is>
          <t>남녀공용 고어텍스 2L 이어플랩캡</t>
        </is>
      </c>
      <c r="F348" s="20" t="inlineStr">
        <is>
          <t>BLK/CO2</t>
        </is>
      </c>
      <c r="G348" s="19">
        <f>IF($D348="","",IF(MID($D348,5,1)="A","A(가을)",IF(MID($D348,5,1)="W","W(겨울)",IF(MID($D348,5,1)="X","X(사계절)",MID($D348,5,1)))))</f>
        <v/>
      </c>
      <c r="H348" s="19" t="n"/>
      <c r="I348" s="21" t="n"/>
      <c r="J348" s="22">
        <f>IF($I348="","",IFERROR(DATE(기준정보!$C$7,VALUE(LEFT($I348,FIND("월",$I348)-1)),1+7*(VALUE(SUBSTITUTE(MID($I348,FIND("월",$I348)+1,5),"주",""))-1)),""))</f>
        <v/>
      </c>
      <c r="K348" s="22">
        <f>IF($J348="","",IF(AND(ISNUMBER(SEARCH("미얀마",$U348)),$J348-기준정보!$C$5&gt;=기준정보!$C$8,$J348-기준정보!$C$5&lt;=기준정보!$C$9),기준정보!$C$8-1,IF(AND(ISNUMBER(SEARCH("인도네시아",$U348)),$J348-기준정보!$C$5&gt;=기준정보!$C$10,$J348-기준정보!$C$5&lt;=기준정보!$C$11),기준정보!$C$10-1,$J348-기준정보!$C$5)))</f>
        <v/>
      </c>
      <c r="L348" s="23">
        <f>IF($K348="","",IF(ISNUMBER(SEARCH("미얀마",$U348)),MAX(0,MIN($K348,기준정보!$C$9)-MAX($K348-기준정보!$C$6,기준정보!$C$8)+1),IF(ISNUMBER(SEARCH("인도네시아",$U348)),MAX(0,MIN($K348,기준정보!$C$11)-MAX($K348-기준정보!$C$6,기준정보!$C$10)+1),0)))</f>
        <v/>
      </c>
      <c r="M348" s="22">
        <f>IF($K348="","",$K348-기준정보!$C$6-$L348)</f>
        <v/>
      </c>
      <c r="N348" s="24">
        <f>IF($M348="","",$M348-기준정보!$C$4)</f>
        <v/>
      </c>
      <c r="O348" s="21" t="n"/>
      <c r="P348" s="21" t="n"/>
      <c r="Q348" s="21" t="n"/>
      <c r="R348" s="25" t="n"/>
      <c r="S348" s="20">
        <f>IF($H348="","",IF($H348="C","본사(소재팀)",IF($H348="완","생산처","확인 필요")))</f>
        <v/>
      </c>
      <c r="T348" s="20" t="inlineStr">
        <is>
          <t>캐비야</t>
        </is>
      </c>
      <c r="U348" s="20" t="inlineStr">
        <is>
          <t>국내</t>
        </is>
      </c>
      <c r="V348" s="20" t="n"/>
      <c r="W348" s="26" t="n"/>
      <c r="X348" s="26" t="n"/>
      <c r="Y348" s="22" t="n"/>
      <c r="Z348" s="27" t="n">
        <v>1500</v>
      </c>
      <c r="AA348" s="27" t="n">
        <v>28500000</v>
      </c>
      <c r="AB348" s="27" t="n">
        <v>147000000</v>
      </c>
      <c r="AC348" s="20" t="n"/>
      <c r="AD348" s="20">
        <f>IF($J348="","출고일 미정",IF($P348="X","작지 미발행",IF($P348="부분","작지 일부 미발행",IF(AND($R348&lt;&gt;"",$R348&gt;$M348),"소재입고 마감("&amp;TEXT($M348,"MM/DD")&amp;") 초과",IF($P348="","발행여부 확인 필요",IF($R348="","소재 입고일정 확인 필요","정상"))))))</f>
        <v/>
      </c>
      <c r="AE348" s="19">
        <f>IF($J348="","",IF(OR(LEFT($AD348,2)="작지",LEFT($AD348,4)="소재입고"),IF(LEFT($G348,1)="A","★ 납기위험(A코드)","◆ 지연주의"),IF($AD348="정상","✓ 정상","? 확인필요")))</f>
        <v/>
      </c>
      <c r="AF348" s="21" t="n"/>
      <c r="AG348" s="28" t="n"/>
    </row>
    <row r="349">
      <c r="A349" s="19" t="n">
        <v>345</v>
      </c>
      <c r="B349" s="20" t="inlineStr">
        <is>
          <t>최지희</t>
        </is>
      </c>
      <c r="C349" s="20" t="inlineStr">
        <is>
          <t>조은선</t>
        </is>
      </c>
      <c r="D349" s="20" t="inlineStr">
        <is>
          <t>QYREW27603</t>
        </is>
      </c>
      <c r="E349" s="20" t="inlineStr">
        <is>
          <t>남녀공용 코듀로이 볼캡</t>
        </is>
      </c>
      <c r="F349" s="20" t="inlineStr">
        <is>
          <t>CO1/CO2</t>
        </is>
      </c>
      <c r="G349" s="19">
        <f>IF($D349="","",IF(MID($D349,5,1)="A","A(가을)",IF(MID($D349,5,1)="W","W(겨울)",IF(MID($D349,5,1)="X","X(사계절)",MID($D349,5,1)))))</f>
        <v/>
      </c>
      <c r="H349" s="19" t="n"/>
      <c r="I349" s="21" t="n"/>
      <c r="J349" s="22">
        <f>IF($I349="","",IFERROR(DATE(기준정보!$C$7,VALUE(LEFT($I349,FIND("월",$I349)-1)),1+7*(VALUE(SUBSTITUTE(MID($I349,FIND("월",$I349)+1,5),"주",""))-1)),""))</f>
        <v/>
      </c>
      <c r="K349" s="22">
        <f>IF($J349="","",IF(AND(ISNUMBER(SEARCH("미얀마",$U349)),$J349-기준정보!$C$5&gt;=기준정보!$C$8,$J349-기준정보!$C$5&lt;=기준정보!$C$9),기준정보!$C$8-1,IF(AND(ISNUMBER(SEARCH("인도네시아",$U349)),$J349-기준정보!$C$5&gt;=기준정보!$C$10,$J349-기준정보!$C$5&lt;=기준정보!$C$11),기준정보!$C$10-1,$J349-기준정보!$C$5)))</f>
        <v/>
      </c>
      <c r="L349" s="23">
        <f>IF($K349="","",IF(ISNUMBER(SEARCH("미얀마",$U349)),MAX(0,MIN($K349,기준정보!$C$9)-MAX($K349-기준정보!$C$6,기준정보!$C$8)+1),IF(ISNUMBER(SEARCH("인도네시아",$U349)),MAX(0,MIN($K349,기준정보!$C$11)-MAX($K349-기준정보!$C$6,기준정보!$C$10)+1),0)))</f>
        <v/>
      </c>
      <c r="M349" s="22">
        <f>IF($K349="","",$K349-기준정보!$C$6-$L349)</f>
        <v/>
      </c>
      <c r="N349" s="24">
        <f>IF($M349="","",$M349-기준정보!$C$4)</f>
        <v/>
      </c>
      <c r="O349" s="21" t="n"/>
      <c r="P349" s="21" t="n"/>
      <c r="Q349" s="21" t="n"/>
      <c r="R349" s="25" t="n"/>
      <c r="S349" s="20">
        <f>IF($H349="","",IF($H349="C","본사(소재팀)",IF($H349="완","생산처","확인 필요")))</f>
        <v/>
      </c>
      <c r="T349" s="20" t="inlineStr">
        <is>
          <t>PNG</t>
        </is>
      </c>
      <c r="U349" s="20" t="inlineStr">
        <is>
          <t>베트남</t>
        </is>
      </c>
      <c r="V349" s="20" t="n"/>
      <c r="W349" s="26" t="n"/>
      <c r="X349" s="26" t="n"/>
      <c r="Y349" s="22" t="n"/>
      <c r="Z349" s="27" t="n">
        <v>750</v>
      </c>
      <c r="AA349" s="27" t="n">
        <v>11250000</v>
      </c>
      <c r="AB349" s="27" t="n">
        <v>52500000</v>
      </c>
      <c r="AC349" s="20" t="n"/>
      <c r="AD349" s="20">
        <f>IF($J349="","출고일 미정",IF($P349="X","작지 미발행",IF($P349="부분","작지 일부 미발행",IF(AND($R349&lt;&gt;"",$R349&gt;$M349),"소재입고 마감("&amp;TEXT($M349,"MM/DD")&amp;") 초과",IF($P349="","발행여부 확인 필요",IF($R349="","소재 입고일정 확인 필요","정상"))))))</f>
        <v/>
      </c>
      <c r="AE349" s="19">
        <f>IF($J349="","",IF(OR(LEFT($AD349,2)="작지",LEFT($AD349,4)="소재입고"),IF(LEFT($G349,1)="A","★ 납기위험(A코드)","◆ 지연주의"),IF($AD349="정상","✓ 정상","? 확인필요")))</f>
        <v/>
      </c>
      <c r="AF349" s="21" t="n"/>
      <c r="AG349" s="28" t="n"/>
    </row>
    <row r="350">
      <c r="A350" s="19" t="n">
        <v>346</v>
      </c>
      <c r="B350" s="20" t="inlineStr">
        <is>
          <t>최지희</t>
        </is>
      </c>
      <c r="C350" s="20" t="inlineStr">
        <is>
          <t>조은선</t>
        </is>
      </c>
      <c r="D350" s="20" t="inlineStr">
        <is>
          <t>QYREW27605</t>
        </is>
      </c>
      <c r="E350" s="20" t="inlineStr">
        <is>
          <t>남녀공용 솟솟 볼캡</t>
        </is>
      </c>
      <c r="F350" s="20" t="inlineStr">
        <is>
          <t>CO1/CO2</t>
        </is>
      </c>
      <c r="G350" s="19">
        <f>IF($D350="","",IF(MID($D350,5,1)="A","A(가을)",IF(MID($D350,5,1)="W","W(겨울)",IF(MID($D350,5,1)="X","X(사계절)",MID($D350,5,1)))))</f>
        <v/>
      </c>
      <c r="H350" s="19" t="n"/>
      <c r="I350" s="21" t="n"/>
      <c r="J350" s="22">
        <f>IF($I350="","",IFERROR(DATE(기준정보!$C$7,VALUE(LEFT($I350,FIND("월",$I350)-1)),1+7*(VALUE(SUBSTITUTE(MID($I350,FIND("월",$I350)+1,5),"주",""))-1)),""))</f>
        <v/>
      </c>
      <c r="K350" s="22">
        <f>IF($J350="","",IF(AND(ISNUMBER(SEARCH("미얀마",$U350)),$J350-기준정보!$C$5&gt;=기준정보!$C$8,$J350-기준정보!$C$5&lt;=기준정보!$C$9),기준정보!$C$8-1,IF(AND(ISNUMBER(SEARCH("인도네시아",$U350)),$J350-기준정보!$C$5&gt;=기준정보!$C$10,$J350-기준정보!$C$5&lt;=기준정보!$C$11),기준정보!$C$10-1,$J350-기준정보!$C$5)))</f>
        <v/>
      </c>
      <c r="L350" s="23">
        <f>IF($K350="","",IF(ISNUMBER(SEARCH("미얀마",$U350)),MAX(0,MIN($K350,기준정보!$C$9)-MAX($K350-기준정보!$C$6,기준정보!$C$8)+1),IF(ISNUMBER(SEARCH("인도네시아",$U350)),MAX(0,MIN($K350,기준정보!$C$11)-MAX($K350-기준정보!$C$6,기준정보!$C$10)+1),0)))</f>
        <v/>
      </c>
      <c r="M350" s="22">
        <f>IF($K350="","",$K350-기준정보!$C$6-$L350)</f>
        <v/>
      </c>
      <c r="N350" s="24">
        <f>IF($M350="","",$M350-기준정보!$C$4)</f>
        <v/>
      </c>
      <c r="O350" s="21" t="n"/>
      <c r="P350" s="21" t="n"/>
      <c r="Q350" s="21" t="n"/>
      <c r="R350" s="25" t="n"/>
      <c r="S350" s="20">
        <f>IF($H350="","",IF($H350="C","본사(소재팀)",IF($H350="완","생산처","확인 필요")))</f>
        <v/>
      </c>
      <c r="T350" s="20" t="inlineStr">
        <is>
          <t>PNG</t>
        </is>
      </c>
      <c r="U350" s="20" t="inlineStr">
        <is>
          <t>베트남</t>
        </is>
      </c>
      <c r="V350" s="20" t="n"/>
      <c r="W350" s="26" t="n"/>
      <c r="X350" s="26" t="n"/>
      <c r="Y350" s="22" t="n"/>
      <c r="Z350" s="27" t="n">
        <v>2500</v>
      </c>
      <c r="AA350" s="27" t="n">
        <v>30000000</v>
      </c>
      <c r="AB350" s="27" t="n">
        <v>175000000</v>
      </c>
      <c r="AC350" s="20" t="n"/>
      <c r="AD350" s="20">
        <f>IF($J350="","출고일 미정",IF($P350="X","작지 미발행",IF($P350="부분","작지 일부 미발행",IF(AND($R350&lt;&gt;"",$R350&gt;$M350),"소재입고 마감("&amp;TEXT($M350,"MM/DD")&amp;") 초과",IF($P350="","발행여부 확인 필요",IF($R350="","소재 입고일정 확인 필요","정상"))))))</f>
        <v/>
      </c>
      <c r="AE350" s="19">
        <f>IF($J350="","",IF(OR(LEFT($AD350,2)="작지",LEFT($AD350,4)="소재입고"),IF(LEFT($G350,1)="A","★ 납기위험(A코드)","◆ 지연주의"),IF($AD350="정상","✓ 정상","? 확인필요")))</f>
        <v/>
      </c>
      <c r="AF350" s="21" t="n"/>
      <c r="AG350" s="28" t="n"/>
    </row>
    <row r="351">
      <c r="A351" s="19" t="n">
        <v>347</v>
      </c>
      <c r="B351" s="20" t="inlineStr">
        <is>
          <t>최지희</t>
        </is>
      </c>
      <c r="C351" s="20" t="inlineStr">
        <is>
          <t>조은선</t>
        </is>
      </c>
      <c r="D351" s="20" t="inlineStr">
        <is>
          <t>QYREW27607</t>
        </is>
      </c>
      <c r="E351" s="20" t="inlineStr">
        <is>
          <t>남녀공용 폴라텍 볼캡</t>
        </is>
      </c>
      <c r="F351" s="20" t="inlineStr">
        <is>
          <t>CO1/CO2</t>
        </is>
      </c>
      <c r="G351" s="19">
        <f>IF($D351="","",IF(MID($D351,5,1)="A","A(가을)",IF(MID($D351,5,1)="W","W(겨울)",IF(MID($D351,5,1)="X","X(사계절)",MID($D351,5,1)))))</f>
        <v/>
      </c>
      <c r="H351" s="19" t="n"/>
      <c r="I351" s="21" t="n"/>
      <c r="J351" s="22">
        <f>IF($I351="","",IFERROR(DATE(기준정보!$C$7,VALUE(LEFT($I351,FIND("월",$I351)-1)),1+7*(VALUE(SUBSTITUTE(MID($I351,FIND("월",$I351)+1,5),"주",""))-1)),""))</f>
        <v/>
      </c>
      <c r="K351" s="22">
        <f>IF($J351="","",IF(AND(ISNUMBER(SEARCH("미얀마",$U351)),$J351-기준정보!$C$5&gt;=기준정보!$C$8,$J351-기준정보!$C$5&lt;=기준정보!$C$9),기준정보!$C$8-1,IF(AND(ISNUMBER(SEARCH("인도네시아",$U351)),$J351-기준정보!$C$5&gt;=기준정보!$C$10,$J351-기준정보!$C$5&lt;=기준정보!$C$11),기준정보!$C$10-1,$J351-기준정보!$C$5)))</f>
        <v/>
      </c>
      <c r="L351" s="23">
        <f>IF($K351="","",IF(ISNUMBER(SEARCH("미얀마",$U351)),MAX(0,MIN($K351,기준정보!$C$9)-MAX($K351-기준정보!$C$6,기준정보!$C$8)+1),IF(ISNUMBER(SEARCH("인도네시아",$U351)),MAX(0,MIN($K351,기준정보!$C$11)-MAX($K351-기준정보!$C$6,기준정보!$C$10)+1),0)))</f>
        <v/>
      </c>
      <c r="M351" s="22">
        <f>IF($K351="","",$K351-기준정보!$C$6-$L351)</f>
        <v/>
      </c>
      <c r="N351" s="24">
        <f>IF($M351="","",$M351-기준정보!$C$4)</f>
        <v/>
      </c>
      <c r="O351" s="21" t="n"/>
      <c r="P351" s="21" t="n"/>
      <c r="Q351" s="21" t="n"/>
      <c r="R351" s="25" t="n"/>
      <c r="S351" s="20">
        <f>IF($H351="","",IF($H351="C","본사(소재팀)",IF($H351="완","생산처","확인 필요")))</f>
        <v/>
      </c>
      <c r="T351" s="20" t="inlineStr">
        <is>
          <t>PNG</t>
        </is>
      </c>
      <c r="U351" s="20" t="inlineStr">
        <is>
          <t>베트남</t>
        </is>
      </c>
      <c r="V351" s="20" t="n"/>
      <c r="W351" s="26" t="n"/>
      <c r="X351" s="26" t="n"/>
      <c r="Y351" s="22" t="n"/>
      <c r="Z351" s="27" t="n">
        <v>1000</v>
      </c>
      <c r="AA351" s="27" t="n">
        <v>15000000</v>
      </c>
      <c r="AB351" s="27" t="n">
        <v>60000000</v>
      </c>
      <c r="AC351" s="20" t="n"/>
      <c r="AD351" s="20">
        <f>IF($J351="","출고일 미정",IF($P351="X","작지 미발행",IF($P351="부분","작지 일부 미발행",IF(AND($R351&lt;&gt;"",$R351&gt;$M351),"소재입고 마감("&amp;TEXT($M351,"MM/DD")&amp;") 초과",IF($P351="","발행여부 확인 필요",IF($R351="","소재 입고일정 확인 필요","정상"))))))</f>
        <v/>
      </c>
      <c r="AE351" s="19">
        <f>IF($J351="","",IF(OR(LEFT($AD351,2)="작지",LEFT($AD351,4)="소재입고"),IF(LEFT($G351,1)="A","★ 납기위험(A코드)","◆ 지연주의"),IF($AD351="정상","✓ 정상","? 확인필요")))</f>
        <v/>
      </c>
      <c r="AF351" s="21" t="n"/>
      <c r="AG351" s="28" t="n"/>
    </row>
    <row r="352">
      <c r="A352" s="19" t="n">
        <v>348</v>
      </c>
      <c r="B352" s="20" t="inlineStr">
        <is>
          <t>최지희</t>
        </is>
      </c>
      <c r="C352" s="20" t="inlineStr">
        <is>
          <t>조은선</t>
        </is>
      </c>
      <c r="D352" s="20" t="inlineStr">
        <is>
          <t>QYREW27609</t>
        </is>
      </c>
      <c r="E352" s="20" t="inlineStr">
        <is>
          <t>남녀공용 다운 트루퍼햇</t>
        </is>
      </c>
      <c r="F352" s="20" t="inlineStr">
        <is>
          <t>CO1</t>
        </is>
      </c>
      <c r="G352" s="19">
        <f>IF($D352="","",IF(MID($D352,5,1)="A","A(가을)",IF(MID($D352,5,1)="W","W(겨울)",IF(MID($D352,5,1)="X","X(사계절)",MID($D352,5,1)))))</f>
        <v/>
      </c>
      <c r="H352" s="19" t="n"/>
      <c r="I352" s="21" t="n"/>
      <c r="J352" s="22">
        <f>IF($I352="","",IFERROR(DATE(기준정보!$C$7,VALUE(LEFT($I352,FIND("월",$I352)-1)),1+7*(VALUE(SUBSTITUTE(MID($I352,FIND("월",$I352)+1,5),"주",""))-1)),""))</f>
        <v/>
      </c>
      <c r="K352" s="22">
        <f>IF($J352="","",IF(AND(ISNUMBER(SEARCH("미얀마",$U352)),$J352-기준정보!$C$5&gt;=기준정보!$C$8,$J352-기준정보!$C$5&lt;=기준정보!$C$9),기준정보!$C$8-1,IF(AND(ISNUMBER(SEARCH("인도네시아",$U352)),$J352-기준정보!$C$5&gt;=기준정보!$C$10,$J352-기준정보!$C$5&lt;=기준정보!$C$11),기준정보!$C$10-1,$J352-기준정보!$C$5)))</f>
        <v/>
      </c>
      <c r="L352" s="23">
        <f>IF($K352="","",IF(ISNUMBER(SEARCH("미얀마",$U352)),MAX(0,MIN($K352,기준정보!$C$9)-MAX($K352-기준정보!$C$6,기준정보!$C$8)+1),IF(ISNUMBER(SEARCH("인도네시아",$U352)),MAX(0,MIN($K352,기준정보!$C$11)-MAX($K352-기준정보!$C$6,기준정보!$C$10)+1),0)))</f>
        <v/>
      </c>
      <c r="M352" s="22">
        <f>IF($K352="","",$K352-기준정보!$C$6-$L352)</f>
        <v/>
      </c>
      <c r="N352" s="24">
        <f>IF($M352="","",$M352-기준정보!$C$4)</f>
        <v/>
      </c>
      <c r="O352" s="21" t="n"/>
      <c r="P352" s="21" t="n"/>
      <c r="Q352" s="21" t="n"/>
      <c r="R352" s="25" t="n"/>
      <c r="S352" s="20">
        <f>IF($H352="","",IF($H352="C","본사(소재팀)",IF($H352="완","생산처","확인 필요")))</f>
        <v/>
      </c>
      <c r="T352" s="20" t="n"/>
      <c r="U352" s="20" t="n"/>
      <c r="V352" s="20" t="n"/>
      <c r="W352" s="26" t="n"/>
      <c r="X352" s="26" t="n"/>
      <c r="Y352" s="22" t="n"/>
      <c r="Z352" s="27" t="n">
        <v>1200</v>
      </c>
      <c r="AA352" s="27" t="n">
        <v>21600000</v>
      </c>
      <c r="AB352" s="27" t="n">
        <v>105600000</v>
      </c>
      <c r="AC352" s="20" t="n"/>
      <c r="AD352" s="20">
        <f>IF($J352="","출고일 미정",IF($P352="X","작지 미발행",IF($P352="부분","작지 일부 미발행",IF(AND($R352&lt;&gt;"",$R352&gt;$M352),"소재입고 마감("&amp;TEXT($M352,"MM/DD")&amp;") 초과",IF($P352="","발행여부 확인 필요",IF($R352="","소재 입고일정 확인 필요","정상"))))))</f>
        <v/>
      </c>
      <c r="AE352" s="19">
        <f>IF($J352="","",IF(OR(LEFT($AD352,2)="작지",LEFT($AD352,4)="소재입고"),IF(LEFT($G352,1)="A","★ 납기위험(A코드)","◆ 지연주의"),IF($AD352="정상","✓ 정상","? 확인필요")))</f>
        <v/>
      </c>
      <c r="AF352" s="21" t="n"/>
      <c r="AG352" s="28" t="n"/>
    </row>
    <row r="353">
      <c r="A353" s="19" t="n">
        <v>349</v>
      </c>
      <c r="B353" s="20" t="inlineStr">
        <is>
          <t>최지희</t>
        </is>
      </c>
      <c r="C353" s="20" t="inlineStr">
        <is>
          <t>조은선</t>
        </is>
      </c>
      <c r="D353" s="20" t="inlineStr">
        <is>
          <t>QYREW27901</t>
        </is>
      </c>
      <c r="E353" s="20" t="inlineStr">
        <is>
          <t>남녀공용 폴라텍 플리스 이어플랩캡</t>
        </is>
      </c>
      <c r="F353" s="20" t="inlineStr">
        <is>
          <t>CO1/CO2</t>
        </is>
      </c>
      <c r="G353" s="19">
        <f>IF($D353="","",IF(MID($D353,5,1)="A","A(가을)",IF(MID($D353,5,1)="W","W(겨울)",IF(MID($D353,5,1)="X","X(사계절)",MID($D353,5,1)))))</f>
        <v/>
      </c>
      <c r="H353" s="19" t="n"/>
      <c r="I353" s="21" t="n"/>
      <c r="J353" s="22">
        <f>IF($I353="","",IFERROR(DATE(기준정보!$C$7,VALUE(LEFT($I353,FIND("월",$I353)-1)),1+7*(VALUE(SUBSTITUTE(MID($I353,FIND("월",$I353)+1,5),"주",""))-1)),""))</f>
        <v/>
      </c>
      <c r="K353" s="22">
        <f>IF($J353="","",IF(AND(ISNUMBER(SEARCH("미얀마",$U353)),$J353-기준정보!$C$5&gt;=기준정보!$C$8,$J353-기준정보!$C$5&lt;=기준정보!$C$9),기준정보!$C$8-1,IF(AND(ISNUMBER(SEARCH("인도네시아",$U353)),$J353-기준정보!$C$5&gt;=기준정보!$C$10,$J353-기준정보!$C$5&lt;=기준정보!$C$11),기준정보!$C$10-1,$J353-기준정보!$C$5)))</f>
        <v/>
      </c>
      <c r="L353" s="23">
        <f>IF($K353="","",IF(ISNUMBER(SEARCH("미얀마",$U353)),MAX(0,MIN($K353,기준정보!$C$9)-MAX($K353-기준정보!$C$6,기준정보!$C$8)+1),IF(ISNUMBER(SEARCH("인도네시아",$U353)),MAX(0,MIN($K353,기준정보!$C$11)-MAX($K353-기준정보!$C$6,기준정보!$C$10)+1),0)))</f>
        <v/>
      </c>
      <c r="M353" s="22">
        <f>IF($K353="","",$K353-기준정보!$C$6-$L353)</f>
        <v/>
      </c>
      <c r="N353" s="24">
        <f>IF($M353="","",$M353-기준정보!$C$4)</f>
        <v/>
      </c>
      <c r="O353" s="21" t="n"/>
      <c r="P353" s="21" t="n"/>
      <c r="Q353" s="21" t="n"/>
      <c r="R353" s="25" t="n"/>
      <c r="S353" s="20">
        <f>IF($H353="","",IF($H353="C","본사(소재팀)",IF($H353="완","생산처","확인 필요")))</f>
        <v/>
      </c>
      <c r="T353" s="20" t="inlineStr">
        <is>
          <t>PNG</t>
        </is>
      </c>
      <c r="U353" s="20" t="inlineStr">
        <is>
          <t>베트남</t>
        </is>
      </c>
      <c r="V353" s="20" t="n"/>
      <c r="W353" s="26" t="n"/>
      <c r="X353" s="26" t="n"/>
      <c r="Y353" s="22" t="n"/>
      <c r="Z353" s="27" t="n">
        <v>750</v>
      </c>
      <c r="AA353" s="27" t="n">
        <v>8250000</v>
      </c>
      <c r="AB353" s="27" t="n">
        <v>48750000</v>
      </c>
      <c r="AC353" s="20" t="n"/>
      <c r="AD353" s="20">
        <f>IF($J353="","출고일 미정",IF($P353="X","작지 미발행",IF($P353="부분","작지 일부 미발행",IF(AND($R353&lt;&gt;"",$R353&gt;$M353),"소재입고 마감("&amp;TEXT($M353,"MM/DD")&amp;") 초과",IF($P353="","발행여부 확인 필요",IF($R353="","소재 입고일정 확인 필요","정상"))))))</f>
        <v/>
      </c>
      <c r="AE353" s="19">
        <f>IF($J353="","",IF(OR(LEFT($AD353,2)="작지",LEFT($AD353,4)="소재입고"),IF(LEFT($G353,1)="A","★ 납기위험(A코드)","◆ 지연주의"),IF($AD353="정상","✓ 정상","? 확인필요")))</f>
        <v/>
      </c>
      <c r="AF353" s="21" t="n"/>
      <c r="AG353" s="28" t="n"/>
    </row>
    <row r="354">
      <c r="A354" s="19" t="n">
        <v>350</v>
      </c>
      <c r="B354" s="20" t="inlineStr">
        <is>
          <t>최지희</t>
        </is>
      </c>
      <c r="C354" s="20" t="inlineStr">
        <is>
          <t>조은선</t>
        </is>
      </c>
      <c r="D354" s="20" t="inlineStr">
        <is>
          <t>QYRFW27606</t>
        </is>
      </c>
      <c r="E354" s="20" t="inlineStr">
        <is>
          <t>여성 솟솟 버킷햇</t>
        </is>
      </c>
      <c r="F354" s="20" t="inlineStr">
        <is>
          <t>CO1/CO2</t>
        </is>
      </c>
      <c r="G354" s="19">
        <f>IF($D354="","",IF(MID($D354,5,1)="A","A(가을)",IF(MID($D354,5,1)="W","W(겨울)",IF(MID($D354,5,1)="X","X(사계절)",MID($D354,5,1)))))</f>
        <v/>
      </c>
      <c r="H354" s="19" t="n"/>
      <c r="I354" s="21" t="n"/>
      <c r="J354" s="22">
        <f>IF($I354="","",IFERROR(DATE(기준정보!$C$7,VALUE(LEFT($I354,FIND("월",$I354)-1)),1+7*(VALUE(SUBSTITUTE(MID($I354,FIND("월",$I354)+1,5),"주",""))-1)),""))</f>
        <v/>
      </c>
      <c r="K354" s="22">
        <f>IF($J354="","",IF(AND(ISNUMBER(SEARCH("미얀마",$U354)),$J354-기준정보!$C$5&gt;=기준정보!$C$8,$J354-기준정보!$C$5&lt;=기준정보!$C$9),기준정보!$C$8-1,IF(AND(ISNUMBER(SEARCH("인도네시아",$U354)),$J354-기준정보!$C$5&gt;=기준정보!$C$10,$J354-기준정보!$C$5&lt;=기준정보!$C$11),기준정보!$C$10-1,$J354-기준정보!$C$5)))</f>
        <v/>
      </c>
      <c r="L354" s="23">
        <f>IF($K354="","",IF(ISNUMBER(SEARCH("미얀마",$U354)),MAX(0,MIN($K354,기준정보!$C$9)-MAX($K354-기준정보!$C$6,기준정보!$C$8)+1),IF(ISNUMBER(SEARCH("인도네시아",$U354)),MAX(0,MIN($K354,기준정보!$C$11)-MAX($K354-기준정보!$C$6,기준정보!$C$10)+1),0)))</f>
        <v/>
      </c>
      <c r="M354" s="22">
        <f>IF($K354="","",$K354-기준정보!$C$6-$L354)</f>
        <v/>
      </c>
      <c r="N354" s="24">
        <f>IF($M354="","",$M354-기준정보!$C$4)</f>
        <v/>
      </c>
      <c r="O354" s="21" t="n"/>
      <c r="P354" s="21" t="n"/>
      <c r="Q354" s="21" t="n"/>
      <c r="R354" s="25" t="n"/>
      <c r="S354" s="20">
        <f>IF($H354="","",IF($H354="C","본사(소재팀)",IF($H354="완","생산처","확인 필요")))</f>
        <v/>
      </c>
      <c r="T354" s="20" t="inlineStr">
        <is>
          <t>PNG</t>
        </is>
      </c>
      <c r="U354" s="20" t="inlineStr">
        <is>
          <t>베트남</t>
        </is>
      </c>
      <c r="V354" s="20" t="n"/>
      <c r="W354" s="26" t="n"/>
      <c r="X354" s="26" t="n"/>
      <c r="Y354" s="22" t="n"/>
      <c r="Z354" s="27" t="n">
        <v>2000</v>
      </c>
      <c r="AA354" s="27" t="n">
        <v>32000000</v>
      </c>
      <c r="AB354" s="27" t="n">
        <v>156000000</v>
      </c>
      <c r="AC354" s="20" t="n"/>
      <c r="AD354" s="20">
        <f>IF($J354="","출고일 미정",IF($P354="X","작지 미발행",IF($P354="부분","작지 일부 미발행",IF(AND($R354&lt;&gt;"",$R354&gt;$M354),"소재입고 마감("&amp;TEXT($M354,"MM/DD")&amp;") 초과",IF($P354="","발행여부 확인 필요",IF($R354="","소재 입고일정 확인 필요","정상"))))))</f>
        <v/>
      </c>
      <c r="AE354" s="19">
        <f>IF($J354="","",IF(OR(LEFT($AD354,2)="작지",LEFT($AD354,4)="소재입고"),IF(LEFT($G354,1)="A","★ 납기위험(A코드)","◆ 지연주의"),IF($AD354="정상","✓ 정상","? 확인필요")))</f>
        <v/>
      </c>
      <c r="AF354" s="21" t="n"/>
      <c r="AG354" s="28" t="n"/>
    </row>
    <row r="355">
      <c r="A355" s="19" t="n">
        <v>351</v>
      </c>
      <c r="B355" s="20" t="inlineStr">
        <is>
          <t>최지희</t>
        </is>
      </c>
      <c r="C355" s="20" t="inlineStr">
        <is>
          <t>조은선</t>
        </is>
      </c>
      <c r="D355" s="20" t="inlineStr">
        <is>
          <t>QYRGW27401</t>
        </is>
      </c>
      <c r="E355" s="20" t="inlineStr">
        <is>
          <t>남녀공용 하이킹 컨투어 숏비니</t>
        </is>
      </c>
      <c r="F355" s="20" t="inlineStr">
        <is>
          <t>CO1/CO2/CO3</t>
        </is>
      </c>
      <c r="G355" s="19">
        <f>IF($D355="","",IF(MID($D355,5,1)="A","A(가을)",IF(MID($D355,5,1)="W","W(겨울)",IF(MID($D355,5,1)="X","X(사계절)",MID($D355,5,1)))))</f>
        <v/>
      </c>
      <c r="H355" s="19" t="n"/>
      <c r="I355" s="21" t="n"/>
      <c r="J355" s="22">
        <f>IF($I355="","",IFERROR(DATE(기준정보!$C$7,VALUE(LEFT($I355,FIND("월",$I355)-1)),1+7*(VALUE(SUBSTITUTE(MID($I355,FIND("월",$I355)+1,5),"주",""))-1)),""))</f>
        <v/>
      </c>
      <c r="K355" s="22">
        <f>IF($J355="","",IF(AND(ISNUMBER(SEARCH("미얀마",$U355)),$J355-기준정보!$C$5&gt;=기준정보!$C$8,$J355-기준정보!$C$5&lt;=기준정보!$C$9),기준정보!$C$8-1,IF(AND(ISNUMBER(SEARCH("인도네시아",$U355)),$J355-기준정보!$C$5&gt;=기준정보!$C$10,$J355-기준정보!$C$5&lt;=기준정보!$C$11),기준정보!$C$10-1,$J355-기준정보!$C$5)))</f>
        <v/>
      </c>
      <c r="L355" s="23">
        <f>IF($K355="","",IF(ISNUMBER(SEARCH("미얀마",$U355)),MAX(0,MIN($K355,기준정보!$C$9)-MAX($K355-기준정보!$C$6,기준정보!$C$8)+1),IF(ISNUMBER(SEARCH("인도네시아",$U355)),MAX(0,MIN($K355,기준정보!$C$11)-MAX($K355-기준정보!$C$6,기준정보!$C$10)+1),0)))</f>
        <v/>
      </c>
      <c r="M355" s="22">
        <f>IF($K355="","",$K355-기준정보!$C$6-$L355)</f>
        <v/>
      </c>
      <c r="N355" s="24">
        <f>IF($M355="","",$M355-기준정보!$C$4)</f>
        <v/>
      </c>
      <c r="O355" s="21" t="n"/>
      <c r="P355" s="21" t="n"/>
      <c r="Q355" s="21" t="n"/>
      <c r="R355" s="25" t="n"/>
      <c r="S355" s="20">
        <f>IF($H355="","",IF($H355="C","본사(소재팀)",IF($H355="완","생산처","확인 필요")))</f>
        <v/>
      </c>
      <c r="T355" s="20" t="inlineStr">
        <is>
          <t>짠</t>
        </is>
      </c>
      <c r="U355" s="20" t="inlineStr">
        <is>
          <t>중국</t>
        </is>
      </c>
      <c r="V355" s="20" t="n"/>
      <c r="W355" s="26" t="n"/>
      <c r="X355" s="26" t="n"/>
      <c r="Y355" s="22" t="n"/>
      <c r="Z355" s="27" t="n">
        <v>1000</v>
      </c>
      <c r="AA355" s="27" t="n">
        <v>10000000</v>
      </c>
      <c r="AB355" s="27" t="n">
        <v>50000000</v>
      </c>
      <c r="AC355" s="20" t="n"/>
      <c r="AD355" s="20">
        <f>IF($J355="","출고일 미정",IF($P355="X","작지 미발행",IF($P355="부분","작지 일부 미발행",IF(AND($R355&lt;&gt;"",$R355&gt;$M355),"소재입고 마감("&amp;TEXT($M355,"MM/DD")&amp;") 초과",IF($P355="","발행여부 확인 필요",IF($R355="","소재 입고일정 확인 필요","정상"))))))</f>
        <v/>
      </c>
      <c r="AE355" s="19">
        <f>IF($J355="","",IF(OR(LEFT($AD355,2)="작지",LEFT($AD355,4)="소재입고"),IF(LEFT($G355,1)="A","★ 납기위험(A코드)","◆ 지연주의"),IF($AD355="정상","✓ 정상","? 확인필요")))</f>
        <v/>
      </c>
      <c r="AF355" s="21" t="n"/>
      <c r="AG355" s="28" t="n"/>
    </row>
    <row r="356">
      <c r="A356" s="19" t="n">
        <v>352</v>
      </c>
      <c r="B356" s="20" t="inlineStr">
        <is>
          <t>최지희</t>
        </is>
      </c>
      <c r="C356" s="20" t="inlineStr">
        <is>
          <t>조은선</t>
        </is>
      </c>
      <c r="D356" s="20" t="inlineStr">
        <is>
          <t>QYRGW27601</t>
        </is>
      </c>
      <c r="E356" s="20" t="inlineStr">
        <is>
          <t>남녀공용 이지 비니</t>
        </is>
      </c>
      <c r="F356" s="20" t="inlineStr">
        <is>
          <t>CO1/CO2/CO3/CO4/CO5</t>
        </is>
      </c>
      <c r="G356" s="19">
        <f>IF($D356="","",IF(MID($D356,5,1)="A","A(가을)",IF(MID($D356,5,1)="W","W(겨울)",IF(MID($D356,5,1)="X","X(사계절)",MID($D356,5,1)))))</f>
        <v/>
      </c>
      <c r="H356" s="19" t="n"/>
      <c r="I356" s="21" t="n"/>
      <c r="J356" s="22">
        <f>IF($I356="","",IFERROR(DATE(기준정보!$C$7,VALUE(LEFT($I356,FIND("월",$I356)-1)),1+7*(VALUE(SUBSTITUTE(MID($I356,FIND("월",$I356)+1,5),"주",""))-1)),""))</f>
        <v/>
      </c>
      <c r="K356" s="22">
        <f>IF($J356="","",IF(AND(ISNUMBER(SEARCH("미얀마",$U356)),$J356-기준정보!$C$5&gt;=기준정보!$C$8,$J356-기준정보!$C$5&lt;=기준정보!$C$9),기준정보!$C$8-1,IF(AND(ISNUMBER(SEARCH("인도네시아",$U356)),$J356-기준정보!$C$5&gt;=기준정보!$C$10,$J356-기준정보!$C$5&lt;=기준정보!$C$11),기준정보!$C$10-1,$J356-기준정보!$C$5)))</f>
        <v/>
      </c>
      <c r="L356" s="23">
        <f>IF($K356="","",IF(ISNUMBER(SEARCH("미얀마",$U356)),MAX(0,MIN($K356,기준정보!$C$9)-MAX($K356-기준정보!$C$6,기준정보!$C$8)+1),IF(ISNUMBER(SEARCH("인도네시아",$U356)),MAX(0,MIN($K356,기준정보!$C$11)-MAX($K356-기준정보!$C$6,기준정보!$C$10)+1),0)))</f>
        <v/>
      </c>
      <c r="M356" s="22">
        <f>IF($K356="","",$K356-기준정보!$C$6-$L356)</f>
        <v/>
      </c>
      <c r="N356" s="24">
        <f>IF($M356="","",$M356-기준정보!$C$4)</f>
        <v/>
      </c>
      <c r="O356" s="21" t="n"/>
      <c r="P356" s="21" t="n"/>
      <c r="Q356" s="21" t="n"/>
      <c r="R356" s="25" t="n"/>
      <c r="S356" s="20">
        <f>IF($H356="","",IF($H356="C","본사(소재팀)",IF($H356="완","생산처","확인 필요")))</f>
        <v/>
      </c>
      <c r="T356" s="20" t="inlineStr">
        <is>
          <t>짠</t>
        </is>
      </c>
      <c r="U356" s="20" t="inlineStr">
        <is>
          <t>국내</t>
        </is>
      </c>
      <c r="V356" s="20" t="n"/>
      <c r="W356" s="26" t="n"/>
      <c r="X356" s="26" t="n"/>
      <c r="Y356" s="22" t="n"/>
      <c r="Z356" s="27" t="n">
        <v>8000</v>
      </c>
      <c r="AA356" s="27" t="n">
        <v>72000000</v>
      </c>
      <c r="AB356" s="27" t="n">
        <v>400000000</v>
      </c>
      <c r="AC356" s="20" t="n"/>
      <c r="AD356" s="20">
        <f>IF($J356="","출고일 미정",IF($P356="X","작지 미발행",IF($P356="부분","작지 일부 미발행",IF(AND($R356&lt;&gt;"",$R356&gt;$M356),"소재입고 마감("&amp;TEXT($M356,"MM/DD")&amp;") 초과",IF($P356="","발행여부 확인 필요",IF($R356="","소재 입고일정 확인 필요","정상"))))))</f>
        <v/>
      </c>
      <c r="AE356" s="19">
        <f>IF($J356="","",IF(OR(LEFT($AD356,2)="작지",LEFT($AD356,4)="소재입고"),IF(LEFT($G356,1)="A","★ 납기위험(A코드)","◆ 지연주의"),IF($AD356="정상","✓ 정상","? 확인필요")))</f>
        <v/>
      </c>
      <c r="AF356" s="21" t="n"/>
      <c r="AG356" s="28" t="n"/>
    </row>
    <row r="357">
      <c r="A357" s="19" t="n">
        <v>353</v>
      </c>
      <c r="B357" s="20" t="inlineStr">
        <is>
          <t>이재헌</t>
        </is>
      </c>
      <c r="C357" s="20" t="inlineStr">
        <is>
          <t>정은진</t>
        </is>
      </c>
      <c r="D357" s="20" t="inlineStr">
        <is>
          <t>TLJDW27503</t>
        </is>
      </c>
      <c r="E357" s="20" t="inlineStr">
        <is>
          <t>남성 튜브 스탠드넥 경량 다운 재킷</t>
        </is>
      </c>
      <c r="F357" s="20" t="inlineStr">
        <is>
          <t>CTP/DNA</t>
        </is>
      </c>
      <c r="G357" s="19">
        <f>IF($D357="","",IF(MID($D357,5,1)="A","A(가을)",IF(MID($D357,5,1)="W","W(겨울)",IF(MID($D357,5,1)="X","X(사계절)",MID($D357,5,1)))))</f>
        <v/>
      </c>
      <c r="H357" s="19" t="n"/>
      <c r="I357" s="21" t="n"/>
      <c r="J357" s="22">
        <f>IF($I357="","",IFERROR(DATE(기준정보!$C$7,VALUE(LEFT($I357,FIND("월",$I357)-1)),1+7*(VALUE(SUBSTITUTE(MID($I357,FIND("월",$I357)+1,5),"주",""))-1)),""))</f>
        <v/>
      </c>
      <c r="K357" s="22">
        <f>IF($J357="","",IF(AND(ISNUMBER(SEARCH("미얀마",$U357)),$J357-기준정보!$C$5&gt;=기준정보!$C$8,$J357-기준정보!$C$5&lt;=기준정보!$C$9),기준정보!$C$8-1,IF(AND(ISNUMBER(SEARCH("인도네시아",$U357)),$J357-기준정보!$C$5&gt;=기준정보!$C$10,$J357-기준정보!$C$5&lt;=기준정보!$C$11),기준정보!$C$10-1,$J357-기준정보!$C$5)))</f>
        <v/>
      </c>
      <c r="L357" s="23">
        <f>IF($K357="","",IF(ISNUMBER(SEARCH("미얀마",$U357)),MAX(0,MIN($K357,기준정보!$C$9)-MAX($K357-기준정보!$C$6,기준정보!$C$8)+1),IF(ISNUMBER(SEARCH("인도네시아",$U357)),MAX(0,MIN($K357,기준정보!$C$11)-MAX($K357-기준정보!$C$6,기준정보!$C$10)+1),0)))</f>
        <v/>
      </c>
      <c r="M357" s="22">
        <f>IF($K357="","",$K357-기준정보!$C$6-$L357)</f>
        <v/>
      </c>
      <c r="N357" s="24">
        <f>IF($M357="","",$M357-기준정보!$C$4)</f>
        <v/>
      </c>
      <c r="O357" s="21" t="n"/>
      <c r="P357" s="21" t="n"/>
      <c r="Q357" s="21" t="n"/>
      <c r="R357" s="25" t="n"/>
      <c r="S357" s="20">
        <f>IF($H357="","",IF($H357="C","본사(소재팀)",IF($H357="완","생산처","확인 필요")))</f>
        <v/>
      </c>
      <c r="T357" s="20" t="inlineStr">
        <is>
          <t>포마트</t>
        </is>
      </c>
      <c r="U357" s="20" t="inlineStr">
        <is>
          <t>베트남</t>
        </is>
      </c>
      <c r="V357" s="20" t="n"/>
      <c r="W357" s="26" t="n"/>
      <c r="X357" s="26" t="n"/>
      <c r="Y357" s="22" t="n"/>
      <c r="Z357" s="27" t="n">
        <v>6000</v>
      </c>
      <c r="AA357" s="27" t="n">
        <v>360000000</v>
      </c>
      <c r="AB357" s="27" t="n">
        <v>1920000000</v>
      </c>
      <c r="AC357" s="20" t="n"/>
      <c r="AD357" s="20">
        <f>IF($J357="","출고일 미정",IF($P357="X","작지 미발행",IF($P357="부분","작지 일부 미발행",IF(AND($R357&lt;&gt;"",$R357&gt;$M357),"소재입고 마감("&amp;TEXT($M357,"MM/DD")&amp;") 초과",IF($P357="","발행여부 확인 필요",IF($R357="","소재 입고일정 확인 필요","정상"))))))</f>
        <v/>
      </c>
      <c r="AE357" s="19">
        <f>IF($J357="","",IF(OR(LEFT($AD357,2)="작지",LEFT($AD357,4)="소재입고"),IF(LEFT($G357,1)="A","★ 납기위험(A코드)","◆ 지연주의"),IF($AD357="정상","✓ 정상","? 확인필요")))</f>
        <v/>
      </c>
      <c r="AF357" s="21" t="n"/>
      <c r="AG357" s="28" t="n"/>
    </row>
    <row r="358">
      <c r="A358" s="19" t="n">
        <v>354</v>
      </c>
      <c r="B358" s="20" t="inlineStr">
        <is>
          <t>이재헌</t>
        </is>
      </c>
      <c r="C358" s="20" t="inlineStr">
        <is>
          <t>정은진</t>
        </is>
      </c>
      <c r="D358" s="20" t="inlineStr">
        <is>
          <t>TLJDW27511</t>
        </is>
      </c>
      <c r="E358" s="20" t="inlineStr">
        <is>
          <t>남성 발키리 스탠드넥 경량 다운 재킷</t>
        </is>
      </c>
      <c r="F358" s="20" t="inlineStr">
        <is>
          <t>DGR/DOE/DEB</t>
        </is>
      </c>
      <c r="G358" s="19">
        <f>IF($D358="","",IF(MID($D358,5,1)="A","A(가을)",IF(MID($D358,5,1)="W","W(겨울)",IF(MID($D358,5,1)="X","X(사계절)",MID($D358,5,1)))))</f>
        <v/>
      </c>
      <c r="H358" s="19" t="n"/>
      <c r="I358" s="21" t="n"/>
      <c r="J358" s="22">
        <f>IF($I358="","",IFERROR(DATE(기준정보!$C$7,VALUE(LEFT($I358,FIND("월",$I358)-1)),1+7*(VALUE(SUBSTITUTE(MID($I358,FIND("월",$I358)+1,5),"주",""))-1)),""))</f>
        <v/>
      </c>
      <c r="K358" s="22">
        <f>IF($J358="","",IF(AND(ISNUMBER(SEARCH("미얀마",$U358)),$J358-기준정보!$C$5&gt;=기준정보!$C$8,$J358-기준정보!$C$5&lt;=기준정보!$C$9),기준정보!$C$8-1,IF(AND(ISNUMBER(SEARCH("인도네시아",$U358)),$J358-기준정보!$C$5&gt;=기준정보!$C$10,$J358-기준정보!$C$5&lt;=기준정보!$C$11),기준정보!$C$10-1,$J358-기준정보!$C$5)))</f>
        <v/>
      </c>
      <c r="L358" s="23">
        <f>IF($K358="","",IF(ISNUMBER(SEARCH("미얀마",$U358)),MAX(0,MIN($K358,기준정보!$C$9)-MAX($K358-기준정보!$C$6,기준정보!$C$8)+1),IF(ISNUMBER(SEARCH("인도네시아",$U358)),MAX(0,MIN($K358,기준정보!$C$11)-MAX($K358-기준정보!$C$6,기준정보!$C$10)+1),0)))</f>
        <v/>
      </c>
      <c r="M358" s="22">
        <f>IF($K358="","",$K358-기준정보!$C$6-$L358)</f>
        <v/>
      </c>
      <c r="N358" s="24">
        <f>IF($M358="","",$M358-기준정보!$C$4)</f>
        <v/>
      </c>
      <c r="O358" s="21" t="n"/>
      <c r="P358" s="21" t="n"/>
      <c r="Q358" s="21" t="n"/>
      <c r="R358" s="25" t="n"/>
      <c r="S358" s="20">
        <f>IF($H358="","",IF($H358="C","본사(소재팀)",IF($H358="완","생산처","확인 필요")))</f>
        <v/>
      </c>
      <c r="T358" s="20" t="inlineStr">
        <is>
          <t>원전</t>
        </is>
      </c>
      <c r="U358" s="20" t="inlineStr">
        <is>
          <t>인도네시아</t>
        </is>
      </c>
      <c r="V358" s="20" t="n"/>
      <c r="W358" s="26" t="n"/>
      <c r="X358" s="26" t="n"/>
      <c r="Y358" s="22" t="n"/>
      <c r="Z358" s="27" t="n">
        <v>9000</v>
      </c>
      <c r="AA358" s="27" t="n">
        <v>630000000</v>
      </c>
      <c r="AB358" s="27" t="n">
        <v>3150000000</v>
      </c>
      <c r="AC358" s="20" t="n"/>
      <c r="AD358" s="20">
        <f>IF($J358="","출고일 미정",IF($P358="X","작지 미발행",IF($P358="부분","작지 일부 미발행",IF(AND($R358&lt;&gt;"",$R358&gt;$M358),"소재입고 마감("&amp;TEXT($M358,"MM/DD")&amp;") 초과",IF($P358="","발행여부 확인 필요",IF($R358="","소재 입고일정 확인 필요","정상"))))))</f>
        <v/>
      </c>
      <c r="AE358" s="19">
        <f>IF($J358="","",IF(OR(LEFT($AD358,2)="작지",LEFT($AD358,4)="소재입고"),IF(LEFT($G358,1)="A","★ 납기위험(A코드)","◆ 지연주의"),IF($AD358="정상","✓ 정상","? 확인필요")))</f>
        <v/>
      </c>
      <c r="AF358" s="21" t="n"/>
      <c r="AG358" s="28" t="n"/>
    </row>
    <row r="359">
      <c r="A359" s="19" t="n">
        <v>355</v>
      </c>
      <c r="B359" s="20" t="inlineStr">
        <is>
          <t>이재헌</t>
        </is>
      </c>
      <c r="C359" s="20" t="inlineStr">
        <is>
          <t>정은진</t>
        </is>
      </c>
      <c r="D359" s="20" t="inlineStr">
        <is>
          <t>TLJDW27513</t>
        </is>
      </c>
      <c r="E359" s="20" t="inlineStr">
        <is>
          <t>남성 디테쳐블 후드 경량 다운 재킷</t>
        </is>
      </c>
      <c r="F359" s="20" t="inlineStr">
        <is>
          <t>CTP/DEB</t>
        </is>
      </c>
      <c r="G359" s="19">
        <f>IF($D359="","",IF(MID($D359,5,1)="A","A(가을)",IF(MID($D359,5,1)="W","W(겨울)",IF(MID($D359,5,1)="X","X(사계절)",MID($D359,5,1)))))</f>
        <v/>
      </c>
      <c r="H359" s="19" t="n"/>
      <c r="I359" s="21" t="n"/>
      <c r="J359" s="22">
        <f>IF($I359="","",IFERROR(DATE(기준정보!$C$7,VALUE(LEFT($I359,FIND("월",$I359)-1)),1+7*(VALUE(SUBSTITUTE(MID($I359,FIND("월",$I359)+1,5),"주",""))-1)),""))</f>
        <v/>
      </c>
      <c r="K359" s="22">
        <f>IF($J359="","",IF(AND(ISNUMBER(SEARCH("미얀마",$U359)),$J359-기준정보!$C$5&gt;=기준정보!$C$8,$J359-기준정보!$C$5&lt;=기준정보!$C$9),기준정보!$C$8-1,IF(AND(ISNUMBER(SEARCH("인도네시아",$U359)),$J359-기준정보!$C$5&gt;=기준정보!$C$10,$J359-기준정보!$C$5&lt;=기준정보!$C$11),기준정보!$C$10-1,$J359-기준정보!$C$5)))</f>
        <v/>
      </c>
      <c r="L359" s="23">
        <f>IF($K359="","",IF(ISNUMBER(SEARCH("미얀마",$U359)),MAX(0,MIN($K359,기준정보!$C$9)-MAX($K359-기준정보!$C$6,기준정보!$C$8)+1),IF(ISNUMBER(SEARCH("인도네시아",$U359)),MAX(0,MIN($K359,기준정보!$C$11)-MAX($K359-기준정보!$C$6,기준정보!$C$10)+1),0)))</f>
        <v/>
      </c>
      <c r="M359" s="22">
        <f>IF($K359="","",$K359-기준정보!$C$6-$L359)</f>
        <v/>
      </c>
      <c r="N359" s="24">
        <f>IF($M359="","",$M359-기준정보!$C$4)</f>
        <v/>
      </c>
      <c r="O359" s="21" t="n"/>
      <c r="P359" s="21" t="n"/>
      <c r="Q359" s="21" t="n"/>
      <c r="R359" s="25" t="n"/>
      <c r="S359" s="20">
        <f>IF($H359="","",IF($H359="C","본사(소재팀)",IF($H359="완","생산처","확인 필요")))</f>
        <v/>
      </c>
      <c r="T359" s="20" t="inlineStr">
        <is>
          <t>원전</t>
        </is>
      </c>
      <c r="U359" s="20" t="inlineStr">
        <is>
          <t>인도네시아</t>
        </is>
      </c>
      <c r="V359" s="20" t="n"/>
      <c r="W359" s="26" t="n"/>
      <c r="X359" s="26" t="n"/>
      <c r="Y359" s="22" t="n"/>
      <c r="Z359" s="27" t="n">
        <v>3000</v>
      </c>
      <c r="AA359" s="27" t="n">
        <v>225000000</v>
      </c>
      <c r="AB359" s="27" t="n">
        <v>1170000000</v>
      </c>
      <c r="AC359" s="20" t="n"/>
      <c r="AD359" s="20">
        <f>IF($J359="","출고일 미정",IF($P359="X","작지 미발행",IF($P359="부분","작지 일부 미발행",IF(AND($R359&lt;&gt;"",$R359&gt;$M359),"소재입고 마감("&amp;TEXT($M359,"MM/DD")&amp;") 초과",IF($P359="","발행여부 확인 필요",IF($R359="","소재 입고일정 확인 필요","정상"))))))</f>
        <v/>
      </c>
      <c r="AE359" s="19">
        <f>IF($J359="","",IF(OR(LEFT($AD359,2)="작지",LEFT($AD359,4)="소재입고"),IF(LEFT($G359,1)="A","★ 납기위험(A코드)","◆ 지연주의"),IF($AD359="정상","✓ 정상","? 확인필요")))</f>
        <v/>
      </c>
      <c r="AF359" s="21" t="n"/>
      <c r="AG359" s="28" t="n"/>
    </row>
    <row r="360">
      <c r="A360" s="19" t="n">
        <v>356</v>
      </c>
      <c r="B360" s="20" t="inlineStr">
        <is>
          <t>이재헌</t>
        </is>
      </c>
      <c r="C360" s="20" t="inlineStr">
        <is>
          <t>정은진</t>
        </is>
      </c>
      <c r="D360" s="20" t="inlineStr">
        <is>
          <t>TLJDW27521</t>
        </is>
      </c>
      <c r="E360" s="20" t="inlineStr">
        <is>
          <t>남성 에그라이트 스탠드넥 경량 다운 재킷</t>
        </is>
      </c>
      <c r="F360" s="20" t="inlineStr">
        <is>
          <t>ASB/DMS/DNV</t>
        </is>
      </c>
      <c r="G360" s="19">
        <f>IF($D360="","",IF(MID($D360,5,1)="A","A(가을)",IF(MID($D360,5,1)="W","W(겨울)",IF(MID($D360,5,1)="X","X(사계절)",MID($D360,5,1)))))</f>
        <v/>
      </c>
      <c r="H360" s="19" t="n"/>
      <c r="I360" s="21" t="n"/>
      <c r="J360" s="22">
        <f>IF($I360="","",IFERROR(DATE(기준정보!$C$7,VALUE(LEFT($I360,FIND("월",$I360)-1)),1+7*(VALUE(SUBSTITUTE(MID($I360,FIND("월",$I360)+1,5),"주",""))-1)),""))</f>
        <v/>
      </c>
      <c r="K360" s="22">
        <f>IF($J360="","",IF(AND(ISNUMBER(SEARCH("미얀마",$U360)),$J360-기준정보!$C$5&gt;=기준정보!$C$8,$J360-기준정보!$C$5&lt;=기준정보!$C$9),기준정보!$C$8-1,IF(AND(ISNUMBER(SEARCH("인도네시아",$U360)),$J360-기준정보!$C$5&gt;=기준정보!$C$10,$J360-기준정보!$C$5&lt;=기준정보!$C$11),기준정보!$C$10-1,$J360-기준정보!$C$5)))</f>
        <v/>
      </c>
      <c r="L360" s="23">
        <f>IF($K360="","",IF(ISNUMBER(SEARCH("미얀마",$U360)),MAX(0,MIN($K360,기준정보!$C$9)-MAX($K360-기준정보!$C$6,기준정보!$C$8)+1),IF(ISNUMBER(SEARCH("인도네시아",$U360)),MAX(0,MIN($K360,기준정보!$C$11)-MAX($K360-기준정보!$C$6,기준정보!$C$10)+1),0)))</f>
        <v/>
      </c>
      <c r="M360" s="22">
        <f>IF($K360="","",$K360-기준정보!$C$6-$L360)</f>
        <v/>
      </c>
      <c r="N360" s="24">
        <f>IF($M360="","",$M360-기준정보!$C$4)</f>
        <v/>
      </c>
      <c r="O360" s="21" t="n"/>
      <c r="P360" s="21" t="n"/>
      <c r="Q360" s="21" t="n"/>
      <c r="R360" s="25" t="n"/>
      <c r="S360" s="20">
        <f>IF($H360="","",IF($H360="C","본사(소재팀)",IF($H360="완","생산처","확인 필요")))</f>
        <v/>
      </c>
      <c r="T360" s="20" t="inlineStr">
        <is>
          <t>포마트</t>
        </is>
      </c>
      <c r="U360" s="20" t="inlineStr">
        <is>
          <t>베트남</t>
        </is>
      </c>
      <c r="V360" s="20" t="n"/>
      <c r="W360" s="26" t="n"/>
      <c r="X360" s="26" t="n"/>
      <c r="Y360" s="22" t="n"/>
      <c r="Z360" s="27" t="n">
        <v>8000</v>
      </c>
      <c r="AA360" s="27" t="n">
        <v>576000000</v>
      </c>
      <c r="AB360" s="27" t="n">
        <v>3120000000</v>
      </c>
      <c r="AC360" s="20" t="n"/>
      <c r="AD360" s="20">
        <f>IF($J360="","출고일 미정",IF($P360="X","작지 미발행",IF($P360="부분","작지 일부 미발행",IF(AND($R360&lt;&gt;"",$R360&gt;$M360),"소재입고 마감("&amp;TEXT($M360,"MM/DD")&amp;") 초과",IF($P360="","발행여부 확인 필요",IF($R360="","소재 입고일정 확인 필요","정상"))))))</f>
        <v/>
      </c>
      <c r="AE360" s="19">
        <f>IF($J360="","",IF(OR(LEFT($AD360,2)="작지",LEFT($AD360,4)="소재입고"),IF(LEFT($G360,1)="A","★ 납기위험(A코드)","◆ 지연주의"),IF($AD360="정상","✓ 정상","? 확인필요")))</f>
        <v/>
      </c>
      <c r="AF360" s="21" t="n"/>
      <c r="AG360" s="28" t="n"/>
    </row>
    <row r="361">
      <c r="A361" s="19" t="n">
        <v>357</v>
      </c>
      <c r="B361" s="20" t="inlineStr">
        <is>
          <t>이재헌</t>
        </is>
      </c>
      <c r="C361" s="20" t="inlineStr">
        <is>
          <t>정은진</t>
        </is>
      </c>
      <c r="D361" s="20" t="inlineStr">
        <is>
          <t>TLJDW27523</t>
        </is>
      </c>
      <c r="E361" s="20" t="inlineStr">
        <is>
          <t>남성 에그라이트 후드형 경량 다운 재킷</t>
        </is>
      </c>
      <c r="F361" s="20" t="inlineStr">
        <is>
          <t>DTE/CHR</t>
        </is>
      </c>
      <c r="G361" s="19">
        <f>IF($D361="","",IF(MID($D361,5,1)="A","A(가을)",IF(MID($D361,5,1)="W","W(겨울)",IF(MID($D361,5,1)="X","X(사계절)",MID($D361,5,1)))))</f>
        <v/>
      </c>
      <c r="H361" s="19" t="n"/>
      <c r="I361" s="21" t="n"/>
      <c r="J361" s="22">
        <f>IF($I361="","",IFERROR(DATE(기준정보!$C$7,VALUE(LEFT($I361,FIND("월",$I361)-1)),1+7*(VALUE(SUBSTITUTE(MID($I361,FIND("월",$I361)+1,5),"주",""))-1)),""))</f>
        <v/>
      </c>
      <c r="K361" s="22">
        <f>IF($J361="","",IF(AND(ISNUMBER(SEARCH("미얀마",$U361)),$J361-기준정보!$C$5&gt;=기준정보!$C$8,$J361-기준정보!$C$5&lt;=기준정보!$C$9),기준정보!$C$8-1,IF(AND(ISNUMBER(SEARCH("인도네시아",$U361)),$J361-기준정보!$C$5&gt;=기준정보!$C$10,$J361-기준정보!$C$5&lt;=기준정보!$C$11),기준정보!$C$10-1,$J361-기준정보!$C$5)))</f>
        <v/>
      </c>
      <c r="L361" s="23">
        <f>IF($K361="","",IF(ISNUMBER(SEARCH("미얀마",$U361)),MAX(0,MIN($K361,기준정보!$C$9)-MAX($K361-기준정보!$C$6,기준정보!$C$8)+1),IF(ISNUMBER(SEARCH("인도네시아",$U361)),MAX(0,MIN($K361,기준정보!$C$11)-MAX($K361-기준정보!$C$6,기준정보!$C$10)+1),0)))</f>
        <v/>
      </c>
      <c r="M361" s="22">
        <f>IF($K361="","",$K361-기준정보!$C$6-$L361)</f>
        <v/>
      </c>
      <c r="N361" s="24">
        <f>IF($M361="","",$M361-기준정보!$C$4)</f>
        <v/>
      </c>
      <c r="O361" s="21" t="n"/>
      <c r="P361" s="21" t="n"/>
      <c r="Q361" s="21" t="n"/>
      <c r="R361" s="25" t="n"/>
      <c r="S361" s="20">
        <f>IF($H361="","",IF($H361="C","본사(소재팀)",IF($H361="완","생산처","확인 필요")))</f>
        <v/>
      </c>
      <c r="T361" s="20" t="inlineStr">
        <is>
          <t>포마트</t>
        </is>
      </c>
      <c r="U361" s="20" t="inlineStr">
        <is>
          <t>베트남</t>
        </is>
      </c>
      <c r="V361" s="20" t="n"/>
      <c r="W361" s="26" t="n"/>
      <c r="X361" s="26" t="n"/>
      <c r="Y361" s="22" t="n"/>
      <c r="Z361" s="27" t="n">
        <v>4000</v>
      </c>
      <c r="AA361" s="27" t="n">
        <v>324000000</v>
      </c>
      <c r="AB361" s="27" t="n">
        <v>1680000000</v>
      </c>
      <c r="AC361" s="20" t="n"/>
      <c r="AD361" s="20">
        <f>IF($J361="","출고일 미정",IF($P361="X","작지 미발행",IF($P361="부분","작지 일부 미발행",IF(AND($R361&lt;&gt;"",$R361&gt;$M361),"소재입고 마감("&amp;TEXT($M361,"MM/DD")&amp;") 초과",IF($P361="","발행여부 확인 필요",IF($R361="","소재 입고일정 확인 필요","정상"))))))</f>
        <v/>
      </c>
      <c r="AE361" s="19">
        <f>IF($J361="","",IF(OR(LEFT($AD361,2)="작지",LEFT($AD361,4)="소재입고"),IF(LEFT($G361,1)="A","★ 납기위험(A코드)","◆ 지연주의"),IF($AD361="정상","✓ 정상","? 확인필요")))</f>
        <v/>
      </c>
      <c r="AF361" s="21" t="n"/>
      <c r="AG361" s="28" t="n"/>
    </row>
    <row r="362">
      <c r="A362" s="19" t="n">
        <v>358</v>
      </c>
      <c r="B362" s="20" t="inlineStr">
        <is>
          <t>이재헌</t>
        </is>
      </c>
      <c r="C362" s="20" t="inlineStr">
        <is>
          <t>정은진</t>
        </is>
      </c>
      <c r="D362" s="20" t="inlineStr">
        <is>
          <t>TLJDW27541</t>
        </is>
      </c>
      <c r="E362" s="20" t="inlineStr">
        <is>
          <t>남성 UL 후드 미드 다운 재킷</t>
        </is>
      </c>
      <c r="F362" s="20" t="inlineStr">
        <is>
          <t>PEG/DEB</t>
        </is>
      </c>
      <c r="G362" s="19">
        <f>IF($D362="","",IF(MID($D362,5,1)="A","A(가을)",IF(MID($D362,5,1)="W","W(겨울)",IF(MID($D362,5,1)="X","X(사계절)",MID($D362,5,1)))))</f>
        <v/>
      </c>
      <c r="H362" s="19" t="n"/>
      <c r="I362" s="21" t="n"/>
      <c r="J362" s="22">
        <f>IF($I362="","",IFERROR(DATE(기준정보!$C$7,VALUE(LEFT($I362,FIND("월",$I362)-1)),1+7*(VALUE(SUBSTITUTE(MID($I362,FIND("월",$I362)+1,5),"주",""))-1)),""))</f>
        <v/>
      </c>
      <c r="K362" s="22">
        <f>IF($J362="","",IF(AND(ISNUMBER(SEARCH("미얀마",$U362)),$J362-기준정보!$C$5&gt;=기준정보!$C$8,$J362-기준정보!$C$5&lt;=기준정보!$C$9),기준정보!$C$8-1,IF(AND(ISNUMBER(SEARCH("인도네시아",$U362)),$J362-기준정보!$C$5&gt;=기준정보!$C$10,$J362-기준정보!$C$5&lt;=기준정보!$C$11),기준정보!$C$10-1,$J362-기준정보!$C$5)))</f>
        <v/>
      </c>
      <c r="L362" s="23">
        <f>IF($K362="","",IF(ISNUMBER(SEARCH("미얀마",$U362)),MAX(0,MIN($K362,기준정보!$C$9)-MAX($K362-기준정보!$C$6,기준정보!$C$8)+1),IF(ISNUMBER(SEARCH("인도네시아",$U362)),MAX(0,MIN($K362,기준정보!$C$11)-MAX($K362-기준정보!$C$6,기준정보!$C$10)+1),0)))</f>
        <v/>
      </c>
      <c r="M362" s="22">
        <f>IF($K362="","",$K362-기준정보!$C$6-$L362)</f>
        <v/>
      </c>
      <c r="N362" s="24">
        <f>IF($M362="","",$M362-기준정보!$C$4)</f>
        <v/>
      </c>
      <c r="O362" s="21" t="n"/>
      <c r="P362" s="21" t="n"/>
      <c r="Q362" s="21" t="n"/>
      <c r="R362" s="25" t="n"/>
      <c r="S362" s="20">
        <f>IF($H362="","",IF($H362="C","본사(소재팀)",IF($H362="완","생산처","확인 필요")))</f>
        <v/>
      </c>
      <c r="T362" s="20" t="inlineStr">
        <is>
          <t>호전</t>
        </is>
      </c>
      <c r="U362" s="20" t="inlineStr">
        <is>
          <t>인도네시아</t>
        </is>
      </c>
      <c r="V362" s="20" t="n"/>
      <c r="W362" s="26" t="n"/>
      <c r="X362" s="26" t="n"/>
      <c r="Y362" s="22" t="n"/>
      <c r="Z362" s="27" t="n">
        <v>6000</v>
      </c>
      <c r="AA362" s="27" t="n">
        <v>450000000</v>
      </c>
      <c r="AB362" s="27" t="n">
        <v>2700000000</v>
      </c>
      <c r="AC362" s="20" t="n"/>
      <c r="AD362" s="20">
        <f>IF($J362="","출고일 미정",IF($P362="X","작지 미발행",IF($P362="부분","작지 일부 미발행",IF(AND($R362&lt;&gt;"",$R362&gt;$M362),"소재입고 마감("&amp;TEXT($M362,"MM/DD")&amp;") 초과",IF($P362="","발행여부 확인 필요",IF($R362="","소재 입고일정 확인 필요","정상"))))))</f>
        <v/>
      </c>
      <c r="AE362" s="19">
        <f>IF($J362="","",IF(OR(LEFT($AD362,2)="작지",LEFT($AD362,4)="소재입고"),IF(LEFT($G362,1)="A","★ 납기위험(A코드)","◆ 지연주의"),IF($AD362="정상","✓ 정상","? 확인필요")))</f>
        <v/>
      </c>
      <c r="AF362" s="21" t="n"/>
      <c r="AG362" s="28" t="n"/>
    </row>
    <row r="363">
      <c r="A363" s="19" t="n">
        <v>359</v>
      </c>
      <c r="B363" s="20" t="inlineStr">
        <is>
          <t>이재헌</t>
        </is>
      </c>
      <c r="C363" s="20" t="inlineStr">
        <is>
          <t>정은진</t>
        </is>
      </c>
      <c r="D363" s="20" t="inlineStr">
        <is>
          <t>TLJDW27561</t>
        </is>
      </c>
      <c r="E363" s="20" t="inlineStr">
        <is>
          <t>남성 고어텍스 윈드스토퍼 디테쳐블 후드 미드 다운 재킷</t>
        </is>
      </c>
      <c r="F363" s="20" t="inlineStr">
        <is>
          <t>DTL/DEB</t>
        </is>
      </c>
      <c r="G363" s="19">
        <f>IF($D363="","",IF(MID($D363,5,1)="A","A(가을)",IF(MID($D363,5,1)="W","W(겨울)",IF(MID($D363,5,1)="X","X(사계절)",MID($D363,5,1)))))</f>
        <v/>
      </c>
      <c r="H363" s="19" t="n"/>
      <c r="I363" s="21" t="n"/>
      <c r="J363" s="22">
        <f>IF($I363="","",IFERROR(DATE(기준정보!$C$7,VALUE(LEFT($I363,FIND("월",$I363)-1)),1+7*(VALUE(SUBSTITUTE(MID($I363,FIND("월",$I363)+1,5),"주",""))-1)),""))</f>
        <v/>
      </c>
      <c r="K363" s="22">
        <f>IF($J363="","",IF(AND(ISNUMBER(SEARCH("미얀마",$U363)),$J363-기준정보!$C$5&gt;=기준정보!$C$8,$J363-기준정보!$C$5&lt;=기준정보!$C$9),기준정보!$C$8-1,IF(AND(ISNUMBER(SEARCH("인도네시아",$U363)),$J363-기준정보!$C$5&gt;=기준정보!$C$10,$J363-기준정보!$C$5&lt;=기준정보!$C$11),기준정보!$C$10-1,$J363-기준정보!$C$5)))</f>
        <v/>
      </c>
      <c r="L363" s="23">
        <f>IF($K363="","",IF(ISNUMBER(SEARCH("미얀마",$U363)),MAX(0,MIN($K363,기준정보!$C$9)-MAX($K363-기준정보!$C$6,기준정보!$C$8)+1),IF(ISNUMBER(SEARCH("인도네시아",$U363)),MAX(0,MIN($K363,기준정보!$C$11)-MAX($K363-기준정보!$C$6,기준정보!$C$10)+1),0)))</f>
        <v/>
      </c>
      <c r="M363" s="22">
        <f>IF($K363="","",$K363-기준정보!$C$6-$L363)</f>
        <v/>
      </c>
      <c r="N363" s="24">
        <f>IF($M363="","",$M363-기준정보!$C$4)</f>
        <v/>
      </c>
      <c r="O363" s="21" t="n"/>
      <c r="P363" s="21" t="n"/>
      <c r="Q363" s="21" t="n"/>
      <c r="R363" s="25" t="n"/>
      <c r="S363" s="20">
        <f>IF($H363="","",IF($H363="C","본사(소재팀)",IF($H363="완","생산처","확인 필요")))</f>
        <v/>
      </c>
      <c r="T363" s="20" t="inlineStr">
        <is>
          <t>기도</t>
        </is>
      </c>
      <c r="U363" s="20" t="inlineStr">
        <is>
          <t>미얀마</t>
        </is>
      </c>
      <c r="V363" s="20" t="n"/>
      <c r="W363" s="26" t="n"/>
      <c r="X363" s="26" t="n"/>
      <c r="Y363" s="22" t="n"/>
      <c r="Z363" s="27" t="n">
        <v>4500</v>
      </c>
      <c r="AA363" s="27" t="n">
        <v>517500000</v>
      </c>
      <c r="AB363" s="27" t="n">
        <v>2655000000</v>
      </c>
      <c r="AC363" s="20" t="n"/>
      <c r="AD363" s="20">
        <f>IF($J363="","출고일 미정",IF($P363="X","작지 미발행",IF($P363="부분","작지 일부 미발행",IF(AND($R363&lt;&gt;"",$R363&gt;$M363),"소재입고 마감("&amp;TEXT($M363,"MM/DD")&amp;") 초과",IF($P363="","발행여부 확인 필요",IF($R363="","소재 입고일정 확인 필요","정상"))))))</f>
        <v/>
      </c>
      <c r="AE363" s="19">
        <f>IF($J363="","",IF(OR(LEFT($AD363,2)="작지",LEFT($AD363,4)="소재입고"),IF(LEFT($G363,1)="A","★ 납기위험(A코드)","◆ 지연주의"),IF($AD363="정상","✓ 정상","? 확인필요")))</f>
        <v/>
      </c>
      <c r="AF363" s="21" t="n"/>
      <c r="AG363" s="28" t="n"/>
    </row>
    <row r="364">
      <c r="A364" s="19" t="n">
        <v>360</v>
      </c>
      <c r="B364" s="20" t="inlineStr">
        <is>
          <t>이재헌</t>
        </is>
      </c>
      <c r="C364" s="20" t="inlineStr">
        <is>
          <t>정은진</t>
        </is>
      </c>
      <c r="D364" s="20" t="inlineStr">
        <is>
          <t>TLJDW27571</t>
        </is>
      </c>
      <c r="E364" s="20" t="inlineStr">
        <is>
          <t>남성 고어텍스 2L 방수 디테쳐블 후드 미드 다운 재킷</t>
        </is>
      </c>
      <c r="F364" s="20" t="inlineStr">
        <is>
          <t>SKA/DEB</t>
        </is>
      </c>
      <c r="G364" s="19">
        <f>IF($D364="","",IF(MID($D364,5,1)="A","A(가을)",IF(MID($D364,5,1)="W","W(겨울)",IF(MID($D364,5,1)="X","X(사계절)",MID($D364,5,1)))))</f>
        <v/>
      </c>
      <c r="H364" s="19" t="n"/>
      <c r="I364" s="21" t="n"/>
      <c r="J364" s="22">
        <f>IF($I364="","",IFERROR(DATE(기준정보!$C$7,VALUE(LEFT($I364,FIND("월",$I364)-1)),1+7*(VALUE(SUBSTITUTE(MID($I364,FIND("월",$I364)+1,5),"주",""))-1)),""))</f>
        <v/>
      </c>
      <c r="K364" s="22">
        <f>IF($J364="","",IF(AND(ISNUMBER(SEARCH("미얀마",$U364)),$J364-기준정보!$C$5&gt;=기준정보!$C$8,$J364-기준정보!$C$5&lt;=기준정보!$C$9),기준정보!$C$8-1,IF(AND(ISNUMBER(SEARCH("인도네시아",$U364)),$J364-기준정보!$C$5&gt;=기준정보!$C$10,$J364-기준정보!$C$5&lt;=기준정보!$C$11),기준정보!$C$10-1,$J364-기준정보!$C$5)))</f>
        <v/>
      </c>
      <c r="L364" s="23">
        <f>IF($K364="","",IF(ISNUMBER(SEARCH("미얀마",$U364)),MAX(0,MIN($K364,기준정보!$C$9)-MAX($K364-기준정보!$C$6,기준정보!$C$8)+1),IF(ISNUMBER(SEARCH("인도네시아",$U364)),MAX(0,MIN($K364,기준정보!$C$11)-MAX($K364-기준정보!$C$6,기준정보!$C$10)+1),0)))</f>
        <v/>
      </c>
      <c r="M364" s="22">
        <f>IF($K364="","",$K364-기준정보!$C$6-$L364)</f>
        <v/>
      </c>
      <c r="N364" s="24">
        <f>IF($M364="","",$M364-기준정보!$C$4)</f>
        <v/>
      </c>
      <c r="O364" s="21" t="n"/>
      <c r="P364" s="21" t="n"/>
      <c r="Q364" s="21" t="n"/>
      <c r="R364" s="25" t="n"/>
      <c r="S364" s="20">
        <f>IF($H364="","",IF($H364="C","본사(소재팀)",IF($H364="완","생산처","확인 필요")))</f>
        <v/>
      </c>
      <c r="T364" s="20" t="inlineStr">
        <is>
          <t>기도</t>
        </is>
      </c>
      <c r="U364" s="20" t="inlineStr">
        <is>
          <t>미얀마</t>
        </is>
      </c>
      <c r="V364" s="20" t="n"/>
      <c r="W364" s="26" t="n"/>
      <c r="X364" s="26" t="n"/>
      <c r="Y364" s="22" t="n"/>
      <c r="Z364" s="27" t="n">
        <v>4000</v>
      </c>
      <c r="AA364" s="27" t="n">
        <v>640000000</v>
      </c>
      <c r="AB364" s="27" t="n">
        <v>2760000000</v>
      </c>
      <c r="AC364" s="20" t="n"/>
      <c r="AD364" s="20">
        <f>IF($J364="","출고일 미정",IF($P364="X","작지 미발행",IF($P364="부분","작지 일부 미발행",IF(AND($R364&lt;&gt;"",$R364&gt;$M364),"소재입고 마감("&amp;TEXT($M364,"MM/DD")&amp;") 초과",IF($P364="","발행여부 확인 필요",IF($R364="","소재 입고일정 확인 필요","정상"))))))</f>
        <v/>
      </c>
      <c r="AE364" s="19">
        <f>IF($J364="","",IF(OR(LEFT($AD364,2)="작지",LEFT($AD364,4)="소재입고"),IF(LEFT($G364,1)="A","★ 납기위험(A코드)","◆ 지연주의"),IF($AD364="정상","✓ 정상","? 확인필요")))</f>
        <v/>
      </c>
      <c r="AF364" s="21" t="n"/>
      <c r="AG364" s="28" t="n"/>
    </row>
    <row r="365">
      <c r="A365" s="19" t="n">
        <v>361</v>
      </c>
      <c r="B365" s="20" t="inlineStr">
        <is>
          <t>이재헌</t>
        </is>
      </c>
      <c r="C365" s="20" t="inlineStr">
        <is>
          <t>조이슬</t>
        </is>
      </c>
      <c r="D365" s="20" t="inlineStr">
        <is>
          <t>TLJJW27461</t>
        </is>
      </c>
      <c r="E365" s="20" t="inlineStr">
        <is>
          <t>남성 스탠드넥 하이브리드 다운 재킷</t>
        </is>
      </c>
      <c r="F365" s="20" t="inlineStr">
        <is>
          <t>DOE/DEB</t>
        </is>
      </c>
      <c r="G365" s="19">
        <f>IF($D365="","",IF(MID($D365,5,1)="A","A(가을)",IF(MID($D365,5,1)="W","W(겨울)",IF(MID($D365,5,1)="X","X(사계절)",MID($D365,5,1)))))</f>
        <v/>
      </c>
      <c r="H365" s="19" t="n"/>
      <c r="I365" s="21" t="n"/>
      <c r="J365" s="22">
        <f>IF($I365="","",IFERROR(DATE(기준정보!$C$7,VALUE(LEFT($I365,FIND("월",$I365)-1)),1+7*(VALUE(SUBSTITUTE(MID($I365,FIND("월",$I365)+1,5),"주",""))-1)),""))</f>
        <v/>
      </c>
      <c r="K365" s="22">
        <f>IF($J365="","",IF(AND(ISNUMBER(SEARCH("미얀마",$U365)),$J365-기준정보!$C$5&gt;=기준정보!$C$8,$J365-기준정보!$C$5&lt;=기준정보!$C$9),기준정보!$C$8-1,IF(AND(ISNUMBER(SEARCH("인도네시아",$U365)),$J365-기준정보!$C$5&gt;=기준정보!$C$10,$J365-기준정보!$C$5&lt;=기준정보!$C$11),기준정보!$C$10-1,$J365-기준정보!$C$5)))</f>
        <v/>
      </c>
      <c r="L365" s="23">
        <f>IF($K365="","",IF(ISNUMBER(SEARCH("미얀마",$U365)),MAX(0,MIN($K365,기준정보!$C$9)-MAX($K365-기준정보!$C$6,기준정보!$C$8)+1),IF(ISNUMBER(SEARCH("인도네시아",$U365)),MAX(0,MIN($K365,기준정보!$C$11)-MAX($K365-기준정보!$C$6,기준정보!$C$10)+1),0)))</f>
        <v/>
      </c>
      <c r="M365" s="22">
        <f>IF($K365="","",$K365-기준정보!$C$6-$L365)</f>
        <v/>
      </c>
      <c r="N365" s="24">
        <f>IF($M365="","",$M365-기준정보!$C$4)</f>
        <v/>
      </c>
      <c r="O365" s="21" t="n"/>
      <c r="P365" s="21" t="n"/>
      <c r="Q365" s="21" t="n"/>
      <c r="R365" s="25" t="n"/>
      <c r="S365" s="20">
        <f>IF($H365="","",IF($H365="C","본사(소재팀)",IF($H365="완","생산처","확인 필요")))</f>
        <v/>
      </c>
      <c r="T365" s="20" t="inlineStr">
        <is>
          <t>원전</t>
        </is>
      </c>
      <c r="U365" s="20" t="inlineStr">
        <is>
          <t>미얀마</t>
        </is>
      </c>
      <c r="V365" s="20" t="n"/>
      <c r="W365" s="26" t="n"/>
      <c r="X365" s="26" t="n"/>
      <c r="Y365" s="22" t="n"/>
      <c r="Z365" s="27" t="n">
        <v>4000</v>
      </c>
      <c r="AA365" s="27" t="n">
        <v>200000000</v>
      </c>
      <c r="AB365" s="27" t="n">
        <v>1000000000</v>
      </c>
      <c r="AC365" s="20" t="n"/>
      <c r="AD365" s="20">
        <f>IF($J365="","출고일 미정",IF($P365="X","작지 미발행",IF($P365="부분","작지 일부 미발행",IF(AND($R365&lt;&gt;"",$R365&gt;$M365),"소재입고 마감("&amp;TEXT($M365,"MM/DD")&amp;") 초과",IF($P365="","발행여부 확인 필요",IF($R365="","소재 입고일정 확인 필요","정상"))))))</f>
        <v/>
      </c>
      <c r="AE365" s="19">
        <f>IF($J365="","",IF(OR(LEFT($AD365,2)="작지",LEFT($AD365,4)="소재입고"),IF(LEFT($G365,1)="A","★ 납기위험(A코드)","◆ 지연주의"),IF($AD365="정상","✓ 정상","? 확인필요")))</f>
        <v/>
      </c>
      <c r="AF365" s="21" t="n"/>
      <c r="AG365" s="28" t="n"/>
    </row>
    <row r="366">
      <c r="A366" s="19" t="n">
        <v>362</v>
      </c>
      <c r="B366" s="20" t="inlineStr">
        <is>
          <t>이재헌</t>
        </is>
      </c>
      <c r="C366" s="20" t="inlineStr">
        <is>
          <t>조이슬</t>
        </is>
      </c>
      <c r="D366" s="20" t="inlineStr">
        <is>
          <t>TLJJW27471</t>
        </is>
      </c>
      <c r="E366" s="20" t="inlineStr">
        <is>
          <t>남성 후디드 라이트 인슐레이션 재킷</t>
        </is>
      </c>
      <c r="F366" s="20" t="inlineStr">
        <is>
          <t>SAG/DNA</t>
        </is>
      </c>
      <c r="G366" s="19">
        <f>IF($D366="","",IF(MID($D366,5,1)="A","A(가을)",IF(MID($D366,5,1)="W","W(겨울)",IF(MID($D366,5,1)="X","X(사계절)",MID($D366,5,1)))))</f>
        <v/>
      </c>
      <c r="H366" s="19" t="n"/>
      <c r="I366" s="21" t="n"/>
      <c r="J366" s="22">
        <f>IF($I366="","",IFERROR(DATE(기준정보!$C$7,VALUE(LEFT($I366,FIND("월",$I366)-1)),1+7*(VALUE(SUBSTITUTE(MID($I366,FIND("월",$I366)+1,5),"주",""))-1)),""))</f>
        <v/>
      </c>
      <c r="K366" s="22">
        <f>IF($J366="","",IF(AND(ISNUMBER(SEARCH("미얀마",$U366)),$J366-기준정보!$C$5&gt;=기준정보!$C$8,$J366-기준정보!$C$5&lt;=기준정보!$C$9),기준정보!$C$8-1,IF(AND(ISNUMBER(SEARCH("인도네시아",$U366)),$J366-기준정보!$C$5&gt;=기준정보!$C$10,$J366-기준정보!$C$5&lt;=기준정보!$C$11),기준정보!$C$10-1,$J366-기준정보!$C$5)))</f>
        <v/>
      </c>
      <c r="L366" s="23">
        <f>IF($K366="","",IF(ISNUMBER(SEARCH("미얀마",$U366)),MAX(0,MIN($K366,기준정보!$C$9)-MAX($K366-기준정보!$C$6,기준정보!$C$8)+1),IF(ISNUMBER(SEARCH("인도네시아",$U366)),MAX(0,MIN($K366,기준정보!$C$11)-MAX($K366-기준정보!$C$6,기준정보!$C$10)+1),0)))</f>
        <v/>
      </c>
      <c r="M366" s="22">
        <f>IF($K366="","",$K366-기준정보!$C$6-$L366)</f>
        <v/>
      </c>
      <c r="N366" s="24">
        <f>IF($M366="","",$M366-기준정보!$C$4)</f>
        <v/>
      </c>
      <c r="O366" s="21" t="n"/>
      <c r="P366" s="21" t="n"/>
      <c r="Q366" s="21" t="n"/>
      <c r="R366" s="25" t="n"/>
      <c r="S366" s="20">
        <f>IF($H366="","",IF($H366="C","본사(소재팀)",IF($H366="완","생산처","확인 필요")))</f>
        <v/>
      </c>
      <c r="T366" s="20" t="inlineStr">
        <is>
          <t>원전</t>
        </is>
      </c>
      <c r="U366" s="20" t="inlineStr">
        <is>
          <t>미얀마</t>
        </is>
      </c>
      <c r="V366" s="20" t="n"/>
      <c r="W366" s="26" t="n"/>
      <c r="X366" s="26" t="n"/>
      <c r="Y366" s="22" t="n"/>
      <c r="Z366" s="27" t="n">
        <v>4000</v>
      </c>
      <c r="AA366" s="27" t="n">
        <v>248000000</v>
      </c>
      <c r="AB366" s="27" t="n">
        <v>1280000000</v>
      </c>
      <c r="AC366" s="20" t="n"/>
      <c r="AD366" s="20">
        <f>IF($J366="","출고일 미정",IF($P366="X","작지 미발행",IF($P366="부분","작지 일부 미발행",IF(AND($R366&lt;&gt;"",$R366&gt;$M366),"소재입고 마감("&amp;TEXT($M366,"MM/DD")&amp;") 초과",IF($P366="","발행여부 확인 필요",IF($R366="","소재 입고일정 확인 필요","정상"))))))</f>
        <v/>
      </c>
      <c r="AE366" s="19">
        <f>IF($J366="","",IF(OR(LEFT($AD366,2)="작지",LEFT($AD366,4)="소재입고"),IF(LEFT($G366,1)="A","★ 납기위험(A코드)","◆ 지연주의"),IF($AD366="정상","✓ 정상","? 확인필요")))</f>
        <v/>
      </c>
      <c r="AF366" s="21" t="n"/>
      <c r="AG366" s="28" t="n"/>
    </row>
    <row r="367">
      <c r="A367" s="19" t="n">
        <v>363</v>
      </c>
      <c r="B367" s="20" t="inlineStr">
        <is>
          <t>이재헌</t>
        </is>
      </c>
      <c r="C367" s="20" t="inlineStr">
        <is>
          <t>조이슬</t>
        </is>
      </c>
      <c r="D367" s="20" t="inlineStr">
        <is>
          <t>TLJJW27473</t>
        </is>
      </c>
      <c r="E367" s="20" t="inlineStr">
        <is>
          <t>남성 디테쳐블 후드 헤비 인슐레이션 재킷</t>
        </is>
      </c>
      <c r="F367" s="20" t="inlineStr">
        <is>
          <t>GBU/DEB</t>
        </is>
      </c>
      <c r="G367" s="19">
        <f>IF($D367="","",IF(MID($D367,5,1)="A","A(가을)",IF(MID($D367,5,1)="W","W(겨울)",IF(MID($D367,5,1)="X","X(사계절)",MID($D367,5,1)))))</f>
        <v/>
      </c>
      <c r="H367" s="19" t="n"/>
      <c r="I367" s="21" t="n"/>
      <c r="J367" s="22">
        <f>IF($I367="","",IFERROR(DATE(기준정보!$C$7,VALUE(LEFT($I367,FIND("월",$I367)-1)),1+7*(VALUE(SUBSTITUTE(MID($I367,FIND("월",$I367)+1,5),"주",""))-1)),""))</f>
        <v/>
      </c>
      <c r="K367" s="22">
        <f>IF($J367="","",IF(AND(ISNUMBER(SEARCH("미얀마",$U367)),$J367-기준정보!$C$5&gt;=기준정보!$C$8,$J367-기준정보!$C$5&lt;=기준정보!$C$9),기준정보!$C$8-1,IF(AND(ISNUMBER(SEARCH("인도네시아",$U367)),$J367-기준정보!$C$5&gt;=기준정보!$C$10,$J367-기준정보!$C$5&lt;=기준정보!$C$11),기준정보!$C$10-1,$J367-기준정보!$C$5)))</f>
        <v/>
      </c>
      <c r="L367" s="23">
        <f>IF($K367="","",IF(ISNUMBER(SEARCH("미얀마",$U367)),MAX(0,MIN($K367,기준정보!$C$9)-MAX($K367-기준정보!$C$6,기준정보!$C$8)+1),IF(ISNUMBER(SEARCH("인도네시아",$U367)),MAX(0,MIN($K367,기준정보!$C$11)-MAX($K367-기준정보!$C$6,기준정보!$C$10)+1),0)))</f>
        <v/>
      </c>
      <c r="M367" s="22">
        <f>IF($K367="","",$K367-기준정보!$C$6-$L367)</f>
        <v/>
      </c>
      <c r="N367" s="24">
        <f>IF($M367="","",$M367-기준정보!$C$4)</f>
        <v/>
      </c>
      <c r="O367" s="21" t="n"/>
      <c r="P367" s="21" t="n"/>
      <c r="Q367" s="21" t="n"/>
      <c r="R367" s="25" t="n"/>
      <c r="S367" s="20">
        <f>IF($H367="","",IF($H367="C","본사(소재팀)",IF($H367="완","생산처","확인 필요")))</f>
        <v/>
      </c>
      <c r="T367" s="20" t="inlineStr">
        <is>
          <t>원전</t>
        </is>
      </c>
      <c r="U367" s="20" t="inlineStr">
        <is>
          <t>미얀마</t>
        </is>
      </c>
      <c r="V367" s="20" t="n"/>
      <c r="W367" s="26" t="n"/>
      <c r="X367" s="26" t="n"/>
      <c r="Y367" s="22" t="n"/>
      <c r="Z367" s="27" t="n">
        <v>3000</v>
      </c>
      <c r="AA367" s="27" t="n">
        <v>234000000</v>
      </c>
      <c r="AB367" s="27" t="n">
        <v>1170000000</v>
      </c>
      <c r="AC367" s="20" t="n"/>
      <c r="AD367" s="20">
        <f>IF($J367="","출고일 미정",IF($P367="X","작지 미발행",IF($P367="부분","작지 일부 미발행",IF(AND($R367&lt;&gt;"",$R367&gt;$M367),"소재입고 마감("&amp;TEXT($M367,"MM/DD")&amp;") 초과",IF($P367="","발행여부 확인 필요",IF($R367="","소재 입고일정 확인 필요","정상"))))))</f>
        <v/>
      </c>
      <c r="AE367" s="19">
        <f>IF($J367="","",IF(OR(LEFT($AD367,2)="작지",LEFT($AD367,4)="소재입고"),IF(LEFT($G367,1)="A","★ 납기위험(A코드)","◆ 지연주의"),IF($AD367="정상","✓ 정상","? 확인필요")))</f>
        <v/>
      </c>
      <c r="AF367" s="21" t="n"/>
      <c r="AG367" s="28" t="n"/>
    </row>
    <row r="368">
      <c r="A368" s="19" t="n">
        <v>364</v>
      </c>
      <c r="B368" s="20" t="inlineStr">
        <is>
          <t>박술홍</t>
        </is>
      </c>
      <c r="C368" s="20" t="inlineStr">
        <is>
          <t>조이슬</t>
        </is>
      </c>
      <c r="D368" s="20" t="inlineStr">
        <is>
          <t>TLPNW27401</t>
        </is>
      </c>
      <c r="E368" s="20" t="inlineStr">
        <is>
          <t>남성 패딩 팬츠</t>
        </is>
      </c>
      <c r="F368" s="20" t="inlineStr">
        <is>
          <t>DEB/SKA</t>
        </is>
      </c>
      <c r="G368" s="19">
        <f>IF($D368="","",IF(MID($D368,5,1)="A","A(가을)",IF(MID($D368,5,1)="W","W(겨울)",IF(MID($D368,5,1)="X","X(사계절)",MID($D368,5,1)))))</f>
        <v/>
      </c>
      <c r="H368" s="19" t="n"/>
      <c r="I368" s="21" t="n"/>
      <c r="J368" s="22">
        <f>IF($I368="","",IFERROR(DATE(기준정보!$C$7,VALUE(LEFT($I368,FIND("월",$I368)-1)),1+7*(VALUE(SUBSTITUTE(MID($I368,FIND("월",$I368)+1,5),"주",""))-1)),""))</f>
        <v/>
      </c>
      <c r="K368" s="22">
        <f>IF($J368="","",IF(AND(ISNUMBER(SEARCH("미얀마",$U368)),$J368-기준정보!$C$5&gt;=기준정보!$C$8,$J368-기준정보!$C$5&lt;=기준정보!$C$9),기준정보!$C$8-1,IF(AND(ISNUMBER(SEARCH("인도네시아",$U368)),$J368-기준정보!$C$5&gt;=기준정보!$C$10,$J368-기준정보!$C$5&lt;=기준정보!$C$11),기준정보!$C$10-1,$J368-기준정보!$C$5)))</f>
        <v/>
      </c>
      <c r="L368" s="23">
        <f>IF($K368="","",IF(ISNUMBER(SEARCH("미얀마",$U368)),MAX(0,MIN($K368,기준정보!$C$9)-MAX($K368-기준정보!$C$6,기준정보!$C$8)+1),IF(ISNUMBER(SEARCH("인도네시아",$U368)),MAX(0,MIN($K368,기준정보!$C$11)-MAX($K368-기준정보!$C$6,기준정보!$C$10)+1),0)))</f>
        <v/>
      </c>
      <c r="M368" s="22">
        <f>IF($K368="","",$K368-기준정보!$C$6-$L368)</f>
        <v/>
      </c>
      <c r="N368" s="24">
        <f>IF($M368="","",$M368-기준정보!$C$4)</f>
        <v/>
      </c>
      <c r="O368" s="21" t="n"/>
      <c r="P368" s="21" t="n"/>
      <c r="Q368" s="21" t="n"/>
      <c r="R368" s="25" t="n"/>
      <c r="S368" s="20">
        <f>IF($H368="","",IF($H368="C","본사(소재팀)",IF($H368="완","생산처","확인 필요")))</f>
        <v/>
      </c>
      <c r="T368" s="20" t="inlineStr">
        <is>
          <t>TBO</t>
        </is>
      </c>
      <c r="U368" s="20" t="inlineStr">
        <is>
          <t>베트남</t>
        </is>
      </c>
      <c r="V368" s="20" t="n"/>
      <c r="W368" s="26" t="n"/>
      <c r="X368" s="26" t="n"/>
      <c r="Y368" s="22" t="n"/>
      <c r="Z368" s="27" t="n">
        <v>2500</v>
      </c>
      <c r="AA368" s="27" t="n">
        <v>117015000</v>
      </c>
      <c r="AB368" s="27" t="n">
        <v>675000000</v>
      </c>
      <c r="AC368" s="20" t="n"/>
      <c r="AD368" s="20">
        <f>IF($J368="","출고일 미정",IF($P368="X","작지 미발행",IF($P368="부분","작지 일부 미발행",IF(AND($R368&lt;&gt;"",$R368&gt;$M368),"소재입고 마감("&amp;TEXT($M368,"MM/DD")&amp;") 초과",IF($P368="","발행여부 확인 필요",IF($R368="","소재 입고일정 확인 필요","정상"))))))</f>
        <v/>
      </c>
      <c r="AE368" s="19">
        <f>IF($J368="","",IF(OR(LEFT($AD368,2)="작지",LEFT($AD368,4)="소재입고"),IF(LEFT($G368,1)="A","★ 납기위험(A코드)","◆ 지연주의"),IF($AD368="정상","✓ 정상","? 확인필요")))</f>
        <v/>
      </c>
      <c r="AF368" s="21" t="n"/>
      <c r="AG368" s="28" t="n"/>
    </row>
    <row r="369">
      <c r="A369" s="19" t="n">
        <v>365</v>
      </c>
      <c r="B369" s="20" t="inlineStr">
        <is>
          <t>박술홍</t>
        </is>
      </c>
      <c r="C369" s="20" t="inlineStr">
        <is>
          <t>조이슬</t>
        </is>
      </c>
      <c r="D369" s="20" t="inlineStr">
        <is>
          <t>TLPNW27431</t>
        </is>
      </c>
      <c r="E369" s="20" t="inlineStr">
        <is>
          <t>남성 튜브 다운 팬츠</t>
        </is>
      </c>
      <c r="F369" s="20" t="inlineStr">
        <is>
          <t>DEB</t>
        </is>
      </c>
      <c r="G369" s="19">
        <f>IF($D369="","",IF(MID($D369,5,1)="A","A(가을)",IF(MID($D369,5,1)="W","W(겨울)",IF(MID($D369,5,1)="X","X(사계절)",MID($D369,5,1)))))</f>
        <v/>
      </c>
      <c r="H369" s="19" t="n"/>
      <c r="I369" s="21" t="n"/>
      <c r="J369" s="22">
        <f>IF($I369="","",IFERROR(DATE(기준정보!$C$7,VALUE(LEFT($I369,FIND("월",$I369)-1)),1+7*(VALUE(SUBSTITUTE(MID($I369,FIND("월",$I369)+1,5),"주",""))-1)),""))</f>
        <v/>
      </c>
      <c r="K369" s="22">
        <f>IF($J369="","",IF(AND(ISNUMBER(SEARCH("미얀마",$U369)),$J369-기준정보!$C$5&gt;=기준정보!$C$8,$J369-기준정보!$C$5&lt;=기준정보!$C$9),기준정보!$C$8-1,IF(AND(ISNUMBER(SEARCH("인도네시아",$U369)),$J369-기준정보!$C$5&gt;=기준정보!$C$10,$J369-기준정보!$C$5&lt;=기준정보!$C$11),기준정보!$C$10-1,$J369-기준정보!$C$5)))</f>
        <v/>
      </c>
      <c r="L369" s="23">
        <f>IF($K369="","",IF(ISNUMBER(SEARCH("미얀마",$U369)),MAX(0,MIN($K369,기준정보!$C$9)-MAX($K369-기준정보!$C$6,기준정보!$C$8)+1),IF(ISNUMBER(SEARCH("인도네시아",$U369)),MAX(0,MIN($K369,기준정보!$C$11)-MAX($K369-기준정보!$C$6,기준정보!$C$10)+1),0)))</f>
        <v/>
      </c>
      <c r="M369" s="22">
        <f>IF($K369="","",$K369-기준정보!$C$6-$L369)</f>
        <v/>
      </c>
      <c r="N369" s="24">
        <f>IF($M369="","",$M369-기준정보!$C$4)</f>
        <v/>
      </c>
      <c r="O369" s="21" t="n"/>
      <c r="P369" s="21" t="n"/>
      <c r="Q369" s="21" t="n"/>
      <c r="R369" s="25" t="n"/>
      <c r="S369" s="20">
        <f>IF($H369="","",IF($H369="C","본사(소재팀)",IF($H369="완","생산처","확인 필요")))</f>
        <v/>
      </c>
      <c r="T369" s="20" t="inlineStr">
        <is>
          <t>아이블</t>
        </is>
      </c>
      <c r="U369" s="20" t="inlineStr">
        <is>
          <t>베트남</t>
        </is>
      </c>
      <c r="V369" s="20" t="n"/>
      <c r="W369" s="26" t="n"/>
      <c r="X369" s="26" t="n"/>
      <c r="Y369" s="22" t="n"/>
      <c r="Z369" s="27" t="n">
        <v>2000</v>
      </c>
      <c r="AA369" s="27" t="n">
        <v>126396000</v>
      </c>
      <c r="AB369" s="27" t="n">
        <v>640000000</v>
      </c>
      <c r="AC369" s="20" t="n"/>
      <c r="AD369" s="20">
        <f>IF($J369="","출고일 미정",IF($P369="X","작지 미발행",IF($P369="부분","작지 일부 미발행",IF(AND($R369&lt;&gt;"",$R369&gt;$M369),"소재입고 마감("&amp;TEXT($M369,"MM/DD")&amp;") 초과",IF($P369="","발행여부 확인 필요",IF($R369="","소재 입고일정 확인 필요","정상"))))))</f>
        <v/>
      </c>
      <c r="AE369" s="19">
        <f>IF($J369="","",IF(OR(LEFT($AD369,2)="작지",LEFT($AD369,4)="소재입고"),IF(LEFT($G369,1)="A","★ 납기위험(A코드)","◆ 지연주의"),IF($AD369="정상","✓ 정상","? 확인필요")))</f>
        <v/>
      </c>
      <c r="AF369" s="21" t="n"/>
      <c r="AG369" s="28" t="n"/>
    </row>
    <row r="370">
      <c r="A370" s="19" t="n">
        <v>366</v>
      </c>
      <c r="B370" s="20" t="inlineStr">
        <is>
          <t>박술홍</t>
        </is>
      </c>
      <c r="C370" s="20" t="inlineStr">
        <is>
          <t>조이슬</t>
        </is>
      </c>
      <c r="D370" s="20" t="inlineStr">
        <is>
          <t>TLPNW27441</t>
        </is>
      </c>
      <c r="E370" s="20" t="inlineStr">
        <is>
          <t>남성 위고프로 팬츠</t>
        </is>
      </c>
      <c r="F370" s="20" t="inlineStr">
        <is>
          <t>DEB</t>
        </is>
      </c>
      <c r="G370" s="19">
        <f>IF($D370="","",IF(MID($D370,5,1)="A","A(가을)",IF(MID($D370,5,1)="W","W(겨울)",IF(MID($D370,5,1)="X","X(사계절)",MID($D370,5,1)))))</f>
        <v/>
      </c>
      <c r="H370" s="19" t="n"/>
      <c r="I370" s="21" t="n"/>
      <c r="J370" s="22">
        <f>IF($I370="","",IFERROR(DATE(기준정보!$C$7,VALUE(LEFT($I370,FIND("월",$I370)-1)),1+7*(VALUE(SUBSTITUTE(MID($I370,FIND("월",$I370)+1,5),"주",""))-1)),""))</f>
        <v/>
      </c>
      <c r="K370" s="22">
        <f>IF($J370="","",IF(AND(ISNUMBER(SEARCH("미얀마",$U370)),$J370-기준정보!$C$5&gt;=기준정보!$C$8,$J370-기준정보!$C$5&lt;=기준정보!$C$9),기준정보!$C$8-1,IF(AND(ISNUMBER(SEARCH("인도네시아",$U370)),$J370-기준정보!$C$5&gt;=기준정보!$C$10,$J370-기준정보!$C$5&lt;=기준정보!$C$11),기준정보!$C$10-1,$J370-기준정보!$C$5)))</f>
        <v/>
      </c>
      <c r="L370" s="23">
        <f>IF($K370="","",IF(ISNUMBER(SEARCH("미얀마",$U370)),MAX(0,MIN($K370,기준정보!$C$9)-MAX($K370-기준정보!$C$6,기준정보!$C$8)+1),IF(ISNUMBER(SEARCH("인도네시아",$U370)),MAX(0,MIN($K370,기준정보!$C$11)-MAX($K370-기준정보!$C$6,기준정보!$C$10)+1),0)))</f>
        <v/>
      </c>
      <c r="M370" s="22">
        <f>IF($K370="","",$K370-기준정보!$C$6-$L370)</f>
        <v/>
      </c>
      <c r="N370" s="24">
        <f>IF($M370="","",$M370-기준정보!$C$4)</f>
        <v/>
      </c>
      <c r="O370" s="21" t="n"/>
      <c r="P370" s="21" t="n"/>
      <c r="Q370" s="21" t="n"/>
      <c r="R370" s="25" t="n"/>
      <c r="S370" s="20">
        <f>IF($H370="","",IF($H370="C","본사(소재팀)",IF($H370="완","생산처","확인 필요")))</f>
        <v/>
      </c>
      <c r="T370" s="20" t="inlineStr">
        <is>
          <t>거림</t>
        </is>
      </c>
      <c r="U370" s="20" t="inlineStr">
        <is>
          <t>베트남</t>
        </is>
      </c>
      <c r="V370" s="20" t="n"/>
      <c r="W370" s="26" t="n"/>
      <c r="X370" s="26" t="n"/>
      <c r="Y370" s="22" t="n"/>
      <c r="Z370" s="27" t="n">
        <v>1500</v>
      </c>
      <c r="AA370" s="27" t="n">
        <v>92245500</v>
      </c>
      <c r="AB370" s="27" t="n">
        <v>435000000</v>
      </c>
      <c r="AC370" s="20" t="n"/>
      <c r="AD370" s="20">
        <f>IF($J370="","출고일 미정",IF($P370="X","작지 미발행",IF($P370="부분","작지 일부 미발행",IF(AND($R370&lt;&gt;"",$R370&gt;$M370),"소재입고 마감("&amp;TEXT($M370,"MM/DD")&amp;") 초과",IF($P370="","발행여부 확인 필요",IF($R370="","소재 입고일정 확인 필요","정상"))))))</f>
        <v/>
      </c>
      <c r="AE370" s="19">
        <f>IF($J370="","",IF(OR(LEFT($AD370,2)="작지",LEFT($AD370,4)="소재입고"),IF(LEFT($G370,1)="A","★ 납기위험(A코드)","◆ 지연주의"),IF($AD370="정상","✓ 정상","? 확인필요")))</f>
        <v/>
      </c>
      <c r="AF370" s="21" t="n"/>
      <c r="AG370" s="28" t="n"/>
    </row>
    <row r="371">
      <c r="A371" s="19" t="n">
        <v>367</v>
      </c>
      <c r="B371" s="20" t="inlineStr">
        <is>
          <t>박술홍</t>
        </is>
      </c>
      <c r="C371" s="20" t="inlineStr">
        <is>
          <t>조이슬</t>
        </is>
      </c>
      <c r="D371" s="20" t="inlineStr">
        <is>
          <t>TLPNW27451</t>
        </is>
      </c>
      <c r="E371" s="20" t="inlineStr">
        <is>
          <t>남성 고어텍스 윈드스토퍼 원턱 팬츠</t>
        </is>
      </c>
      <c r="F371" s="20" t="inlineStr">
        <is>
          <t>DEB</t>
        </is>
      </c>
      <c r="G371" s="19">
        <f>IF($D371="","",IF(MID($D371,5,1)="A","A(가을)",IF(MID($D371,5,1)="W","W(겨울)",IF(MID($D371,5,1)="X","X(사계절)",MID($D371,5,1)))))</f>
        <v/>
      </c>
      <c r="H371" s="19" t="n"/>
      <c r="I371" s="21" t="n"/>
      <c r="J371" s="22">
        <f>IF($I371="","",IFERROR(DATE(기준정보!$C$7,VALUE(LEFT($I371,FIND("월",$I371)-1)),1+7*(VALUE(SUBSTITUTE(MID($I371,FIND("월",$I371)+1,5),"주",""))-1)),""))</f>
        <v/>
      </c>
      <c r="K371" s="22">
        <f>IF($J371="","",IF(AND(ISNUMBER(SEARCH("미얀마",$U371)),$J371-기준정보!$C$5&gt;=기준정보!$C$8,$J371-기준정보!$C$5&lt;=기준정보!$C$9),기준정보!$C$8-1,IF(AND(ISNUMBER(SEARCH("인도네시아",$U371)),$J371-기준정보!$C$5&gt;=기준정보!$C$10,$J371-기준정보!$C$5&lt;=기준정보!$C$11),기준정보!$C$10-1,$J371-기준정보!$C$5)))</f>
        <v/>
      </c>
      <c r="L371" s="23">
        <f>IF($K371="","",IF(ISNUMBER(SEARCH("미얀마",$U371)),MAX(0,MIN($K371,기준정보!$C$9)-MAX($K371-기준정보!$C$6,기준정보!$C$8)+1),IF(ISNUMBER(SEARCH("인도네시아",$U371)),MAX(0,MIN($K371,기준정보!$C$11)-MAX($K371-기준정보!$C$6,기준정보!$C$10)+1),0)))</f>
        <v/>
      </c>
      <c r="M371" s="22">
        <f>IF($K371="","",$K371-기준정보!$C$6-$L371)</f>
        <v/>
      </c>
      <c r="N371" s="24">
        <f>IF($M371="","",$M371-기준정보!$C$4)</f>
        <v/>
      </c>
      <c r="O371" s="21" t="n"/>
      <c r="P371" s="21" t="n"/>
      <c r="Q371" s="21" t="n"/>
      <c r="R371" s="25" t="n"/>
      <c r="S371" s="20">
        <f>IF($H371="","",IF($H371="C","본사(소재팀)",IF($H371="완","생산처","확인 필요")))</f>
        <v/>
      </c>
      <c r="T371" s="20" t="inlineStr">
        <is>
          <t>거림</t>
        </is>
      </c>
      <c r="U371" s="20" t="inlineStr">
        <is>
          <t>베트남</t>
        </is>
      </c>
      <c r="V371" s="20" t="n"/>
      <c r="W371" s="26" t="n"/>
      <c r="X371" s="26" t="n"/>
      <c r="Y371" s="22" t="n"/>
      <c r="Z371" s="27" t="n">
        <v>4000</v>
      </c>
      <c r="AA371" s="27" t="n">
        <v>227636000</v>
      </c>
      <c r="AB371" s="27" t="n">
        <v>1280000000</v>
      </c>
      <c r="AC371" s="20" t="n"/>
      <c r="AD371" s="20">
        <f>IF($J371="","출고일 미정",IF($P371="X","작지 미발행",IF($P371="부분","작지 일부 미발행",IF(AND($R371&lt;&gt;"",$R371&gt;$M371),"소재입고 마감("&amp;TEXT($M371,"MM/DD")&amp;") 초과",IF($P371="","발행여부 확인 필요",IF($R371="","소재 입고일정 확인 필요","정상"))))))</f>
        <v/>
      </c>
      <c r="AE371" s="19">
        <f>IF($J371="","",IF(OR(LEFT($AD371,2)="작지",LEFT($AD371,4)="소재입고"),IF(LEFT($G371,1)="A","★ 납기위험(A코드)","◆ 지연주의"),IF($AD371="정상","✓ 정상","? 확인필요")))</f>
        <v/>
      </c>
      <c r="AF371" s="21" t="n"/>
      <c r="AG371" s="28" t="n"/>
    </row>
    <row r="372">
      <c r="A372" s="19" t="n">
        <v>368</v>
      </c>
      <c r="B372" s="20" t="inlineStr">
        <is>
          <t>박술홍</t>
        </is>
      </c>
      <c r="C372" s="20" t="inlineStr">
        <is>
          <t>조이슬</t>
        </is>
      </c>
      <c r="D372" s="20" t="inlineStr">
        <is>
          <t>TLPNW27453</t>
        </is>
      </c>
      <c r="E372" s="20" t="inlineStr">
        <is>
          <t>남성 고어텍스 윈드스토퍼 슬림핏 노턱 팬츠</t>
        </is>
      </c>
      <c r="F372" s="20" t="inlineStr">
        <is>
          <t>MID</t>
        </is>
      </c>
      <c r="G372" s="19">
        <f>IF($D372="","",IF(MID($D372,5,1)="A","A(가을)",IF(MID($D372,5,1)="W","W(겨울)",IF(MID($D372,5,1)="X","X(사계절)",MID($D372,5,1)))))</f>
        <v/>
      </c>
      <c r="H372" s="19" t="n"/>
      <c r="I372" s="21" t="n"/>
      <c r="J372" s="22">
        <f>IF($I372="","",IFERROR(DATE(기준정보!$C$7,VALUE(LEFT($I372,FIND("월",$I372)-1)),1+7*(VALUE(SUBSTITUTE(MID($I372,FIND("월",$I372)+1,5),"주",""))-1)),""))</f>
        <v/>
      </c>
      <c r="K372" s="22">
        <f>IF($J372="","",IF(AND(ISNUMBER(SEARCH("미얀마",$U372)),$J372-기준정보!$C$5&gt;=기준정보!$C$8,$J372-기준정보!$C$5&lt;=기준정보!$C$9),기준정보!$C$8-1,IF(AND(ISNUMBER(SEARCH("인도네시아",$U372)),$J372-기준정보!$C$5&gt;=기준정보!$C$10,$J372-기준정보!$C$5&lt;=기준정보!$C$11),기준정보!$C$10-1,$J372-기준정보!$C$5)))</f>
        <v/>
      </c>
      <c r="L372" s="23">
        <f>IF($K372="","",IF(ISNUMBER(SEARCH("미얀마",$U372)),MAX(0,MIN($K372,기준정보!$C$9)-MAX($K372-기준정보!$C$6,기준정보!$C$8)+1),IF(ISNUMBER(SEARCH("인도네시아",$U372)),MAX(0,MIN($K372,기준정보!$C$11)-MAX($K372-기준정보!$C$6,기준정보!$C$10)+1),0)))</f>
        <v/>
      </c>
      <c r="M372" s="22">
        <f>IF($K372="","",$K372-기준정보!$C$6-$L372)</f>
        <v/>
      </c>
      <c r="N372" s="24">
        <f>IF($M372="","",$M372-기준정보!$C$4)</f>
        <v/>
      </c>
      <c r="O372" s="21" t="n"/>
      <c r="P372" s="21" t="n"/>
      <c r="Q372" s="21" t="n"/>
      <c r="R372" s="25" t="n"/>
      <c r="S372" s="20">
        <f>IF($H372="","",IF($H372="C","본사(소재팀)",IF($H372="완","생산처","확인 필요")))</f>
        <v/>
      </c>
      <c r="T372" s="20" t="inlineStr">
        <is>
          <t>거림</t>
        </is>
      </c>
      <c r="U372" s="20" t="inlineStr">
        <is>
          <t>베트남</t>
        </is>
      </c>
      <c r="V372" s="20" t="n"/>
      <c r="W372" s="26" t="n"/>
      <c r="X372" s="26" t="n"/>
      <c r="Y372" s="22" t="n"/>
      <c r="Z372" s="27" t="n">
        <v>4000</v>
      </c>
      <c r="AA372" s="27" t="n">
        <v>227636000</v>
      </c>
      <c r="AB372" s="27" t="n">
        <v>1280000000</v>
      </c>
      <c r="AC372" s="20" t="n"/>
      <c r="AD372" s="20">
        <f>IF($J372="","출고일 미정",IF($P372="X","작지 미발행",IF($P372="부분","작지 일부 미발행",IF(AND($R372&lt;&gt;"",$R372&gt;$M372),"소재입고 마감("&amp;TEXT($M372,"MM/DD")&amp;") 초과",IF($P372="","발행여부 확인 필요",IF($R372="","소재 입고일정 확인 필요","정상"))))))</f>
        <v/>
      </c>
      <c r="AE372" s="19">
        <f>IF($J372="","",IF(OR(LEFT($AD372,2)="작지",LEFT($AD372,4)="소재입고"),IF(LEFT($G372,1)="A","★ 납기위험(A코드)","◆ 지연주의"),IF($AD372="정상","✓ 정상","? 확인필요")))</f>
        <v/>
      </c>
      <c r="AF372" s="21" t="n"/>
      <c r="AG372" s="28" t="n"/>
    </row>
    <row r="373">
      <c r="A373" s="19" t="n">
        <v>369</v>
      </c>
      <c r="B373" s="20" t="inlineStr">
        <is>
          <t>박술홍</t>
        </is>
      </c>
      <c r="C373" s="20" t="inlineStr">
        <is>
          <t>조이슬</t>
        </is>
      </c>
      <c r="D373" s="20" t="inlineStr">
        <is>
          <t>TLPNW27461</t>
        </is>
      </c>
      <c r="E373" s="20" t="inlineStr">
        <is>
          <t>남성 기모 슬림핏 테이퍼드 트레이닝 팬츠</t>
        </is>
      </c>
      <c r="F373" s="20" t="inlineStr">
        <is>
          <t>DEB/CHR</t>
        </is>
      </c>
      <c r="G373" s="19">
        <f>IF($D373="","",IF(MID($D373,5,1)="A","A(가을)",IF(MID($D373,5,1)="W","W(겨울)",IF(MID($D373,5,1)="X","X(사계절)",MID($D373,5,1)))))</f>
        <v/>
      </c>
      <c r="H373" s="19" t="n"/>
      <c r="I373" s="21" t="n"/>
      <c r="J373" s="22">
        <f>IF($I373="","",IFERROR(DATE(기준정보!$C$7,VALUE(LEFT($I373,FIND("월",$I373)-1)),1+7*(VALUE(SUBSTITUTE(MID($I373,FIND("월",$I373)+1,5),"주",""))-1)),""))</f>
        <v/>
      </c>
      <c r="K373" s="22">
        <f>IF($J373="","",IF(AND(ISNUMBER(SEARCH("미얀마",$U373)),$J373-기준정보!$C$5&gt;=기준정보!$C$8,$J373-기준정보!$C$5&lt;=기준정보!$C$9),기준정보!$C$8-1,IF(AND(ISNUMBER(SEARCH("인도네시아",$U373)),$J373-기준정보!$C$5&gt;=기준정보!$C$10,$J373-기준정보!$C$5&lt;=기준정보!$C$11),기준정보!$C$10-1,$J373-기준정보!$C$5)))</f>
        <v/>
      </c>
      <c r="L373" s="23">
        <f>IF($K373="","",IF(ISNUMBER(SEARCH("미얀마",$U373)),MAX(0,MIN($K373,기준정보!$C$9)-MAX($K373-기준정보!$C$6,기준정보!$C$8)+1),IF(ISNUMBER(SEARCH("인도네시아",$U373)),MAX(0,MIN($K373,기준정보!$C$11)-MAX($K373-기준정보!$C$6,기준정보!$C$10)+1),0)))</f>
        <v/>
      </c>
      <c r="M373" s="22">
        <f>IF($K373="","",$K373-기준정보!$C$6-$L373)</f>
        <v/>
      </c>
      <c r="N373" s="24">
        <f>IF($M373="","",$M373-기준정보!$C$4)</f>
        <v/>
      </c>
      <c r="O373" s="21" t="n"/>
      <c r="P373" s="21" t="n"/>
      <c r="Q373" s="21" t="n"/>
      <c r="R373" s="25" t="n"/>
      <c r="S373" s="20">
        <f>IF($H373="","",IF($H373="C","본사(소재팀)",IF($H373="완","생산처","확인 필요")))</f>
        <v/>
      </c>
      <c r="T373" s="20" t="inlineStr">
        <is>
          <t>YIC</t>
        </is>
      </c>
      <c r="U373" s="20" t="inlineStr">
        <is>
          <t>베트남</t>
        </is>
      </c>
      <c r="V373" s="20" t="n"/>
      <c r="W373" s="26" t="n"/>
      <c r="X373" s="26" t="n"/>
      <c r="Y373" s="22" t="n"/>
      <c r="Z373" s="27" t="n">
        <v>3500</v>
      </c>
      <c r="AA373" s="27" t="n">
        <v>104524000</v>
      </c>
      <c r="AB373" s="27" t="n">
        <v>588000000</v>
      </c>
      <c r="AC373" s="20" t="n"/>
      <c r="AD373" s="20">
        <f>IF($J373="","출고일 미정",IF($P373="X","작지 미발행",IF($P373="부분","작지 일부 미발행",IF(AND($R373&lt;&gt;"",$R373&gt;$M373),"소재입고 마감("&amp;TEXT($M373,"MM/DD")&amp;") 초과",IF($P373="","발행여부 확인 필요",IF($R373="","소재 입고일정 확인 필요","정상"))))))</f>
        <v/>
      </c>
      <c r="AE373" s="19">
        <f>IF($J373="","",IF(OR(LEFT($AD373,2)="작지",LEFT($AD373,4)="소재입고"),IF(LEFT($G373,1)="A","★ 납기위험(A코드)","◆ 지연주의"),IF($AD373="정상","✓ 정상","? 확인필요")))</f>
        <v/>
      </c>
      <c r="AF373" s="21" t="n"/>
      <c r="AG373" s="28" t="n"/>
    </row>
    <row r="374">
      <c r="A374" s="19" t="n">
        <v>370</v>
      </c>
      <c r="B374" s="20" t="inlineStr">
        <is>
          <t>박술홍</t>
        </is>
      </c>
      <c r="C374" s="20" t="inlineStr">
        <is>
          <t>조이슬</t>
        </is>
      </c>
      <c r="D374" s="20" t="inlineStr">
        <is>
          <t>TLPNW27471</t>
        </is>
      </c>
      <c r="E374" s="20" t="inlineStr">
        <is>
          <t>남성 베이직 본딩 원턱 팬츠</t>
        </is>
      </c>
      <c r="F374" s="20" t="inlineStr">
        <is>
          <t>DEB/CHR/DNV</t>
        </is>
      </c>
      <c r="G374" s="19">
        <f>IF($D374="","",IF(MID($D374,5,1)="A","A(가을)",IF(MID($D374,5,1)="W","W(겨울)",IF(MID($D374,5,1)="X","X(사계절)",MID($D374,5,1)))))</f>
        <v/>
      </c>
      <c r="H374" s="19" t="n"/>
      <c r="I374" s="21" t="n"/>
      <c r="J374" s="22">
        <f>IF($I374="","",IFERROR(DATE(기준정보!$C$7,VALUE(LEFT($I374,FIND("월",$I374)-1)),1+7*(VALUE(SUBSTITUTE(MID($I374,FIND("월",$I374)+1,5),"주",""))-1)),""))</f>
        <v/>
      </c>
      <c r="K374" s="22">
        <f>IF($J374="","",IF(AND(ISNUMBER(SEARCH("미얀마",$U374)),$J374-기준정보!$C$5&gt;=기준정보!$C$8,$J374-기준정보!$C$5&lt;=기준정보!$C$9),기준정보!$C$8-1,IF(AND(ISNUMBER(SEARCH("인도네시아",$U374)),$J374-기준정보!$C$5&gt;=기준정보!$C$10,$J374-기준정보!$C$5&lt;=기준정보!$C$11),기준정보!$C$10-1,$J374-기준정보!$C$5)))</f>
        <v/>
      </c>
      <c r="L374" s="23">
        <f>IF($K374="","",IF(ISNUMBER(SEARCH("미얀마",$U374)),MAX(0,MIN($K374,기준정보!$C$9)-MAX($K374-기준정보!$C$6,기준정보!$C$8)+1),IF(ISNUMBER(SEARCH("인도네시아",$U374)),MAX(0,MIN($K374,기준정보!$C$11)-MAX($K374-기준정보!$C$6,기준정보!$C$10)+1),0)))</f>
        <v/>
      </c>
      <c r="M374" s="22">
        <f>IF($K374="","",$K374-기준정보!$C$6-$L374)</f>
        <v/>
      </c>
      <c r="N374" s="24">
        <f>IF($M374="","",$M374-기준정보!$C$4)</f>
        <v/>
      </c>
      <c r="O374" s="21" t="n"/>
      <c r="P374" s="21" t="n"/>
      <c r="Q374" s="21" t="n"/>
      <c r="R374" s="25" t="n"/>
      <c r="S374" s="20">
        <f>IF($H374="","",IF($H374="C","본사(소재팀)",IF($H374="완","생산처","확인 필요")))</f>
        <v/>
      </c>
      <c r="T374" s="20" t="inlineStr">
        <is>
          <t>디코드</t>
        </is>
      </c>
      <c r="U374" s="20" t="inlineStr">
        <is>
          <t>베트남</t>
        </is>
      </c>
      <c r="V374" s="20" t="n"/>
      <c r="W374" s="26" t="n"/>
      <c r="X374" s="26" t="n"/>
      <c r="Y374" s="22" t="n"/>
      <c r="Z374" s="27" t="n">
        <v>6000</v>
      </c>
      <c r="AA374" s="27" t="n">
        <v>235068000</v>
      </c>
      <c r="AB374" s="27" t="n">
        <v>1188000000</v>
      </c>
      <c r="AC374" s="20" t="n"/>
      <c r="AD374" s="20">
        <f>IF($J374="","출고일 미정",IF($P374="X","작지 미발행",IF($P374="부분","작지 일부 미발행",IF(AND($R374&lt;&gt;"",$R374&gt;$M374),"소재입고 마감("&amp;TEXT($M374,"MM/DD")&amp;") 초과",IF($P374="","발행여부 확인 필요",IF($R374="","소재 입고일정 확인 필요","정상"))))))</f>
        <v/>
      </c>
      <c r="AE374" s="19">
        <f>IF($J374="","",IF(OR(LEFT($AD374,2)="작지",LEFT($AD374,4)="소재입고"),IF(LEFT($G374,1)="A","★ 납기위험(A코드)","◆ 지연주의"),IF($AD374="정상","✓ 정상","? 확인필요")))</f>
        <v/>
      </c>
      <c r="AF374" s="21" t="n"/>
      <c r="AG374" s="28" t="n"/>
    </row>
    <row r="375">
      <c r="A375" s="19" t="n">
        <v>371</v>
      </c>
      <c r="B375" s="20" t="inlineStr">
        <is>
          <t>박술홍</t>
        </is>
      </c>
      <c r="C375" s="20" t="inlineStr">
        <is>
          <t>조이슬</t>
        </is>
      </c>
      <c r="D375" s="20" t="inlineStr">
        <is>
          <t>TLPNW27473</t>
        </is>
      </c>
      <c r="E375" s="20" t="inlineStr">
        <is>
          <t>남성 베이직 본딩 슬림핏 노턱 팬츠</t>
        </is>
      </c>
      <c r="F375" s="20" t="inlineStr">
        <is>
          <t>DEB/CHR/CTP</t>
        </is>
      </c>
      <c r="G375" s="19">
        <f>IF($D375="","",IF(MID($D375,5,1)="A","A(가을)",IF(MID($D375,5,1)="W","W(겨울)",IF(MID($D375,5,1)="X","X(사계절)",MID($D375,5,1)))))</f>
        <v/>
      </c>
      <c r="H375" s="19" t="n"/>
      <c r="I375" s="21" t="n"/>
      <c r="J375" s="22">
        <f>IF($I375="","",IFERROR(DATE(기준정보!$C$7,VALUE(LEFT($I375,FIND("월",$I375)-1)),1+7*(VALUE(SUBSTITUTE(MID($I375,FIND("월",$I375)+1,5),"주",""))-1)),""))</f>
        <v/>
      </c>
      <c r="K375" s="22">
        <f>IF($J375="","",IF(AND(ISNUMBER(SEARCH("미얀마",$U375)),$J375-기준정보!$C$5&gt;=기준정보!$C$8,$J375-기준정보!$C$5&lt;=기준정보!$C$9),기준정보!$C$8-1,IF(AND(ISNUMBER(SEARCH("인도네시아",$U375)),$J375-기준정보!$C$5&gt;=기준정보!$C$10,$J375-기준정보!$C$5&lt;=기준정보!$C$11),기준정보!$C$10-1,$J375-기준정보!$C$5)))</f>
        <v/>
      </c>
      <c r="L375" s="23">
        <f>IF($K375="","",IF(ISNUMBER(SEARCH("미얀마",$U375)),MAX(0,MIN($K375,기준정보!$C$9)-MAX($K375-기준정보!$C$6,기준정보!$C$8)+1),IF(ISNUMBER(SEARCH("인도네시아",$U375)),MAX(0,MIN($K375,기준정보!$C$11)-MAX($K375-기준정보!$C$6,기준정보!$C$10)+1),0)))</f>
        <v/>
      </c>
      <c r="M375" s="22">
        <f>IF($K375="","",$K375-기준정보!$C$6-$L375)</f>
        <v/>
      </c>
      <c r="N375" s="24">
        <f>IF($M375="","",$M375-기준정보!$C$4)</f>
        <v/>
      </c>
      <c r="O375" s="21" t="n"/>
      <c r="P375" s="21" t="n"/>
      <c r="Q375" s="21" t="n"/>
      <c r="R375" s="25" t="n"/>
      <c r="S375" s="20">
        <f>IF($H375="","",IF($H375="C","본사(소재팀)",IF($H375="완","생산처","확인 필요")))</f>
        <v/>
      </c>
      <c r="T375" s="20" t="inlineStr">
        <is>
          <t>TBO</t>
        </is>
      </c>
      <c r="U375" s="20" t="inlineStr">
        <is>
          <t>베트남</t>
        </is>
      </c>
      <c r="V375" s="20" t="n"/>
      <c r="W375" s="26" t="n"/>
      <c r="X375" s="26" t="n"/>
      <c r="Y375" s="22" t="n"/>
      <c r="Z375" s="27" t="n">
        <v>8500</v>
      </c>
      <c r="AA375" s="27" t="n">
        <v>331772000</v>
      </c>
      <c r="AB375" s="27" t="n">
        <v>1683000000</v>
      </c>
      <c r="AC375" s="20" t="n"/>
      <c r="AD375" s="20">
        <f>IF($J375="","출고일 미정",IF($P375="X","작지 미발행",IF($P375="부분","작지 일부 미발행",IF(AND($R375&lt;&gt;"",$R375&gt;$M375),"소재입고 마감("&amp;TEXT($M375,"MM/DD")&amp;") 초과",IF($P375="","발행여부 확인 필요",IF($R375="","소재 입고일정 확인 필요","정상"))))))</f>
        <v/>
      </c>
      <c r="AE375" s="19">
        <f>IF($J375="","",IF(OR(LEFT($AD375,2)="작지",LEFT($AD375,4)="소재입고"),IF(LEFT($G375,1)="A","★ 납기위험(A코드)","◆ 지연주의"),IF($AD375="정상","✓ 정상","? 확인필요")))</f>
        <v/>
      </c>
      <c r="AF375" s="21" t="n"/>
      <c r="AG375" s="28" t="n"/>
    </row>
    <row r="376">
      <c r="A376" s="19" t="n">
        <v>372</v>
      </c>
      <c r="B376" s="20" t="inlineStr">
        <is>
          <t>박술홍</t>
        </is>
      </c>
      <c r="C376" s="20" t="inlineStr">
        <is>
          <t>조이슬</t>
        </is>
      </c>
      <c r="D376" s="20" t="inlineStr">
        <is>
          <t>TLPNW27493</t>
        </is>
      </c>
      <c r="E376" s="20" t="inlineStr">
        <is>
          <t>남성 카고팬츠</t>
        </is>
      </c>
      <c r="F376" s="20" t="inlineStr">
        <is>
          <t>DEB/MUD</t>
        </is>
      </c>
      <c r="G376" s="19">
        <f>IF($D376="","",IF(MID($D376,5,1)="A","A(가을)",IF(MID($D376,5,1)="W","W(겨울)",IF(MID($D376,5,1)="X","X(사계절)",MID($D376,5,1)))))</f>
        <v/>
      </c>
      <c r="H376" s="19" t="n"/>
      <c r="I376" s="21" t="n"/>
      <c r="J376" s="22">
        <f>IF($I376="","",IFERROR(DATE(기준정보!$C$7,VALUE(LEFT($I376,FIND("월",$I376)-1)),1+7*(VALUE(SUBSTITUTE(MID($I376,FIND("월",$I376)+1,5),"주",""))-1)),""))</f>
        <v/>
      </c>
      <c r="K376" s="22">
        <f>IF($J376="","",IF(AND(ISNUMBER(SEARCH("미얀마",$U376)),$J376-기준정보!$C$5&gt;=기준정보!$C$8,$J376-기준정보!$C$5&lt;=기준정보!$C$9),기준정보!$C$8-1,IF(AND(ISNUMBER(SEARCH("인도네시아",$U376)),$J376-기준정보!$C$5&gt;=기준정보!$C$10,$J376-기준정보!$C$5&lt;=기준정보!$C$11),기준정보!$C$10-1,$J376-기준정보!$C$5)))</f>
        <v/>
      </c>
      <c r="L376" s="23">
        <f>IF($K376="","",IF(ISNUMBER(SEARCH("미얀마",$U376)),MAX(0,MIN($K376,기준정보!$C$9)-MAX($K376-기준정보!$C$6,기준정보!$C$8)+1),IF(ISNUMBER(SEARCH("인도네시아",$U376)),MAX(0,MIN($K376,기준정보!$C$11)-MAX($K376-기준정보!$C$6,기준정보!$C$10)+1),0)))</f>
        <v/>
      </c>
      <c r="M376" s="22">
        <f>IF($K376="","",$K376-기준정보!$C$6-$L376)</f>
        <v/>
      </c>
      <c r="N376" s="24">
        <f>IF($M376="","",$M376-기준정보!$C$4)</f>
        <v/>
      </c>
      <c r="O376" s="21" t="n"/>
      <c r="P376" s="21" t="n"/>
      <c r="Q376" s="21" t="n"/>
      <c r="R376" s="25" t="n"/>
      <c r="S376" s="20">
        <f>IF($H376="","",IF($H376="C","본사(소재팀)",IF($H376="완","생산처","확인 필요")))</f>
        <v/>
      </c>
      <c r="T376" s="20" t="inlineStr">
        <is>
          <t>YIC</t>
        </is>
      </c>
      <c r="U376" s="20" t="inlineStr">
        <is>
          <t>베트남</t>
        </is>
      </c>
      <c r="V376" s="20" t="n"/>
      <c r="W376" s="26" t="n"/>
      <c r="X376" s="26" t="n"/>
      <c r="Y376" s="22" t="n"/>
      <c r="Z376" s="27" t="n">
        <v>2000</v>
      </c>
      <c r="AA376" s="27" t="n">
        <v>92320000</v>
      </c>
      <c r="AB376" s="27" t="n">
        <v>396000000</v>
      </c>
      <c r="AC376" s="20" t="n"/>
      <c r="AD376" s="20">
        <f>IF($J376="","출고일 미정",IF($P376="X","작지 미발행",IF($P376="부분","작지 일부 미발행",IF(AND($R376&lt;&gt;"",$R376&gt;$M376),"소재입고 마감("&amp;TEXT($M376,"MM/DD")&amp;") 초과",IF($P376="","발행여부 확인 필요",IF($R376="","소재 입고일정 확인 필요","정상"))))))</f>
        <v/>
      </c>
      <c r="AE376" s="19">
        <f>IF($J376="","",IF(OR(LEFT($AD376,2)="작지",LEFT($AD376,4)="소재입고"),IF(LEFT($G376,1)="A","★ 납기위험(A코드)","◆ 지연주의"),IF($AD376="정상","✓ 정상","? 확인필요")))</f>
        <v/>
      </c>
      <c r="AF376" s="21" t="n"/>
      <c r="AG376" s="28" t="n"/>
    </row>
    <row r="377">
      <c r="A377" s="19" t="n">
        <v>373</v>
      </c>
      <c r="B377" s="20" t="inlineStr">
        <is>
          <t>이재헌</t>
        </is>
      </c>
      <c r="C377" s="20" t="inlineStr">
        <is>
          <t>정은진</t>
        </is>
      </c>
      <c r="D377" s="20" t="inlineStr">
        <is>
          <t>TNJDW27501</t>
        </is>
      </c>
      <c r="E377" s="20" t="inlineStr">
        <is>
          <t>남녀공용 튜브 넥리스 경량 다운 재킷</t>
        </is>
      </c>
      <c r="F377" s="20" t="inlineStr">
        <is>
          <t>MUD/DEB</t>
        </is>
      </c>
      <c r="G377" s="19">
        <f>IF($D377="","",IF(MID($D377,5,1)="A","A(가을)",IF(MID($D377,5,1)="W","W(겨울)",IF(MID($D377,5,1)="X","X(사계절)",MID($D377,5,1)))))</f>
        <v/>
      </c>
      <c r="H377" s="19" t="n"/>
      <c r="I377" s="21" t="n"/>
      <c r="J377" s="22">
        <f>IF($I377="","",IFERROR(DATE(기준정보!$C$7,VALUE(LEFT($I377,FIND("월",$I377)-1)),1+7*(VALUE(SUBSTITUTE(MID($I377,FIND("월",$I377)+1,5),"주",""))-1)),""))</f>
        <v/>
      </c>
      <c r="K377" s="22">
        <f>IF($J377="","",IF(AND(ISNUMBER(SEARCH("미얀마",$U377)),$J377-기준정보!$C$5&gt;=기준정보!$C$8,$J377-기준정보!$C$5&lt;=기준정보!$C$9),기준정보!$C$8-1,IF(AND(ISNUMBER(SEARCH("인도네시아",$U377)),$J377-기준정보!$C$5&gt;=기준정보!$C$10,$J377-기준정보!$C$5&lt;=기준정보!$C$11),기준정보!$C$10-1,$J377-기준정보!$C$5)))</f>
        <v/>
      </c>
      <c r="L377" s="23">
        <f>IF($K377="","",IF(ISNUMBER(SEARCH("미얀마",$U377)),MAX(0,MIN($K377,기준정보!$C$9)-MAX($K377-기준정보!$C$6,기준정보!$C$8)+1),IF(ISNUMBER(SEARCH("인도네시아",$U377)),MAX(0,MIN($K377,기준정보!$C$11)-MAX($K377-기준정보!$C$6,기준정보!$C$10)+1),0)))</f>
        <v/>
      </c>
      <c r="M377" s="22">
        <f>IF($K377="","",$K377-기준정보!$C$6-$L377)</f>
        <v/>
      </c>
      <c r="N377" s="24">
        <f>IF($M377="","",$M377-기준정보!$C$4)</f>
        <v/>
      </c>
      <c r="O377" s="21" t="n"/>
      <c r="P377" s="21" t="n"/>
      <c r="Q377" s="21" t="n"/>
      <c r="R377" s="25" t="n"/>
      <c r="S377" s="20">
        <f>IF($H377="","",IF($H377="C","본사(소재팀)",IF($H377="완","생산처","확인 필요")))</f>
        <v/>
      </c>
      <c r="T377" s="20" t="inlineStr">
        <is>
          <t>아이블</t>
        </is>
      </c>
      <c r="U377" s="20" t="inlineStr">
        <is>
          <t>베트남</t>
        </is>
      </c>
      <c r="V377" s="20" t="n"/>
      <c r="W377" s="26" t="n"/>
      <c r="X377" s="26" t="n"/>
      <c r="Y377" s="22" t="n"/>
      <c r="Z377" s="27" t="n">
        <v>3000</v>
      </c>
      <c r="AA377" s="27" t="n">
        <v>165000000</v>
      </c>
      <c r="AB377" s="27" t="n">
        <v>870000000</v>
      </c>
      <c r="AC377" s="20" t="n"/>
      <c r="AD377" s="20">
        <f>IF($J377="","출고일 미정",IF($P377="X","작지 미발행",IF($P377="부분","작지 일부 미발행",IF(AND($R377&lt;&gt;"",$R377&gt;$M377),"소재입고 마감("&amp;TEXT($M377,"MM/DD")&amp;") 초과",IF($P377="","발행여부 확인 필요",IF($R377="","소재 입고일정 확인 필요","정상"))))))</f>
        <v/>
      </c>
      <c r="AE377" s="19">
        <f>IF($J377="","",IF(OR(LEFT($AD377,2)="작지",LEFT($AD377,4)="소재입고"),IF(LEFT($G377,1)="A","★ 납기위험(A코드)","◆ 지연주의"),IF($AD377="정상","✓ 정상","? 확인필요")))</f>
        <v/>
      </c>
      <c r="AF377" s="21" t="n"/>
      <c r="AG377" s="28" t="n"/>
    </row>
    <row r="378">
      <c r="A378" s="19" t="n">
        <v>374</v>
      </c>
      <c r="B378" s="20" t="inlineStr">
        <is>
          <t>이재헌</t>
        </is>
      </c>
      <c r="C378" s="20" t="inlineStr">
        <is>
          <t>정은진</t>
        </is>
      </c>
      <c r="D378" s="20" t="inlineStr">
        <is>
          <t>TNJDW27531</t>
        </is>
      </c>
      <c r="E378" s="20" t="inlineStr">
        <is>
          <t>남녀공용 후드 경량 다운 재킷</t>
        </is>
      </c>
      <c r="F378" s="20" t="inlineStr">
        <is>
          <t>ABE/DOE/DEB</t>
        </is>
      </c>
      <c r="G378" s="19">
        <f>IF($D378="","",IF(MID($D378,5,1)="A","A(가을)",IF(MID($D378,5,1)="W","W(겨울)",IF(MID($D378,5,1)="X","X(사계절)",MID($D378,5,1)))))</f>
        <v/>
      </c>
      <c r="H378" s="19" t="n"/>
      <c r="I378" s="21" t="n"/>
      <c r="J378" s="22">
        <f>IF($I378="","",IFERROR(DATE(기준정보!$C$7,VALUE(LEFT($I378,FIND("월",$I378)-1)),1+7*(VALUE(SUBSTITUTE(MID($I378,FIND("월",$I378)+1,5),"주",""))-1)),""))</f>
        <v/>
      </c>
      <c r="K378" s="22">
        <f>IF($J378="","",IF(AND(ISNUMBER(SEARCH("미얀마",$U378)),$J378-기준정보!$C$5&gt;=기준정보!$C$8,$J378-기준정보!$C$5&lt;=기준정보!$C$9),기준정보!$C$8-1,IF(AND(ISNUMBER(SEARCH("인도네시아",$U378)),$J378-기준정보!$C$5&gt;=기준정보!$C$10,$J378-기준정보!$C$5&lt;=기준정보!$C$11),기준정보!$C$10-1,$J378-기준정보!$C$5)))</f>
        <v/>
      </c>
      <c r="L378" s="23">
        <f>IF($K378="","",IF(ISNUMBER(SEARCH("미얀마",$U378)),MAX(0,MIN($K378,기준정보!$C$9)-MAX($K378-기준정보!$C$6,기준정보!$C$8)+1),IF(ISNUMBER(SEARCH("인도네시아",$U378)),MAX(0,MIN($K378,기준정보!$C$11)-MAX($K378-기준정보!$C$6,기준정보!$C$10)+1),0)))</f>
        <v/>
      </c>
      <c r="M378" s="22">
        <f>IF($K378="","",$K378-기준정보!$C$6-$L378)</f>
        <v/>
      </c>
      <c r="N378" s="24">
        <f>IF($M378="","",$M378-기준정보!$C$4)</f>
        <v/>
      </c>
      <c r="O378" s="21" t="n"/>
      <c r="P378" s="21" t="n"/>
      <c r="Q378" s="21" t="n"/>
      <c r="R378" s="25" t="n"/>
      <c r="S378" s="20">
        <f>IF($H378="","",IF($H378="C","본사(소재팀)",IF($H378="완","생산처","확인 필요")))</f>
        <v/>
      </c>
      <c r="T378" s="20" t="inlineStr">
        <is>
          <t>원전</t>
        </is>
      </c>
      <c r="U378" s="20" t="inlineStr">
        <is>
          <t>인도네시아</t>
        </is>
      </c>
      <c r="V378" s="20" t="n"/>
      <c r="W378" s="26" t="n"/>
      <c r="X378" s="26" t="n"/>
      <c r="Y378" s="22" t="n"/>
      <c r="Z378" s="27" t="n"/>
      <c r="AA378" s="27" t="n"/>
      <c r="AB378" s="27" t="n"/>
      <c r="AC378" s="20" t="n"/>
      <c r="AD378" s="20">
        <f>IF($J378="","출고일 미정",IF($P378="X","작지 미발행",IF($P378="부분","작지 일부 미발행",IF(AND($R378&lt;&gt;"",$R378&gt;$M378),"소재입고 마감("&amp;TEXT($M378,"MM/DD")&amp;") 초과",IF($P378="","발행여부 확인 필요",IF($R378="","소재 입고일정 확인 필요","정상"))))))</f>
        <v/>
      </c>
      <c r="AE378" s="19">
        <f>IF($J378="","",IF(OR(LEFT($AD378,2)="작지",LEFT($AD378,4)="소재입고"),IF(LEFT($G378,1)="A","★ 납기위험(A코드)","◆ 지연주의"),IF($AD378="정상","✓ 정상","? 확인필요")))</f>
        <v/>
      </c>
      <c r="AF378" s="21" t="n"/>
      <c r="AG378" s="28" t="n"/>
    </row>
    <row r="379">
      <c r="A379" s="19" t="n">
        <v>375</v>
      </c>
      <c r="B379" s="20" t="inlineStr">
        <is>
          <t>이재헌</t>
        </is>
      </c>
      <c r="C379" s="20" t="inlineStr">
        <is>
          <t>정은진</t>
        </is>
      </c>
      <c r="D379" s="20" t="inlineStr">
        <is>
          <t>TNJDW27551</t>
        </is>
      </c>
      <c r="E379" s="20" t="inlineStr">
        <is>
          <t>남녀공용 UL 후드 헤비 다운 재킷</t>
        </is>
      </c>
      <c r="F379" s="20" t="inlineStr">
        <is>
          <t>MUS/DMS/DEB</t>
        </is>
      </c>
      <c r="G379" s="19">
        <f>IF($D379="","",IF(MID($D379,5,1)="A","A(가을)",IF(MID($D379,5,1)="W","W(겨울)",IF(MID($D379,5,1)="X","X(사계절)",MID($D379,5,1)))))</f>
        <v/>
      </c>
      <c r="H379" s="19" t="n"/>
      <c r="I379" s="21" t="n"/>
      <c r="J379" s="22">
        <f>IF($I379="","",IFERROR(DATE(기준정보!$C$7,VALUE(LEFT($I379,FIND("월",$I379)-1)),1+7*(VALUE(SUBSTITUTE(MID($I379,FIND("월",$I379)+1,5),"주",""))-1)),""))</f>
        <v/>
      </c>
      <c r="K379" s="22">
        <f>IF($J379="","",IF(AND(ISNUMBER(SEARCH("미얀마",$U379)),$J379-기준정보!$C$5&gt;=기준정보!$C$8,$J379-기준정보!$C$5&lt;=기준정보!$C$9),기준정보!$C$8-1,IF(AND(ISNUMBER(SEARCH("인도네시아",$U379)),$J379-기준정보!$C$5&gt;=기준정보!$C$10,$J379-기준정보!$C$5&lt;=기준정보!$C$11),기준정보!$C$10-1,$J379-기준정보!$C$5)))</f>
        <v/>
      </c>
      <c r="L379" s="23">
        <f>IF($K379="","",IF(ISNUMBER(SEARCH("미얀마",$U379)),MAX(0,MIN($K379,기준정보!$C$9)-MAX($K379-기준정보!$C$6,기준정보!$C$8)+1),IF(ISNUMBER(SEARCH("인도네시아",$U379)),MAX(0,MIN($K379,기준정보!$C$11)-MAX($K379-기준정보!$C$6,기준정보!$C$10)+1),0)))</f>
        <v/>
      </c>
      <c r="M379" s="22">
        <f>IF($K379="","",$K379-기준정보!$C$6-$L379)</f>
        <v/>
      </c>
      <c r="N379" s="24">
        <f>IF($M379="","",$M379-기준정보!$C$4)</f>
        <v/>
      </c>
      <c r="O379" s="21" t="n"/>
      <c r="P379" s="21" t="n"/>
      <c r="Q379" s="21" t="n"/>
      <c r="R379" s="25" t="n"/>
      <c r="S379" s="20">
        <f>IF($H379="","",IF($H379="C","본사(소재팀)",IF($H379="완","생산처","확인 필요")))</f>
        <v/>
      </c>
      <c r="T379" s="20" t="inlineStr">
        <is>
          <t>원전</t>
        </is>
      </c>
      <c r="U379" s="20" t="inlineStr">
        <is>
          <t>인도네시아</t>
        </is>
      </c>
      <c r="V379" s="20" t="n"/>
      <c r="W379" s="26" t="n"/>
      <c r="X379" s="26" t="n"/>
      <c r="Y379" s="22" t="n"/>
      <c r="Z379" s="27" t="n">
        <v>5000</v>
      </c>
      <c r="AA379" s="27" t="n">
        <v>550000000</v>
      </c>
      <c r="AB379" s="27" t="n">
        <v>2750000000</v>
      </c>
      <c r="AC379" s="20" t="n"/>
      <c r="AD379" s="20">
        <f>IF($J379="","출고일 미정",IF($P379="X","작지 미발행",IF($P379="부분","작지 일부 미발행",IF(AND($R379&lt;&gt;"",$R379&gt;$M379),"소재입고 마감("&amp;TEXT($M379,"MM/DD")&amp;") 초과",IF($P379="","발행여부 확인 필요",IF($R379="","소재 입고일정 확인 필요","정상"))))))</f>
        <v/>
      </c>
      <c r="AE379" s="19">
        <f>IF($J379="","",IF(OR(LEFT($AD379,2)="작지",LEFT($AD379,4)="소재입고"),IF(LEFT($G379,1)="A","★ 납기위험(A코드)","◆ 지연주의"),IF($AD379="정상","✓ 정상","? 확인필요")))</f>
        <v/>
      </c>
      <c r="AF379" s="21" t="n"/>
      <c r="AG379" s="28" t="n"/>
    </row>
    <row r="380">
      <c r="A380" s="19" t="n">
        <v>376</v>
      </c>
      <c r="B380" s="20" t="inlineStr">
        <is>
          <t>박진아</t>
        </is>
      </c>
      <c r="C380" s="20" t="inlineStr">
        <is>
          <t>권혁일</t>
        </is>
      </c>
      <c r="D380" s="20" t="inlineStr">
        <is>
          <t>TVIBW27402</t>
        </is>
      </c>
      <c r="E380" s="20" t="inlineStr">
        <is>
          <t>여성 트라이자 슬림핏 베이스레이어 하의</t>
        </is>
      </c>
      <c r="F380" s="20" t="inlineStr">
        <is>
          <t>CO1/CO2</t>
        </is>
      </c>
      <c r="G380" s="19">
        <f>IF($D380="","",IF(MID($D380,5,1)="A","A(가을)",IF(MID($D380,5,1)="W","W(겨울)",IF(MID($D380,5,1)="X","X(사계절)",MID($D380,5,1)))))</f>
        <v/>
      </c>
      <c r="H380" s="19" t="n"/>
      <c r="I380" s="21" t="n"/>
      <c r="J380" s="22">
        <f>IF($I380="","",IFERROR(DATE(기준정보!$C$7,VALUE(LEFT($I380,FIND("월",$I380)-1)),1+7*(VALUE(SUBSTITUTE(MID($I380,FIND("월",$I380)+1,5),"주",""))-1)),""))</f>
        <v/>
      </c>
      <c r="K380" s="22">
        <f>IF($J380="","",IF(AND(ISNUMBER(SEARCH("미얀마",$U380)),$J380-기준정보!$C$5&gt;=기준정보!$C$8,$J380-기준정보!$C$5&lt;=기준정보!$C$9),기준정보!$C$8-1,IF(AND(ISNUMBER(SEARCH("인도네시아",$U380)),$J380-기준정보!$C$5&gt;=기준정보!$C$10,$J380-기준정보!$C$5&lt;=기준정보!$C$11),기준정보!$C$10-1,$J380-기준정보!$C$5)))</f>
        <v/>
      </c>
      <c r="L380" s="23">
        <f>IF($K380="","",IF(ISNUMBER(SEARCH("미얀마",$U380)),MAX(0,MIN($K380,기준정보!$C$9)-MAX($K380-기준정보!$C$6,기준정보!$C$8)+1),IF(ISNUMBER(SEARCH("인도네시아",$U380)),MAX(0,MIN($K380,기준정보!$C$11)-MAX($K380-기준정보!$C$6,기준정보!$C$10)+1),0)))</f>
        <v/>
      </c>
      <c r="M380" s="22">
        <f>IF($K380="","",$K380-기준정보!$C$6-$L380)</f>
        <v/>
      </c>
      <c r="N380" s="24">
        <f>IF($M380="","",$M380-기준정보!$C$4)</f>
        <v/>
      </c>
      <c r="O380" s="21" t="n"/>
      <c r="P380" s="21" t="n"/>
      <c r="Q380" s="21" t="n"/>
      <c r="R380" s="25" t="n"/>
      <c r="S380" s="20">
        <f>IF($H380="","",IF($H380="C","본사(소재팀)",IF($H380="완","생산처","확인 필요")))</f>
        <v/>
      </c>
      <c r="T380" s="20" t="inlineStr">
        <is>
          <t>IKG</t>
        </is>
      </c>
      <c r="U380" s="20" t="inlineStr">
        <is>
          <t>인도네시아</t>
        </is>
      </c>
      <c r="V380" s="20" t="n"/>
      <c r="W380" s="26" t="n"/>
      <c r="X380" s="26" t="n"/>
      <c r="Y380" s="22" t="n"/>
      <c r="Z380" s="27" t="n">
        <v>500</v>
      </c>
      <c r="AA380" s="27" t="n">
        <v>6713500</v>
      </c>
      <c r="AB380" s="27" t="n">
        <v>39000000</v>
      </c>
      <c r="AC380" s="20" t="n"/>
      <c r="AD380" s="20">
        <f>IF($J380="","출고일 미정",IF($P380="X","작지 미발행",IF($P380="부분","작지 일부 미발행",IF(AND($R380&lt;&gt;"",$R380&gt;$M380),"소재입고 마감("&amp;TEXT($M380,"MM/DD")&amp;") 초과",IF($P380="","발행여부 확인 필요",IF($R380="","소재 입고일정 확인 필요","정상"))))))</f>
        <v/>
      </c>
      <c r="AE380" s="19">
        <f>IF($J380="","",IF(OR(LEFT($AD380,2)="작지",LEFT($AD380,4)="소재입고"),IF(LEFT($G380,1)="A","★ 납기위험(A코드)","◆ 지연주의"),IF($AD380="정상","✓ 정상","? 확인필요")))</f>
        <v/>
      </c>
      <c r="AF380" s="21" t="n"/>
      <c r="AG380" s="28" t="n"/>
    </row>
    <row r="381">
      <c r="A381" s="19" t="n">
        <v>377</v>
      </c>
      <c r="B381" s="20" t="inlineStr">
        <is>
          <t>박진아</t>
        </is>
      </c>
      <c r="C381" s="20" t="inlineStr">
        <is>
          <t>권혁일</t>
        </is>
      </c>
      <c r="D381" s="20" t="inlineStr">
        <is>
          <t>TVICW27402</t>
        </is>
      </c>
      <c r="E381" s="20" t="inlineStr">
        <is>
          <t>여성 트라이자 슬림핏 긴팔 베이스레이어 상의</t>
        </is>
      </c>
      <c r="F381" s="20" t="inlineStr">
        <is>
          <t>CO1/CO2</t>
        </is>
      </c>
      <c r="G381" s="19">
        <f>IF($D381="","",IF(MID($D381,5,1)="A","A(가을)",IF(MID($D381,5,1)="W","W(겨울)",IF(MID($D381,5,1)="X","X(사계절)",MID($D381,5,1)))))</f>
        <v/>
      </c>
      <c r="H381" s="19" t="n"/>
      <c r="I381" s="21" t="n"/>
      <c r="J381" s="22">
        <f>IF($I381="","",IFERROR(DATE(기준정보!$C$7,VALUE(LEFT($I381,FIND("월",$I381)-1)),1+7*(VALUE(SUBSTITUTE(MID($I381,FIND("월",$I381)+1,5),"주",""))-1)),""))</f>
        <v/>
      </c>
      <c r="K381" s="22">
        <f>IF($J381="","",IF(AND(ISNUMBER(SEARCH("미얀마",$U381)),$J381-기준정보!$C$5&gt;=기준정보!$C$8,$J381-기준정보!$C$5&lt;=기준정보!$C$9),기준정보!$C$8-1,IF(AND(ISNUMBER(SEARCH("인도네시아",$U381)),$J381-기준정보!$C$5&gt;=기준정보!$C$10,$J381-기준정보!$C$5&lt;=기준정보!$C$11),기준정보!$C$10-1,$J381-기준정보!$C$5)))</f>
        <v/>
      </c>
      <c r="L381" s="23">
        <f>IF($K381="","",IF(ISNUMBER(SEARCH("미얀마",$U381)),MAX(0,MIN($K381,기준정보!$C$9)-MAX($K381-기준정보!$C$6,기준정보!$C$8)+1),IF(ISNUMBER(SEARCH("인도네시아",$U381)),MAX(0,MIN($K381,기준정보!$C$11)-MAX($K381-기준정보!$C$6,기준정보!$C$10)+1),0)))</f>
        <v/>
      </c>
      <c r="M381" s="22">
        <f>IF($K381="","",$K381-기준정보!$C$6-$L381)</f>
        <v/>
      </c>
      <c r="N381" s="24">
        <f>IF($M381="","",$M381-기준정보!$C$4)</f>
        <v/>
      </c>
      <c r="O381" s="21" t="n"/>
      <c r="P381" s="21" t="n"/>
      <c r="Q381" s="21" t="n"/>
      <c r="R381" s="25" t="n"/>
      <c r="S381" s="20">
        <f>IF($H381="","",IF($H381="C","본사(소재팀)",IF($H381="완","생산처","확인 필요")))</f>
        <v/>
      </c>
      <c r="T381" s="20" t="inlineStr">
        <is>
          <t>IKG</t>
        </is>
      </c>
      <c r="U381" s="20" t="inlineStr">
        <is>
          <t>인도네시아</t>
        </is>
      </c>
      <c r="V381" s="20" t="n"/>
      <c r="W381" s="26" t="n"/>
      <c r="X381" s="26" t="n"/>
      <c r="Y381" s="22" t="n"/>
      <c r="Z381" s="27" t="n">
        <v>450</v>
      </c>
      <c r="AA381" s="27" t="n">
        <v>6458400</v>
      </c>
      <c r="AB381" s="27" t="n">
        <v>39600000</v>
      </c>
      <c r="AC381" s="20" t="n"/>
      <c r="AD381" s="20">
        <f>IF($J381="","출고일 미정",IF($P381="X","작지 미발행",IF($P381="부분","작지 일부 미발행",IF(AND($R381&lt;&gt;"",$R381&gt;$M381),"소재입고 마감("&amp;TEXT($M381,"MM/DD")&amp;") 초과",IF($P381="","발행여부 확인 필요",IF($R381="","소재 입고일정 확인 필요","정상"))))))</f>
        <v/>
      </c>
      <c r="AE381" s="19">
        <f>IF($J381="","",IF(OR(LEFT($AD381,2)="작지",LEFT($AD381,4)="소재입고"),IF(LEFT($G381,1)="A","★ 납기위험(A코드)","◆ 지연주의"),IF($AD381="정상","✓ 정상","? 확인필요")))</f>
        <v/>
      </c>
      <c r="AF381" s="21" t="n"/>
      <c r="AG381" s="28" t="n"/>
    </row>
    <row r="382">
      <c r="A382" s="19" t="n">
        <v>378</v>
      </c>
      <c r="B382" s="20" t="inlineStr">
        <is>
          <t>박지인</t>
        </is>
      </c>
      <c r="C382" s="20" t="inlineStr">
        <is>
          <t>정은진</t>
        </is>
      </c>
      <c r="D382" s="20" t="inlineStr">
        <is>
          <t>TVJDW27502</t>
        </is>
      </c>
      <c r="E382" s="20" t="inlineStr">
        <is>
          <t>여성 스탠드넥 튜브 다운 재킷</t>
        </is>
      </c>
      <c r="F382" s="20" t="inlineStr">
        <is>
          <t>ALI/MID</t>
        </is>
      </c>
      <c r="G382" s="19">
        <f>IF($D382="","",IF(MID($D382,5,1)="A","A(가을)",IF(MID($D382,5,1)="W","W(겨울)",IF(MID($D382,5,1)="X","X(사계절)",MID($D382,5,1)))))</f>
        <v/>
      </c>
      <c r="H382" s="19" t="n"/>
      <c r="I382" s="21" t="n"/>
      <c r="J382" s="22">
        <f>IF($I382="","",IFERROR(DATE(기준정보!$C$7,VALUE(LEFT($I382,FIND("월",$I382)-1)),1+7*(VALUE(SUBSTITUTE(MID($I382,FIND("월",$I382)+1,5),"주",""))-1)),""))</f>
        <v/>
      </c>
      <c r="K382" s="22">
        <f>IF($J382="","",IF(AND(ISNUMBER(SEARCH("미얀마",$U382)),$J382-기준정보!$C$5&gt;=기준정보!$C$8,$J382-기준정보!$C$5&lt;=기준정보!$C$9),기준정보!$C$8-1,IF(AND(ISNUMBER(SEARCH("인도네시아",$U382)),$J382-기준정보!$C$5&gt;=기준정보!$C$10,$J382-기준정보!$C$5&lt;=기준정보!$C$11),기준정보!$C$10-1,$J382-기준정보!$C$5)))</f>
        <v/>
      </c>
      <c r="L382" s="23">
        <f>IF($K382="","",IF(ISNUMBER(SEARCH("미얀마",$U382)),MAX(0,MIN($K382,기준정보!$C$9)-MAX($K382-기준정보!$C$6,기준정보!$C$8)+1),IF(ISNUMBER(SEARCH("인도네시아",$U382)),MAX(0,MIN($K382,기준정보!$C$11)-MAX($K382-기준정보!$C$6,기준정보!$C$10)+1),0)))</f>
        <v/>
      </c>
      <c r="M382" s="22">
        <f>IF($K382="","",$K382-기준정보!$C$6-$L382)</f>
        <v/>
      </c>
      <c r="N382" s="24">
        <f>IF($M382="","",$M382-기준정보!$C$4)</f>
        <v/>
      </c>
      <c r="O382" s="21" t="n"/>
      <c r="P382" s="21" t="n"/>
      <c r="Q382" s="21" t="n"/>
      <c r="R382" s="25" t="n"/>
      <c r="S382" s="20">
        <f>IF($H382="","",IF($H382="C","본사(소재팀)",IF($H382="완","생산처","확인 필요")))</f>
        <v/>
      </c>
      <c r="T382" s="20" t="inlineStr">
        <is>
          <t>아이블</t>
        </is>
      </c>
      <c r="U382" s="20" t="inlineStr">
        <is>
          <t>베트남</t>
        </is>
      </c>
      <c r="V382" s="20" t="n"/>
      <c r="W382" s="26" t="n"/>
      <c r="X382" s="26" t="n"/>
      <c r="Y382" s="22" t="n"/>
      <c r="Z382" s="27" t="n">
        <v>5000</v>
      </c>
      <c r="AA382" s="27" t="n">
        <v>374065000</v>
      </c>
      <c r="AB382" s="27" t="n">
        <v>1600000000</v>
      </c>
      <c r="AC382" s="20" t="n"/>
      <c r="AD382" s="20">
        <f>IF($J382="","출고일 미정",IF($P382="X","작지 미발행",IF($P382="부분","작지 일부 미발행",IF(AND($R382&lt;&gt;"",$R382&gt;$M382),"소재입고 마감("&amp;TEXT($M382,"MM/DD")&amp;") 초과",IF($P382="","발행여부 확인 필요",IF($R382="","소재 입고일정 확인 필요","정상"))))))</f>
        <v/>
      </c>
      <c r="AE382" s="19">
        <f>IF($J382="","",IF(OR(LEFT($AD382,2)="작지",LEFT($AD382,4)="소재입고"),IF(LEFT($G382,1)="A","★ 납기위험(A코드)","◆ 지연주의"),IF($AD382="정상","✓ 정상","? 확인필요")))</f>
        <v/>
      </c>
      <c r="AF382" s="21" t="n"/>
      <c r="AG382" s="28" t="n"/>
    </row>
    <row r="383">
      <c r="A383" s="19" t="n">
        <v>379</v>
      </c>
      <c r="B383" s="20" t="inlineStr">
        <is>
          <t>박지인</t>
        </is>
      </c>
      <c r="C383" s="20" t="inlineStr">
        <is>
          <t>정은진</t>
        </is>
      </c>
      <c r="D383" s="20" t="inlineStr">
        <is>
          <t>TVJDW27504</t>
        </is>
      </c>
      <c r="E383" s="20" t="inlineStr">
        <is>
          <t>여성 중기장 디테쳐블 후드 다운 재킷</t>
        </is>
      </c>
      <c r="F383" s="20" t="inlineStr">
        <is>
          <t>CTP/MID</t>
        </is>
      </c>
      <c r="G383" s="19">
        <f>IF($D383="","",IF(MID($D383,5,1)="A","A(가을)",IF(MID($D383,5,1)="W","W(겨울)",IF(MID($D383,5,1)="X","X(사계절)",MID($D383,5,1)))))</f>
        <v/>
      </c>
      <c r="H383" s="19" t="n"/>
      <c r="I383" s="21" t="n"/>
      <c r="J383" s="22">
        <f>IF($I383="","",IFERROR(DATE(기준정보!$C$7,VALUE(LEFT($I383,FIND("월",$I383)-1)),1+7*(VALUE(SUBSTITUTE(MID($I383,FIND("월",$I383)+1,5),"주",""))-1)),""))</f>
        <v/>
      </c>
      <c r="K383" s="22">
        <f>IF($J383="","",IF(AND(ISNUMBER(SEARCH("미얀마",$U383)),$J383-기준정보!$C$5&gt;=기준정보!$C$8,$J383-기준정보!$C$5&lt;=기준정보!$C$9),기준정보!$C$8-1,IF(AND(ISNUMBER(SEARCH("인도네시아",$U383)),$J383-기준정보!$C$5&gt;=기준정보!$C$10,$J383-기준정보!$C$5&lt;=기준정보!$C$11),기준정보!$C$10-1,$J383-기준정보!$C$5)))</f>
        <v/>
      </c>
      <c r="L383" s="23">
        <f>IF($K383="","",IF(ISNUMBER(SEARCH("미얀마",$U383)),MAX(0,MIN($K383,기준정보!$C$9)-MAX($K383-기준정보!$C$6,기준정보!$C$8)+1),IF(ISNUMBER(SEARCH("인도네시아",$U383)),MAX(0,MIN($K383,기준정보!$C$11)-MAX($K383-기준정보!$C$6,기준정보!$C$10)+1),0)))</f>
        <v/>
      </c>
      <c r="M383" s="22">
        <f>IF($K383="","",$K383-기준정보!$C$6-$L383)</f>
        <v/>
      </c>
      <c r="N383" s="24">
        <f>IF($M383="","",$M383-기준정보!$C$4)</f>
        <v/>
      </c>
      <c r="O383" s="21" t="n"/>
      <c r="P383" s="21" t="n"/>
      <c r="Q383" s="21" t="n"/>
      <c r="R383" s="25" t="n"/>
      <c r="S383" s="20">
        <f>IF($H383="","",IF($H383="C","본사(소재팀)",IF($H383="완","생산처","확인 필요")))</f>
        <v/>
      </c>
      <c r="T383" s="20" t="inlineStr">
        <is>
          <t>아이블</t>
        </is>
      </c>
      <c r="U383" s="20" t="inlineStr">
        <is>
          <t>베트남</t>
        </is>
      </c>
      <c r="V383" s="20" t="n"/>
      <c r="W383" s="26" t="n"/>
      <c r="X383" s="26" t="n"/>
      <c r="Y383" s="22" t="n"/>
      <c r="Z383" s="27" t="n">
        <v>4000</v>
      </c>
      <c r="AA383" s="27" t="n">
        <v>371220000</v>
      </c>
      <c r="AB383" s="27" t="n">
        <v>1560000000</v>
      </c>
      <c r="AC383" s="20" t="n"/>
      <c r="AD383" s="20">
        <f>IF($J383="","출고일 미정",IF($P383="X","작지 미발행",IF($P383="부분","작지 일부 미발행",IF(AND($R383&lt;&gt;"",$R383&gt;$M383),"소재입고 마감("&amp;TEXT($M383,"MM/DD")&amp;") 초과",IF($P383="","발행여부 확인 필요",IF($R383="","소재 입고일정 확인 필요","정상"))))))</f>
        <v/>
      </c>
      <c r="AE383" s="19">
        <f>IF($J383="","",IF(OR(LEFT($AD383,2)="작지",LEFT($AD383,4)="소재입고"),IF(LEFT($G383,1)="A","★ 납기위험(A코드)","◆ 지연주의"),IF($AD383="정상","✓ 정상","? 확인필요")))</f>
        <v/>
      </c>
      <c r="AF383" s="21" t="n"/>
      <c r="AG383" s="28" t="n"/>
    </row>
    <row r="384">
      <c r="A384" s="19" t="n">
        <v>380</v>
      </c>
      <c r="B384" s="20" t="inlineStr">
        <is>
          <t>박지인</t>
        </is>
      </c>
      <c r="C384" s="20" t="inlineStr">
        <is>
          <t>정은진</t>
        </is>
      </c>
      <c r="D384" s="20" t="inlineStr">
        <is>
          <t>TVJDW27512</t>
        </is>
      </c>
      <c r="E384" s="20" t="inlineStr">
        <is>
          <t>여성 발키리 경량 다운 재킷</t>
        </is>
      </c>
      <c r="F384" s="20" t="inlineStr">
        <is>
          <t>ECR/DEB</t>
        </is>
      </c>
      <c r="G384" s="19">
        <f>IF($D384="","",IF(MID($D384,5,1)="A","A(가을)",IF(MID($D384,5,1)="W","W(겨울)",IF(MID($D384,5,1)="X","X(사계절)",MID($D384,5,1)))))</f>
        <v/>
      </c>
      <c r="H384" s="19" t="n"/>
      <c r="I384" s="21" t="n"/>
      <c r="J384" s="22">
        <f>IF($I384="","",IFERROR(DATE(기준정보!$C$7,VALUE(LEFT($I384,FIND("월",$I384)-1)),1+7*(VALUE(SUBSTITUTE(MID($I384,FIND("월",$I384)+1,5),"주",""))-1)),""))</f>
        <v/>
      </c>
      <c r="K384" s="22">
        <f>IF($J384="","",IF(AND(ISNUMBER(SEARCH("미얀마",$U384)),$J384-기준정보!$C$5&gt;=기준정보!$C$8,$J384-기준정보!$C$5&lt;=기준정보!$C$9),기준정보!$C$8-1,IF(AND(ISNUMBER(SEARCH("인도네시아",$U384)),$J384-기준정보!$C$5&gt;=기준정보!$C$10,$J384-기준정보!$C$5&lt;=기준정보!$C$11),기준정보!$C$10-1,$J384-기준정보!$C$5)))</f>
        <v/>
      </c>
      <c r="L384" s="23">
        <f>IF($K384="","",IF(ISNUMBER(SEARCH("미얀마",$U384)),MAX(0,MIN($K384,기준정보!$C$9)-MAX($K384-기준정보!$C$6,기준정보!$C$8)+1),IF(ISNUMBER(SEARCH("인도네시아",$U384)),MAX(0,MIN($K384,기준정보!$C$11)-MAX($K384-기준정보!$C$6,기준정보!$C$10)+1),0)))</f>
        <v/>
      </c>
      <c r="M384" s="22">
        <f>IF($K384="","",$K384-기준정보!$C$6-$L384)</f>
        <v/>
      </c>
      <c r="N384" s="24">
        <f>IF($M384="","",$M384-기준정보!$C$4)</f>
        <v/>
      </c>
      <c r="O384" s="21" t="n"/>
      <c r="P384" s="21" t="n"/>
      <c r="Q384" s="21" t="n"/>
      <c r="R384" s="25" t="n"/>
      <c r="S384" s="20">
        <f>IF($H384="","",IF($H384="C","본사(소재팀)",IF($H384="완","생산처","확인 필요")))</f>
        <v/>
      </c>
      <c r="T384" s="20" t="inlineStr">
        <is>
          <t>원전</t>
        </is>
      </c>
      <c r="U384" s="20" t="inlineStr">
        <is>
          <t>인도네시아</t>
        </is>
      </c>
      <c r="V384" s="20" t="n"/>
      <c r="W384" s="26" t="n"/>
      <c r="X384" s="26" t="n"/>
      <c r="Y384" s="22" t="n"/>
      <c r="Z384" s="27" t="n">
        <v>2500</v>
      </c>
      <c r="AA384" s="27" t="n">
        <v>196235000</v>
      </c>
      <c r="AB384" s="27" t="n">
        <v>875000000</v>
      </c>
      <c r="AC384" s="20" t="n"/>
      <c r="AD384" s="20">
        <f>IF($J384="","출고일 미정",IF($P384="X","작지 미발행",IF($P384="부분","작지 일부 미발행",IF(AND($R384&lt;&gt;"",$R384&gt;$M384),"소재입고 마감("&amp;TEXT($M384,"MM/DD")&amp;") 초과",IF($P384="","발행여부 확인 필요",IF($R384="","소재 입고일정 확인 필요","정상"))))))</f>
        <v/>
      </c>
      <c r="AE384" s="19">
        <f>IF($J384="","",IF(OR(LEFT($AD384,2)="작지",LEFT($AD384,4)="소재입고"),IF(LEFT($G384,1)="A","★ 납기위험(A코드)","◆ 지연주의"),IF($AD384="정상","✓ 정상","? 확인필요")))</f>
        <v/>
      </c>
      <c r="AF384" s="21" t="n"/>
      <c r="AG384" s="28" t="n"/>
    </row>
    <row r="385">
      <c r="A385" s="19" t="n">
        <v>381</v>
      </c>
      <c r="B385" s="20" t="inlineStr">
        <is>
          <t>박지인</t>
        </is>
      </c>
      <c r="C385" s="20" t="inlineStr">
        <is>
          <t>정은진</t>
        </is>
      </c>
      <c r="D385" s="20" t="inlineStr">
        <is>
          <t>TVJDW27522</t>
        </is>
      </c>
      <c r="E385" s="20" t="inlineStr">
        <is>
          <t>여성 에그라이트 스탠드넥 경량 다운 재킷</t>
        </is>
      </c>
      <c r="F385" s="20" t="inlineStr">
        <is>
          <t>ABU/DTL</t>
        </is>
      </c>
      <c r="G385" s="19">
        <f>IF($D385="","",IF(MID($D385,5,1)="A","A(가을)",IF(MID($D385,5,1)="W","W(겨울)",IF(MID($D385,5,1)="X","X(사계절)",MID($D385,5,1)))))</f>
        <v/>
      </c>
      <c r="H385" s="19" t="n"/>
      <c r="I385" s="21" t="n"/>
      <c r="J385" s="22">
        <f>IF($I385="","",IFERROR(DATE(기준정보!$C$7,VALUE(LEFT($I385,FIND("월",$I385)-1)),1+7*(VALUE(SUBSTITUTE(MID($I385,FIND("월",$I385)+1,5),"주",""))-1)),""))</f>
        <v/>
      </c>
      <c r="K385" s="22">
        <f>IF($J385="","",IF(AND(ISNUMBER(SEARCH("미얀마",$U385)),$J385-기준정보!$C$5&gt;=기준정보!$C$8,$J385-기준정보!$C$5&lt;=기준정보!$C$9),기준정보!$C$8-1,IF(AND(ISNUMBER(SEARCH("인도네시아",$U385)),$J385-기준정보!$C$5&gt;=기준정보!$C$10,$J385-기준정보!$C$5&lt;=기준정보!$C$11),기준정보!$C$10-1,$J385-기준정보!$C$5)))</f>
        <v/>
      </c>
      <c r="L385" s="23">
        <f>IF($K385="","",IF(ISNUMBER(SEARCH("미얀마",$U385)),MAX(0,MIN($K385,기준정보!$C$9)-MAX($K385-기준정보!$C$6,기준정보!$C$8)+1),IF(ISNUMBER(SEARCH("인도네시아",$U385)),MAX(0,MIN($K385,기준정보!$C$11)-MAX($K385-기준정보!$C$6,기준정보!$C$10)+1),0)))</f>
        <v/>
      </c>
      <c r="M385" s="22">
        <f>IF($K385="","",$K385-기준정보!$C$6-$L385)</f>
        <v/>
      </c>
      <c r="N385" s="24">
        <f>IF($M385="","",$M385-기준정보!$C$4)</f>
        <v/>
      </c>
      <c r="O385" s="21" t="n"/>
      <c r="P385" s="21" t="n"/>
      <c r="Q385" s="21" t="n"/>
      <c r="R385" s="25" t="n"/>
      <c r="S385" s="20">
        <f>IF($H385="","",IF($H385="C","본사(소재팀)",IF($H385="완","생산처","확인 필요")))</f>
        <v/>
      </c>
      <c r="T385" s="20" t="inlineStr">
        <is>
          <t>포마트</t>
        </is>
      </c>
      <c r="U385" s="20" t="inlineStr">
        <is>
          <t>베트남</t>
        </is>
      </c>
      <c r="V385" s="20" t="n"/>
      <c r="W385" s="26" t="n"/>
      <c r="X385" s="26" t="n"/>
      <c r="Y385" s="22" t="n"/>
      <c r="Z385" s="27" t="n">
        <v>4000</v>
      </c>
      <c r="AA385" s="27" t="n">
        <v>270488000</v>
      </c>
      <c r="AB385" s="27" t="n">
        <v>1560000000</v>
      </c>
      <c r="AC385" s="20" t="n"/>
      <c r="AD385" s="20">
        <f>IF($J385="","출고일 미정",IF($P385="X","작지 미발행",IF($P385="부분","작지 일부 미발행",IF(AND($R385&lt;&gt;"",$R385&gt;$M385),"소재입고 마감("&amp;TEXT($M385,"MM/DD")&amp;") 초과",IF($P385="","발행여부 확인 필요",IF($R385="","소재 입고일정 확인 필요","정상"))))))</f>
        <v/>
      </c>
      <c r="AE385" s="19">
        <f>IF($J385="","",IF(OR(LEFT($AD385,2)="작지",LEFT($AD385,4)="소재입고"),IF(LEFT($G385,1)="A","★ 납기위험(A코드)","◆ 지연주의"),IF($AD385="정상","✓ 정상","? 확인필요")))</f>
        <v/>
      </c>
      <c r="AF385" s="21" t="n"/>
      <c r="AG385" s="28" t="n"/>
    </row>
    <row r="386">
      <c r="A386" s="19" t="n">
        <v>382</v>
      </c>
      <c r="B386" s="20" t="inlineStr">
        <is>
          <t>박지인</t>
        </is>
      </c>
      <c r="C386" s="20" t="inlineStr">
        <is>
          <t>정은진</t>
        </is>
      </c>
      <c r="D386" s="20" t="inlineStr">
        <is>
          <t>TVJDW27524</t>
        </is>
      </c>
      <c r="E386" s="20" t="inlineStr">
        <is>
          <t>여성 에그라이트 후드형 경량 다운 재킷</t>
        </is>
      </c>
      <c r="F386" s="20" t="inlineStr">
        <is>
          <t>OAT/LPI/DEB</t>
        </is>
      </c>
      <c r="G386" s="19">
        <f>IF($D386="","",IF(MID($D386,5,1)="A","A(가을)",IF(MID($D386,5,1)="W","W(겨울)",IF(MID($D386,5,1)="X","X(사계절)",MID($D386,5,1)))))</f>
        <v/>
      </c>
      <c r="H386" s="19" t="n"/>
      <c r="I386" s="21" t="n"/>
      <c r="J386" s="22">
        <f>IF($I386="","",IFERROR(DATE(기준정보!$C$7,VALUE(LEFT($I386,FIND("월",$I386)-1)),1+7*(VALUE(SUBSTITUTE(MID($I386,FIND("월",$I386)+1,5),"주",""))-1)),""))</f>
        <v/>
      </c>
      <c r="K386" s="22">
        <f>IF($J386="","",IF(AND(ISNUMBER(SEARCH("미얀마",$U386)),$J386-기준정보!$C$5&gt;=기준정보!$C$8,$J386-기준정보!$C$5&lt;=기준정보!$C$9),기준정보!$C$8-1,IF(AND(ISNUMBER(SEARCH("인도네시아",$U386)),$J386-기준정보!$C$5&gt;=기준정보!$C$10,$J386-기준정보!$C$5&lt;=기준정보!$C$11),기준정보!$C$10-1,$J386-기준정보!$C$5)))</f>
        <v/>
      </c>
      <c r="L386" s="23">
        <f>IF($K386="","",IF(ISNUMBER(SEARCH("미얀마",$U386)),MAX(0,MIN($K386,기준정보!$C$9)-MAX($K386-기준정보!$C$6,기준정보!$C$8)+1),IF(ISNUMBER(SEARCH("인도네시아",$U386)),MAX(0,MIN($K386,기준정보!$C$11)-MAX($K386-기준정보!$C$6,기준정보!$C$10)+1),0)))</f>
        <v/>
      </c>
      <c r="M386" s="22">
        <f>IF($K386="","",$K386-기준정보!$C$6-$L386)</f>
        <v/>
      </c>
      <c r="N386" s="24">
        <f>IF($M386="","",$M386-기준정보!$C$4)</f>
        <v/>
      </c>
      <c r="O386" s="21" t="n"/>
      <c r="P386" s="21" t="n"/>
      <c r="Q386" s="21" t="n"/>
      <c r="R386" s="25" t="n"/>
      <c r="S386" s="20">
        <f>IF($H386="","",IF($H386="C","본사(소재팀)",IF($H386="완","생산처","확인 필요")))</f>
        <v/>
      </c>
      <c r="T386" s="20" t="inlineStr">
        <is>
          <t>포마트</t>
        </is>
      </c>
      <c r="U386" s="20" t="inlineStr">
        <is>
          <t>베트남</t>
        </is>
      </c>
      <c r="V386" s="20" t="n"/>
      <c r="W386" s="26" t="n"/>
      <c r="X386" s="26" t="n"/>
      <c r="Y386" s="22" t="n"/>
      <c r="Z386" s="27" t="n">
        <v>6000</v>
      </c>
      <c r="AA386" s="27" t="n">
        <v>445740000</v>
      </c>
      <c r="AB386" s="27" t="n">
        <v>2520000000</v>
      </c>
      <c r="AC386" s="20" t="n"/>
      <c r="AD386" s="20">
        <f>IF($J386="","출고일 미정",IF($P386="X","작지 미발행",IF($P386="부분","작지 일부 미발행",IF(AND($R386&lt;&gt;"",$R386&gt;$M386),"소재입고 마감("&amp;TEXT($M386,"MM/DD")&amp;") 초과",IF($P386="","발행여부 확인 필요",IF($R386="","소재 입고일정 확인 필요","정상"))))))</f>
        <v/>
      </c>
      <c r="AE386" s="19">
        <f>IF($J386="","",IF(OR(LEFT($AD386,2)="작지",LEFT($AD386,4)="소재입고"),IF(LEFT($G386,1)="A","★ 납기위험(A코드)","◆ 지연주의"),IF($AD386="정상","✓ 정상","? 확인필요")))</f>
        <v/>
      </c>
      <c r="AF386" s="21" t="n"/>
      <c r="AG386" s="28" t="n"/>
    </row>
    <row r="387">
      <c r="A387" s="19" t="n">
        <v>383</v>
      </c>
      <c r="B387" s="20" t="inlineStr">
        <is>
          <t>박지인</t>
        </is>
      </c>
      <c r="C387" s="20" t="inlineStr">
        <is>
          <t>정은진</t>
        </is>
      </c>
      <c r="D387" s="20" t="inlineStr">
        <is>
          <t>TVJDW27542</t>
        </is>
      </c>
      <c r="E387" s="20" t="inlineStr">
        <is>
          <t>여성 UL 미드 후드 다운 재킷</t>
        </is>
      </c>
      <c r="F387" s="20" t="inlineStr">
        <is>
          <t>ABU/CHR</t>
        </is>
      </c>
      <c r="G387" s="19">
        <f>IF($D387="","",IF(MID($D387,5,1)="A","A(가을)",IF(MID($D387,5,1)="W","W(겨울)",IF(MID($D387,5,1)="X","X(사계절)",MID($D387,5,1)))))</f>
        <v/>
      </c>
      <c r="H387" s="19" t="n"/>
      <c r="I387" s="21" t="n"/>
      <c r="J387" s="22">
        <f>IF($I387="","",IFERROR(DATE(기준정보!$C$7,VALUE(LEFT($I387,FIND("월",$I387)-1)),1+7*(VALUE(SUBSTITUTE(MID($I387,FIND("월",$I387)+1,5),"주",""))-1)),""))</f>
        <v/>
      </c>
      <c r="K387" s="22">
        <f>IF($J387="","",IF(AND(ISNUMBER(SEARCH("미얀마",$U387)),$J387-기준정보!$C$5&gt;=기준정보!$C$8,$J387-기준정보!$C$5&lt;=기준정보!$C$9),기준정보!$C$8-1,IF(AND(ISNUMBER(SEARCH("인도네시아",$U387)),$J387-기준정보!$C$5&gt;=기준정보!$C$10,$J387-기준정보!$C$5&lt;=기준정보!$C$11),기준정보!$C$10-1,$J387-기준정보!$C$5)))</f>
        <v/>
      </c>
      <c r="L387" s="23">
        <f>IF($K387="","",IF(ISNUMBER(SEARCH("미얀마",$U387)),MAX(0,MIN($K387,기준정보!$C$9)-MAX($K387-기준정보!$C$6,기준정보!$C$8)+1),IF(ISNUMBER(SEARCH("인도네시아",$U387)),MAX(0,MIN($K387,기준정보!$C$11)-MAX($K387-기준정보!$C$6,기준정보!$C$10)+1),0)))</f>
        <v/>
      </c>
      <c r="M387" s="22">
        <f>IF($K387="","",$K387-기준정보!$C$6-$L387)</f>
        <v/>
      </c>
      <c r="N387" s="24">
        <f>IF($M387="","",$M387-기준정보!$C$4)</f>
        <v/>
      </c>
      <c r="O387" s="21" t="n"/>
      <c r="P387" s="21" t="n"/>
      <c r="Q387" s="21" t="n"/>
      <c r="R387" s="25" t="n"/>
      <c r="S387" s="20">
        <f>IF($H387="","",IF($H387="C","본사(소재팀)",IF($H387="완","생산처","확인 필요")))</f>
        <v/>
      </c>
      <c r="T387" s="20" t="inlineStr">
        <is>
          <t>호전</t>
        </is>
      </c>
      <c r="U387" s="20" t="inlineStr">
        <is>
          <t>인도네시아</t>
        </is>
      </c>
      <c r="V387" s="20" t="n"/>
      <c r="W387" s="26" t="n"/>
      <c r="X387" s="26" t="n"/>
      <c r="Y387" s="22" t="n"/>
      <c r="Z387" s="27" t="n">
        <v>2000</v>
      </c>
      <c r="AA387" s="27" t="n">
        <v>196298000</v>
      </c>
      <c r="AB387" s="27" t="n">
        <v>900000000</v>
      </c>
      <c r="AC387" s="20" t="n"/>
      <c r="AD387" s="20">
        <f>IF($J387="","출고일 미정",IF($P387="X","작지 미발행",IF($P387="부분","작지 일부 미발행",IF(AND($R387&lt;&gt;"",$R387&gt;$M387),"소재입고 마감("&amp;TEXT($M387,"MM/DD")&amp;") 초과",IF($P387="","발행여부 확인 필요",IF($R387="","소재 입고일정 확인 필요","정상"))))))</f>
        <v/>
      </c>
      <c r="AE387" s="19">
        <f>IF($J387="","",IF(OR(LEFT($AD387,2)="작지",LEFT($AD387,4)="소재입고"),IF(LEFT($G387,1)="A","★ 납기위험(A코드)","◆ 지연주의"),IF($AD387="정상","✓ 정상","? 확인필요")))</f>
        <v/>
      </c>
      <c r="AF387" s="21" t="n"/>
      <c r="AG387" s="28" t="n"/>
    </row>
    <row r="388">
      <c r="A388" s="19" t="n">
        <v>384</v>
      </c>
      <c r="B388" s="20" t="inlineStr">
        <is>
          <t>박지인</t>
        </is>
      </c>
      <c r="C388" s="20" t="inlineStr">
        <is>
          <t>정은진</t>
        </is>
      </c>
      <c r="D388" s="20" t="inlineStr">
        <is>
          <t>TVJDW27572</t>
        </is>
      </c>
      <c r="E388" s="20" t="inlineStr">
        <is>
          <t>여성 2L 고어텍스 중기장 방수 다운 재킷</t>
        </is>
      </c>
      <c r="F388" s="20" t="inlineStr">
        <is>
          <t>ALI/DEB</t>
        </is>
      </c>
      <c r="G388" s="19">
        <f>IF($D388="","",IF(MID($D388,5,1)="A","A(가을)",IF(MID($D388,5,1)="W","W(겨울)",IF(MID($D388,5,1)="X","X(사계절)",MID($D388,5,1)))))</f>
        <v/>
      </c>
      <c r="H388" s="19" t="n"/>
      <c r="I388" s="21" t="n"/>
      <c r="J388" s="22">
        <f>IF($I388="","",IFERROR(DATE(기준정보!$C$7,VALUE(LEFT($I388,FIND("월",$I388)-1)),1+7*(VALUE(SUBSTITUTE(MID($I388,FIND("월",$I388)+1,5),"주",""))-1)),""))</f>
        <v/>
      </c>
      <c r="K388" s="22">
        <f>IF($J388="","",IF(AND(ISNUMBER(SEARCH("미얀마",$U388)),$J388-기준정보!$C$5&gt;=기준정보!$C$8,$J388-기준정보!$C$5&lt;=기준정보!$C$9),기준정보!$C$8-1,IF(AND(ISNUMBER(SEARCH("인도네시아",$U388)),$J388-기준정보!$C$5&gt;=기준정보!$C$10,$J388-기준정보!$C$5&lt;=기준정보!$C$11),기준정보!$C$10-1,$J388-기준정보!$C$5)))</f>
        <v/>
      </c>
      <c r="L388" s="23">
        <f>IF($K388="","",IF(ISNUMBER(SEARCH("미얀마",$U388)),MAX(0,MIN($K388,기준정보!$C$9)-MAX($K388-기준정보!$C$6,기준정보!$C$8)+1),IF(ISNUMBER(SEARCH("인도네시아",$U388)),MAX(0,MIN($K388,기준정보!$C$11)-MAX($K388-기준정보!$C$6,기준정보!$C$10)+1),0)))</f>
        <v/>
      </c>
      <c r="M388" s="22">
        <f>IF($K388="","",$K388-기준정보!$C$6-$L388)</f>
        <v/>
      </c>
      <c r="N388" s="24">
        <f>IF($M388="","",$M388-기준정보!$C$4)</f>
        <v/>
      </c>
      <c r="O388" s="21" t="n"/>
      <c r="P388" s="21" t="n"/>
      <c r="Q388" s="21" t="n"/>
      <c r="R388" s="25" t="n"/>
      <c r="S388" s="20">
        <f>IF($H388="","",IF($H388="C","본사(소재팀)",IF($H388="완","생산처","확인 필요")))</f>
        <v/>
      </c>
      <c r="T388" s="20" t="inlineStr">
        <is>
          <t>기도</t>
        </is>
      </c>
      <c r="U388" s="20" t="inlineStr">
        <is>
          <t>미얀마</t>
        </is>
      </c>
      <c r="V388" s="20" t="n"/>
      <c r="W388" s="26" t="n"/>
      <c r="X388" s="26" t="n"/>
      <c r="Y388" s="22" t="n"/>
      <c r="Z388" s="27" t="n">
        <v>2000</v>
      </c>
      <c r="AA388" s="27" t="n">
        <v>330000000</v>
      </c>
      <c r="AB388" s="27" t="n">
        <v>1440000000</v>
      </c>
      <c r="AC388" s="20" t="n"/>
      <c r="AD388" s="20">
        <f>IF($J388="","출고일 미정",IF($P388="X","작지 미발행",IF($P388="부분","작지 일부 미발행",IF(AND($R388&lt;&gt;"",$R388&gt;$M388),"소재입고 마감("&amp;TEXT($M388,"MM/DD")&amp;") 초과",IF($P388="","발행여부 확인 필요",IF($R388="","소재 입고일정 확인 필요","정상"))))))</f>
        <v/>
      </c>
      <c r="AE388" s="19">
        <f>IF($J388="","",IF(OR(LEFT($AD388,2)="작지",LEFT($AD388,4)="소재입고"),IF(LEFT($G388,1)="A","★ 납기위험(A코드)","◆ 지연주의"),IF($AD388="정상","✓ 정상","? 확인필요")))</f>
        <v/>
      </c>
      <c r="AF388" s="21" t="n"/>
      <c r="AG388" s="28" t="n"/>
    </row>
    <row r="389">
      <c r="A389" s="19" t="n">
        <v>385</v>
      </c>
      <c r="B389" s="20" t="inlineStr">
        <is>
          <t>박지인</t>
        </is>
      </c>
      <c r="C389" s="20" t="inlineStr">
        <is>
          <t>정은진</t>
        </is>
      </c>
      <c r="D389" s="20" t="inlineStr">
        <is>
          <t>TVJJW27462</t>
        </is>
      </c>
      <c r="E389" s="20" t="inlineStr">
        <is>
          <t>여성 스탠드넥 하이브리드 다운 재킷</t>
        </is>
      </c>
      <c r="F389" s="20" t="inlineStr">
        <is>
          <t>AEB/DEB</t>
        </is>
      </c>
      <c r="G389" s="19">
        <f>IF($D389="","",IF(MID($D389,5,1)="A","A(가을)",IF(MID($D389,5,1)="W","W(겨울)",IF(MID($D389,5,1)="X","X(사계절)",MID($D389,5,1)))))</f>
        <v/>
      </c>
      <c r="H389" s="19" t="n"/>
      <c r="I389" s="21" t="n"/>
      <c r="J389" s="22">
        <f>IF($I389="","",IFERROR(DATE(기준정보!$C$7,VALUE(LEFT($I389,FIND("월",$I389)-1)),1+7*(VALUE(SUBSTITUTE(MID($I389,FIND("월",$I389)+1,5),"주",""))-1)),""))</f>
        <v/>
      </c>
      <c r="K389" s="22">
        <f>IF($J389="","",IF(AND(ISNUMBER(SEARCH("미얀마",$U389)),$J389-기준정보!$C$5&gt;=기준정보!$C$8,$J389-기준정보!$C$5&lt;=기준정보!$C$9),기준정보!$C$8-1,IF(AND(ISNUMBER(SEARCH("인도네시아",$U389)),$J389-기준정보!$C$5&gt;=기준정보!$C$10,$J389-기준정보!$C$5&lt;=기준정보!$C$11),기준정보!$C$10-1,$J389-기준정보!$C$5)))</f>
        <v/>
      </c>
      <c r="L389" s="23">
        <f>IF($K389="","",IF(ISNUMBER(SEARCH("미얀마",$U389)),MAX(0,MIN($K389,기준정보!$C$9)-MAX($K389-기준정보!$C$6,기준정보!$C$8)+1),IF(ISNUMBER(SEARCH("인도네시아",$U389)),MAX(0,MIN($K389,기준정보!$C$11)-MAX($K389-기준정보!$C$6,기준정보!$C$10)+1),0)))</f>
        <v/>
      </c>
      <c r="M389" s="22">
        <f>IF($K389="","",$K389-기준정보!$C$6-$L389)</f>
        <v/>
      </c>
      <c r="N389" s="24">
        <f>IF($M389="","",$M389-기준정보!$C$4)</f>
        <v/>
      </c>
      <c r="O389" s="21" t="n"/>
      <c r="P389" s="21" t="n"/>
      <c r="Q389" s="21" t="n"/>
      <c r="R389" s="25" t="n"/>
      <c r="S389" s="20">
        <f>IF($H389="","",IF($H389="C","본사(소재팀)",IF($H389="완","생산처","확인 필요")))</f>
        <v/>
      </c>
      <c r="T389" s="20" t="inlineStr">
        <is>
          <t>원전</t>
        </is>
      </c>
      <c r="U389" s="20" t="inlineStr">
        <is>
          <t>인도네시아</t>
        </is>
      </c>
      <c r="V389" s="20" t="n"/>
      <c r="W389" s="26" t="n"/>
      <c r="X389" s="26" t="n"/>
      <c r="Y389" s="22" t="n"/>
      <c r="Z389" s="27" t="n">
        <v>4000</v>
      </c>
      <c r="AA389" s="27" t="n">
        <v>214440000</v>
      </c>
      <c r="AB389" s="27" t="n">
        <v>1000000000</v>
      </c>
      <c r="AC389" s="20" t="n"/>
      <c r="AD389" s="20">
        <f>IF($J389="","출고일 미정",IF($P389="X","작지 미발행",IF($P389="부분","작지 일부 미발행",IF(AND($R389&lt;&gt;"",$R389&gt;$M389),"소재입고 마감("&amp;TEXT($M389,"MM/DD")&amp;") 초과",IF($P389="","발행여부 확인 필요",IF($R389="","소재 입고일정 확인 필요","정상"))))))</f>
        <v/>
      </c>
      <c r="AE389" s="19">
        <f>IF($J389="","",IF(OR(LEFT($AD389,2)="작지",LEFT($AD389,4)="소재입고"),IF(LEFT($G389,1)="A","★ 납기위험(A코드)","◆ 지연주의"),IF($AD389="정상","✓ 정상","? 확인필요")))</f>
        <v/>
      </c>
      <c r="AF389" s="21" t="n"/>
      <c r="AG389" s="28" t="n"/>
    </row>
    <row r="390">
      <c r="A390" s="19" t="n">
        <v>386</v>
      </c>
      <c r="B390" s="20" t="inlineStr">
        <is>
          <t>박지인</t>
        </is>
      </c>
      <c r="C390" s="20" t="inlineStr">
        <is>
          <t>정은진</t>
        </is>
      </c>
      <c r="D390" s="20" t="inlineStr">
        <is>
          <t>TVJJW27472</t>
        </is>
      </c>
      <c r="E390" s="20" t="inlineStr">
        <is>
          <t>여성 프리마로프트 경량 패딩 재킷</t>
        </is>
      </c>
      <c r="F390" s="20" t="inlineStr">
        <is>
          <t>ECR/DEB</t>
        </is>
      </c>
      <c r="G390" s="19">
        <f>IF($D390="","",IF(MID($D390,5,1)="A","A(가을)",IF(MID($D390,5,1)="W","W(겨울)",IF(MID($D390,5,1)="X","X(사계절)",MID($D390,5,1)))))</f>
        <v/>
      </c>
      <c r="H390" s="19" t="n"/>
      <c r="I390" s="21" t="n"/>
      <c r="J390" s="22">
        <f>IF($I390="","",IFERROR(DATE(기준정보!$C$7,VALUE(LEFT($I390,FIND("월",$I390)-1)),1+7*(VALUE(SUBSTITUTE(MID($I390,FIND("월",$I390)+1,5),"주",""))-1)),""))</f>
        <v/>
      </c>
      <c r="K390" s="22">
        <f>IF($J390="","",IF(AND(ISNUMBER(SEARCH("미얀마",$U390)),$J390-기준정보!$C$5&gt;=기준정보!$C$8,$J390-기준정보!$C$5&lt;=기준정보!$C$9),기준정보!$C$8-1,IF(AND(ISNUMBER(SEARCH("인도네시아",$U390)),$J390-기준정보!$C$5&gt;=기준정보!$C$10,$J390-기준정보!$C$5&lt;=기준정보!$C$11),기준정보!$C$10-1,$J390-기준정보!$C$5)))</f>
        <v/>
      </c>
      <c r="L390" s="23">
        <f>IF($K390="","",IF(ISNUMBER(SEARCH("미얀마",$U390)),MAX(0,MIN($K390,기준정보!$C$9)-MAX($K390-기준정보!$C$6,기준정보!$C$8)+1),IF(ISNUMBER(SEARCH("인도네시아",$U390)),MAX(0,MIN($K390,기준정보!$C$11)-MAX($K390-기준정보!$C$6,기준정보!$C$10)+1),0)))</f>
        <v/>
      </c>
      <c r="M390" s="22">
        <f>IF($K390="","",$K390-기준정보!$C$6-$L390)</f>
        <v/>
      </c>
      <c r="N390" s="24">
        <f>IF($M390="","",$M390-기준정보!$C$4)</f>
        <v/>
      </c>
      <c r="O390" s="21" t="n"/>
      <c r="P390" s="21" t="n"/>
      <c r="Q390" s="21" t="n"/>
      <c r="R390" s="25" t="n"/>
      <c r="S390" s="20">
        <f>IF($H390="","",IF($H390="C","본사(소재팀)",IF($H390="완","생산처","확인 필요")))</f>
        <v/>
      </c>
      <c r="T390" s="20" t="inlineStr">
        <is>
          <t>원전</t>
        </is>
      </c>
      <c r="U390" s="20" t="inlineStr">
        <is>
          <t>인도네시아</t>
        </is>
      </c>
      <c r="V390" s="20" t="n"/>
      <c r="W390" s="26" t="n"/>
      <c r="X390" s="26" t="n"/>
      <c r="Y390" s="22" t="n"/>
      <c r="Z390" s="27" t="n">
        <v>3000</v>
      </c>
      <c r="AA390" s="27" t="n">
        <v>204795000</v>
      </c>
      <c r="AB390" s="27" t="n">
        <v>960000000</v>
      </c>
      <c r="AC390" s="20" t="n"/>
      <c r="AD390" s="20">
        <f>IF($J390="","출고일 미정",IF($P390="X","작지 미발행",IF($P390="부분","작지 일부 미발행",IF(AND($R390&lt;&gt;"",$R390&gt;$M390),"소재입고 마감("&amp;TEXT($M390,"MM/DD")&amp;") 초과",IF($P390="","발행여부 확인 필요",IF($R390="","소재 입고일정 확인 필요","정상"))))))</f>
        <v/>
      </c>
      <c r="AE390" s="19">
        <f>IF($J390="","",IF(OR(LEFT($AD390,2)="작지",LEFT($AD390,4)="소재입고"),IF(LEFT($G390,1)="A","★ 납기위험(A코드)","◆ 지연주의"),IF($AD390="정상","✓ 정상","? 확인필요")))</f>
        <v/>
      </c>
      <c r="AF390" s="21" t="n"/>
      <c r="AG390" s="28" t="n"/>
    </row>
    <row r="391">
      <c r="A391" s="19" t="n">
        <v>387</v>
      </c>
      <c r="B391" s="20" t="inlineStr">
        <is>
          <t>박지인</t>
        </is>
      </c>
      <c r="C391" s="20" t="inlineStr">
        <is>
          <t>정은진</t>
        </is>
      </c>
      <c r="D391" s="20" t="inlineStr">
        <is>
          <t>TVJJW27474</t>
        </is>
      </c>
      <c r="E391" s="20" t="inlineStr">
        <is>
          <t>여성 프리마로프트 헤비 패딩 재킷</t>
        </is>
      </c>
      <c r="F391" s="20" t="inlineStr">
        <is>
          <t>ASB/CHR</t>
        </is>
      </c>
      <c r="G391" s="19">
        <f>IF($D391="","",IF(MID($D391,5,1)="A","A(가을)",IF(MID($D391,5,1)="W","W(겨울)",IF(MID($D391,5,1)="X","X(사계절)",MID($D391,5,1)))))</f>
        <v/>
      </c>
      <c r="H391" s="19" t="n"/>
      <c r="I391" s="21" t="n"/>
      <c r="J391" s="22">
        <f>IF($I391="","",IFERROR(DATE(기준정보!$C$7,VALUE(LEFT($I391,FIND("월",$I391)-1)),1+7*(VALUE(SUBSTITUTE(MID($I391,FIND("월",$I391)+1,5),"주",""))-1)),""))</f>
        <v/>
      </c>
      <c r="K391" s="22">
        <f>IF($J391="","",IF(AND(ISNUMBER(SEARCH("미얀마",$U391)),$J391-기준정보!$C$5&gt;=기준정보!$C$8,$J391-기준정보!$C$5&lt;=기준정보!$C$9),기준정보!$C$8-1,IF(AND(ISNUMBER(SEARCH("인도네시아",$U391)),$J391-기준정보!$C$5&gt;=기준정보!$C$10,$J391-기준정보!$C$5&lt;=기준정보!$C$11),기준정보!$C$10-1,$J391-기준정보!$C$5)))</f>
        <v/>
      </c>
      <c r="L391" s="23">
        <f>IF($K391="","",IF(ISNUMBER(SEARCH("미얀마",$U391)),MAX(0,MIN($K391,기준정보!$C$9)-MAX($K391-기준정보!$C$6,기준정보!$C$8)+1),IF(ISNUMBER(SEARCH("인도네시아",$U391)),MAX(0,MIN($K391,기준정보!$C$11)-MAX($K391-기준정보!$C$6,기준정보!$C$10)+1),0)))</f>
        <v/>
      </c>
      <c r="M391" s="22">
        <f>IF($K391="","",$K391-기준정보!$C$6-$L391)</f>
        <v/>
      </c>
      <c r="N391" s="24">
        <f>IF($M391="","",$M391-기준정보!$C$4)</f>
        <v/>
      </c>
      <c r="O391" s="21" t="n"/>
      <c r="P391" s="21" t="n"/>
      <c r="Q391" s="21" t="n"/>
      <c r="R391" s="25" t="n"/>
      <c r="S391" s="20">
        <f>IF($H391="","",IF($H391="C","본사(소재팀)",IF($H391="완","생산처","확인 필요")))</f>
        <v/>
      </c>
      <c r="T391" s="20" t="inlineStr">
        <is>
          <t>원전</t>
        </is>
      </c>
      <c r="U391" s="20" t="inlineStr">
        <is>
          <t>인도네시아</t>
        </is>
      </c>
      <c r="V391" s="20" t="n"/>
      <c r="W391" s="26" t="n"/>
      <c r="X391" s="26" t="n"/>
      <c r="Y391" s="22" t="n"/>
      <c r="Z391" s="27" t="n">
        <v>3000</v>
      </c>
      <c r="AA391" s="27" t="n">
        <v>245046000</v>
      </c>
      <c r="AB391" s="27" t="n">
        <v>1170000000</v>
      </c>
      <c r="AC391" s="20" t="n"/>
      <c r="AD391" s="20">
        <f>IF($J391="","출고일 미정",IF($P391="X","작지 미발행",IF($P391="부분","작지 일부 미발행",IF(AND($R391&lt;&gt;"",$R391&gt;$M391),"소재입고 마감("&amp;TEXT($M391,"MM/DD")&amp;") 초과",IF($P391="","발행여부 확인 필요",IF($R391="","소재 입고일정 확인 필요","정상"))))))</f>
        <v/>
      </c>
      <c r="AE391" s="19">
        <f>IF($J391="","",IF(OR(LEFT($AD391,2)="작지",LEFT($AD391,4)="소재입고"),IF(LEFT($G391,1)="A","★ 납기위험(A코드)","◆ 지연주의"),IF($AD391="정상","✓ 정상","? 확인필요")))</f>
        <v/>
      </c>
      <c r="AF391" s="21" t="n"/>
      <c r="AG391" s="28" t="n"/>
    </row>
    <row r="392">
      <c r="A392" s="19" t="n">
        <v>388</v>
      </c>
      <c r="B392" s="20" t="inlineStr">
        <is>
          <t>박지인</t>
        </is>
      </c>
      <c r="C392" s="20" t="inlineStr">
        <is>
          <t>정은진</t>
        </is>
      </c>
      <c r="D392" s="20" t="inlineStr">
        <is>
          <t>TVJJW27482</t>
        </is>
      </c>
      <c r="E392" s="20" t="inlineStr">
        <is>
          <t>여성 스탠드넥 인슐레이션 재킷</t>
        </is>
      </c>
      <c r="F392" s="20" t="inlineStr">
        <is>
          <t>ALI/DEB</t>
        </is>
      </c>
      <c r="G392" s="19">
        <f>IF($D392="","",IF(MID($D392,5,1)="A","A(가을)",IF(MID($D392,5,1)="W","W(겨울)",IF(MID($D392,5,1)="X","X(사계절)",MID($D392,5,1)))))</f>
        <v/>
      </c>
      <c r="H392" s="19" t="n"/>
      <c r="I392" s="21" t="n"/>
      <c r="J392" s="22">
        <f>IF($I392="","",IFERROR(DATE(기준정보!$C$7,VALUE(LEFT($I392,FIND("월",$I392)-1)),1+7*(VALUE(SUBSTITUTE(MID($I392,FIND("월",$I392)+1,5),"주",""))-1)),""))</f>
        <v/>
      </c>
      <c r="K392" s="22">
        <f>IF($J392="","",IF(AND(ISNUMBER(SEARCH("미얀마",$U392)),$J392-기준정보!$C$5&gt;=기준정보!$C$8,$J392-기준정보!$C$5&lt;=기준정보!$C$9),기준정보!$C$8-1,IF(AND(ISNUMBER(SEARCH("인도네시아",$U392)),$J392-기준정보!$C$5&gt;=기준정보!$C$10,$J392-기준정보!$C$5&lt;=기준정보!$C$11),기준정보!$C$10-1,$J392-기준정보!$C$5)))</f>
        <v/>
      </c>
      <c r="L392" s="23">
        <f>IF($K392="","",IF(ISNUMBER(SEARCH("미얀마",$U392)),MAX(0,MIN($K392,기준정보!$C$9)-MAX($K392-기준정보!$C$6,기준정보!$C$8)+1),IF(ISNUMBER(SEARCH("인도네시아",$U392)),MAX(0,MIN($K392,기준정보!$C$11)-MAX($K392-기준정보!$C$6,기준정보!$C$10)+1),0)))</f>
        <v/>
      </c>
      <c r="M392" s="22">
        <f>IF($K392="","",$K392-기준정보!$C$6-$L392)</f>
        <v/>
      </c>
      <c r="N392" s="24">
        <f>IF($M392="","",$M392-기준정보!$C$4)</f>
        <v/>
      </c>
      <c r="O392" s="21" t="n"/>
      <c r="P392" s="21" t="n"/>
      <c r="Q392" s="21" t="n"/>
      <c r="R392" s="25" t="n"/>
      <c r="S392" s="20">
        <f>IF($H392="","",IF($H392="C","본사(소재팀)",IF($H392="완","생산처","확인 필요")))</f>
        <v/>
      </c>
      <c r="T392" s="20" t="inlineStr">
        <is>
          <t>포마트</t>
        </is>
      </c>
      <c r="U392" s="20" t="inlineStr">
        <is>
          <t>베트남</t>
        </is>
      </c>
      <c r="V392" s="20" t="n"/>
      <c r="W392" s="26" t="n"/>
      <c r="X392" s="26" t="n"/>
      <c r="Y392" s="22" t="n"/>
      <c r="Z392" s="27" t="n">
        <v>2000</v>
      </c>
      <c r="AA392" s="27" t="n">
        <v>124000000</v>
      </c>
      <c r="AB392" s="27" t="n">
        <v>540000000</v>
      </c>
      <c r="AC392" s="20" t="n"/>
      <c r="AD392" s="20">
        <f>IF($J392="","출고일 미정",IF($P392="X","작지 미발행",IF($P392="부분","작지 일부 미발행",IF(AND($R392&lt;&gt;"",$R392&gt;$M392),"소재입고 마감("&amp;TEXT($M392,"MM/DD")&amp;") 초과",IF($P392="","발행여부 확인 필요",IF($R392="","소재 입고일정 확인 필요","정상"))))))</f>
        <v/>
      </c>
      <c r="AE392" s="19">
        <f>IF($J392="","",IF(OR(LEFT($AD392,2)="작지",LEFT($AD392,4)="소재입고"),IF(LEFT($G392,1)="A","★ 납기위험(A코드)","◆ 지연주의"),IF($AD392="정상","✓ 정상","? 확인필요")))</f>
        <v/>
      </c>
      <c r="AF392" s="21" t="n"/>
      <c r="AG392" s="28" t="n"/>
    </row>
    <row r="393">
      <c r="A393" s="19" t="n">
        <v>389</v>
      </c>
      <c r="B393" s="20" t="inlineStr">
        <is>
          <t>박지인</t>
        </is>
      </c>
      <c r="C393" s="20" t="inlineStr">
        <is>
          <t>정은진</t>
        </is>
      </c>
      <c r="D393" s="20" t="inlineStr">
        <is>
          <t>TVJJW27492</t>
        </is>
      </c>
      <c r="E393" s="20" t="inlineStr">
        <is>
          <t>여성 중기장 어저스터블 웨이스트 안슐 재킷</t>
        </is>
      </c>
      <c r="F393" s="20" t="inlineStr">
        <is>
          <t>OAT/MID</t>
        </is>
      </c>
      <c r="G393" s="19">
        <f>IF($D393="","",IF(MID($D393,5,1)="A","A(가을)",IF(MID($D393,5,1)="W","W(겨울)",IF(MID($D393,5,1)="X","X(사계절)",MID($D393,5,1)))))</f>
        <v/>
      </c>
      <c r="H393" s="19" t="n"/>
      <c r="I393" s="21" t="n"/>
      <c r="J393" s="22">
        <f>IF($I393="","",IFERROR(DATE(기준정보!$C$7,VALUE(LEFT($I393,FIND("월",$I393)-1)),1+7*(VALUE(SUBSTITUTE(MID($I393,FIND("월",$I393)+1,5),"주",""))-1)),""))</f>
        <v/>
      </c>
      <c r="K393" s="22">
        <f>IF($J393="","",IF(AND(ISNUMBER(SEARCH("미얀마",$U393)),$J393-기준정보!$C$5&gt;=기준정보!$C$8,$J393-기준정보!$C$5&lt;=기준정보!$C$9),기준정보!$C$8-1,IF(AND(ISNUMBER(SEARCH("인도네시아",$U393)),$J393-기준정보!$C$5&gt;=기준정보!$C$10,$J393-기준정보!$C$5&lt;=기준정보!$C$11),기준정보!$C$10-1,$J393-기준정보!$C$5)))</f>
        <v/>
      </c>
      <c r="L393" s="23">
        <f>IF($K393="","",IF(ISNUMBER(SEARCH("미얀마",$U393)),MAX(0,MIN($K393,기준정보!$C$9)-MAX($K393-기준정보!$C$6,기준정보!$C$8)+1),IF(ISNUMBER(SEARCH("인도네시아",$U393)),MAX(0,MIN($K393,기준정보!$C$11)-MAX($K393-기준정보!$C$6,기준정보!$C$10)+1),0)))</f>
        <v/>
      </c>
      <c r="M393" s="22">
        <f>IF($K393="","",$K393-기준정보!$C$6-$L393)</f>
        <v/>
      </c>
      <c r="N393" s="24">
        <f>IF($M393="","",$M393-기준정보!$C$4)</f>
        <v/>
      </c>
      <c r="O393" s="21" t="n"/>
      <c r="P393" s="21" t="n"/>
      <c r="Q393" s="21" t="n"/>
      <c r="R393" s="25" t="n"/>
      <c r="S393" s="20">
        <f>IF($H393="","",IF($H393="C","본사(소재팀)",IF($H393="완","생산처","확인 필요")))</f>
        <v/>
      </c>
      <c r="T393" s="20" t="inlineStr">
        <is>
          <t>아이블</t>
        </is>
      </c>
      <c r="U393" s="20" t="inlineStr">
        <is>
          <t>베트남</t>
        </is>
      </c>
      <c r="V393" s="20" t="n"/>
      <c r="W393" s="26" t="n"/>
      <c r="X393" s="26" t="n"/>
      <c r="Y393" s="22" t="n"/>
      <c r="Z393" s="27" t="n">
        <v>3000</v>
      </c>
      <c r="AA393" s="27" t="n">
        <v>180744000</v>
      </c>
      <c r="AB393" s="27" t="n">
        <v>870000000</v>
      </c>
      <c r="AC393" s="20" t="n"/>
      <c r="AD393" s="20">
        <f>IF($J393="","출고일 미정",IF($P393="X","작지 미발행",IF($P393="부분","작지 일부 미발행",IF(AND($R393&lt;&gt;"",$R393&gt;$M393),"소재입고 마감("&amp;TEXT($M393,"MM/DD")&amp;") 초과",IF($P393="","발행여부 확인 필요",IF($R393="","소재 입고일정 확인 필요","정상"))))))</f>
        <v/>
      </c>
      <c r="AE393" s="19">
        <f>IF($J393="","",IF(OR(LEFT($AD393,2)="작지",LEFT($AD393,4)="소재입고"),IF(LEFT($G393,1)="A","★ 납기위험(A코드)","◆ 지연주의"),IF($AD393="정상","✓ 정상","? 확인필요")))</f>
        <v/>
      </c>
      <c r="AF393" s="21" t="n"/>
      <c r="AG393" s="28" t="n"/>
    </row>
    <row r="394">
      <c r="A394" s="19" t="n">
        <v>390</v>
      </c>
      <c r="B394" s="20" t="inlineStr">
        <is>
          <t>박진아</t>
        </is>
      </c>
      <c r="C394" s="20" t="inlineStr">
        <is>
          <t>권혁일</t>
        </is>
      </c>
      <c r="D394" s="20" t="inlineStr">
        <is>
          <t>TVPNW27402</t>
        </is>
      </c>
      <c r="E394" s="20" t="inlineStr">
        <is>
          <t>여성 패딩 카고 팬츠</t>
        </is>
      </c>
      <c r="F394" s="20" t="inlineStr">
        <is>
          <t>DEB</t>
        </is>
      </c>
      <c r="G394" s="19">
        <f>IF($D394="","",IF(MID($D394,5,1)="A","A(가을)",IF(MID($D394,5,1)="W","W(겨울)",IF(MID($D394,5,1)="X","X(사계절)",MID($D394,5,1)))))</f>
        <v/>
      </c>
      <c r="H394" s="19" t="n"/>
      <c r="I394" s="21" t="n"/>
      <c r="J394" s="22">
        <f>IF($I394="","",IFERROR(DATE(기준정보!$C$7,VALUE(LEFT($I394,FIND("월",$I394)-1)),1+7*(VALUE(SUBSTITUTE(MID($I394,FIND("월",$I394)+1,5),"주",""))-1)),""))</f>
        <v/>
      </c>
      <c r="K394" s="22">
        <f>IF($J394="","",IF(AND(ISNUMBER(SEARCH("미얀마",$U394)),$J394-기준정보!$C$5&gt;=기준정보!$C$8,$J394-기준정보!$C$5&lt;=기준정보!$C$9),기준정보!$C$8-1,IF(AND(ISNUMBER(SEARCH("인도네시아",$U394)),$J394-기준정보!$C$5&gt;=기준정보!$C$10,$J394-기준정보!$C$5&lt;=기준정보!$C$11),기준정보!$C$10-1,$J394-기준정보!$C$5)))</f>
        <v/>
      </c>
      <c r="L394" s="23">
        <f>IF($K394="","",IF(ISNUMBER(SEARCH("미얀마",$U394)),MAX(0,MIN($K394,기준정보!$C$9)-MAX($K394-기준정보!$C$6,기준정보!$C$8)+1),IF(ISNUMBER(SEARCH("인도네시아",$U394)),MAX(0,MIN($K394,기준정보!$C$11)-MAX($K394-기준정보!$C$6,기준정보!$C$10)+1),0)))</f>
        <v/>
      </c>
      <c r="M394" s="22">
        <f>IF($K394="","",$K394-기준정보!$C$6-$L394)</f>
        <v/>
      </c>
      <c r="N394" s="24">
        <f>IF($M394="","",$M394-기준정보!$C$4)</f>
        <v/>
      </c>
      <c r="O394" s="21" t="n"/>
      <c r="P394" s="21" t="n"/>
      <c r="Q394" s="21" t="n"/>
      <c r="R394" s="25" t="n"/>
      <c r="S394" s="20">
        <f>IF($H394="","",IF($H394="C","본사(소재팀)",IF($H394="완","생산처","확인 필요")))</f>
        <v/>
      </c>
      <c r="T394" s="20" t="inlineStr">
        <is>
          <t>YIC</t>
        </is>
      </c>
      <c r="U394" s="20" t="inlineStr">
        <is>
          <t>베트남</t>
        </is>
      </c>
      <c r="V394" s="20" t="n"/>
      <c r="W394" s="26" t="n"/>
      <c r="X394" s="26" t="n"/>
      <c r="Y394" s="22" t="n"/>
      <c r="Z394" s="27" t="n">
        <v>1500</v>
      </c>
      <c r="AA394" s="27" t="n">
        <v>52368000</v>
      </c>
      <c r="AB394" s="27" t="n">
        <v>405000000</v>
      </c>
      <c r="AC394" s="20" t="n"/>
      <c r="AD394" s="20">
        <f>IF($J394="","출고일 미정",IF($P394="X","작지 미발행",IF($P394="부분","작지 일부 미발행",IF(AND($R394&lt;&gt;"",$R394&gt;$M394),"소재입고 마감("&amp;TEXT($M394,"MM/DD")&amp;") 초과",IF($P394="","발행여부 확인 필요",IF($R394="","소재 입고일정 확인 필요","정상"))))))</f>
        <v/>
      </c>
      <c r="AE394" s="19">
        <f>IF($J394="","",IF(OR(LEFT($AD394,2)="작지",LEFT($AD394,4)="소재입고"),IF(LEFT($G394,1)="A","★ 납기위험(A코드)","◆ 지연주의"),IF($AD394="정상","✓ 정상","? 확인필요")))</f>
        <v/>
      </c>
      <c r="AF394" s="21" t="n"/>
      <c r="AG394" s="28" t="n"/>
    </row>
    <row r="395">
      <c r="A395" s="19" t="n">
        <v>391</v>
      </c>
      <c r="B395" s="20" t="inlineStr">
        <is>
          <t>박진아</t>
        </is>
      </c>
      <c r="C395" s="20" t="inlineStr">
        <is>
          <t>권혁일</t>
        </is>
      </c>
      <c r="D395" s="20" t="inlineStr">
        <is>
          <t>TVPNW27422</t>
        </is>
      </c>
      <c r="E395" s="20" t="inlineStr">
        <is>
          <t>여성 카고 팬츠</t>
        </is>
      </c>
      <c r="F395" s="20" t="inlineStr">
        <is>
          <t>CTP/DNV</t>
        </is>
      </c>
      <c r="G395" s="19">
        <f>IF($D395="","",IF(MID($D395,5,1)="A","A(가을)",IF(MID($D395,5,1)="W","W(겨울)",IF(MID($D395,5,1)="X","X(사계절)",MID($D395,5,1)))))</f>
        <v/>
      </c>
      <c r="H395" s="19" t="n"/>
      <c r="I395" s="21" t="n"/>
      <c r="J395" s="22">
        <f>IF($I395="","",IFERROR(DATE(기준정보!$C$7,VALUE(LEFT($I395,FIND("월",$I395)-1)),1+7*(VALUE(SUBSTITUTE(MID($I395,FIND("월",$I395)+1,5),"주",""))-1)),""))</f>
        <v/>
      </c>
      <c r="K395" s="22">
        <f>IF($J395="","",IF(AND(ISNUMBER(SEARCH("미얀마",$U395)),$J395-기준정보!$C$5&gt;=기준정보!$C$8,$J395-기준정보!$C$5&lt;=기준정보!$C$9),기준정보!$C$8-1,IF(AND(ISNUMBER(SEARCH("인도네시아",$U395)),$J395-기준정보!$C$5&gt;=기준정보!$C$10,$J395-기준정보!$C$5&lt;=기준정보!$C$11),기준정보!$C$10-1,$J395-기준정보!$C$5)))</f>
        <v/>
      </c>
      <c r="L395" s="23">
        <f>IF($K395="","",IF(ISNUMBER(SEARCH("미얀마",$U395)),MAX(0,MIN($K395,기준정보!$C$9)-MAX($K395-기준정보!$C$6,기준정보!$C$8)+1),IF(ISNUMBER(SEARCH("인도네시아",$U395)),MAX(0,MIN($K395,기준정보!$C$11)-MAX($K395-기준정보!$C$6,기준정보!$C$10)+1),0)))</f>
        <v/>
      </c>
      <c r="M395" s="22">
        <f>IF($K395="","",$K395-기준정보!$C$6-$L395)</f>
        <v/>
      </c>
      <c r="N395" s="24">
        <f>IF($M395="","",$M395-기준정보!$C$4)</f>
        <v/>
      </c>
      <c r="O395" s="21" t="n"/>
      <c r="P395" s="21" t="n"/>
      <c r="Q395" s="21" t="n"/>
      <c r="R395" s="25" t="n"/>
      <c r="S395" s="20">
        <f>IF($H395="","",IF($H395="C","본사(소재팀)",IF($H395="완","생산처","확인 필요")))</f>
        <v/>
      </c>
      <c r="T395" s="20" t="inlineStr">
        <is>
          <t>디코드</t>
        </is>
      </c>
      <c r="U395" s="20" t="inlineStr">
        <is>
          <t>베트남</t>
        </is>
      </c>
      <c r="V395" s="20" t="n"/>
      <c r="W395" s="26" t="n"/>
      <c r="X395" s="26" t="n"/>
      <c r="Y395" s="22" t="n"/>
      <c r="Z395" s="27" t="n">
        <v>2000</v>
      </c>
      <c r="AA395" s="27" t="n">
        <v>88372000</v>
      </c>
      <c r="AB395" s="27" t="n">
        <v>396000000</v>
      </c>
      <c r="AC395" s="20" t="n"/>
      <c r="AD395" s="20">
        <f>IF($J395="","출고일 미정",IF($P395="X","작지 미발행",IF($P395="부분","작지 일부 미발행",IF(AND($R395&lt;&gt;"",$R395&gt;$M395),"소재입고 마감("&amp;TEXT($M395,"MM/DD")&amp;") 초과",IF($P395="","발행여부 확인 필요",IF($R395="","소재 입고일정 확인 필요","정상"))))))</f>
        <v/>
      </c>
      <c r="AE395" s="19">
        <f>IF($J395="","",IF(OR(LEFT($AD395,2)="작지",LEFT($AD395,4)="소재입고"),IF(LEFT($G395,1)="A","★ 납기위험(A코드)","◆ 지연주의"),IF($AD395="정상","✓ 정상","? 확인필요")))</f>
        <v/>
      </c>
      <c r="AF395" s="21" t="n"/>
      <c r="AG395" s="28" t="n"/>
    </row>
    <row r="396">
      <c r="A396" s="19" t="n">
        <v>392</v>
      </c>
      <c r="B396" s="20" t="inlineStr">
        <is>
          <t>박진아</t>
        </is>
      </c>
      <c r="C396" s="20" t="inlineStr">
        <is>
          <t>권혁일</t>
        </is>
      </c>
      <c r="D396" s="20" t="inlineStr">
        <is>
          <t>TVPNW27432</t>
        </is>
      </c>
      <c r="E396" s="20" t="inlineStr">
        <is>
          <t>여성 튜브 다운 조거 팬츠</t>
        </is>
      </c>
      <c r="F396" s="20" t="inlineStr">
        <is>
          <t>DEB</t>
        </is>
      </c>
      <c r="G396" s="19">
        <f>IF($D396="","",IF(MID($D396,5,1)="A","A(가을)",IF(MID($D396,5,1)="W","W(겨울)",IF(MID($D396,5,1)="X","X(사계절)",MID($D396,5,1)))))</f>
        <v/>
      </c>
      <c r="H396" s="19" t="n"/>
      <c r="I396" s="21" t="n"/>
      <c r="J396" s="22">
        <f>IF($I396="","",IFERROR(DATE(기준정보!$C$7,VALUE(LEFT($I396,FIND("월",$I396)-1)),1+7*(VALUE(SUBSTITUTE(MID($I396,FIND("월",$I396)+1,5),"주",""))-1)),""))</f>
        <v/>
      </c>
      <c r="K396" s="22">
        <f>IF($J396="","",IF(AND(ISNUMBER(SEARCH("미얀마",$U396)),$J396-기준정보!$C$5&gt;=기준정보!$C$8,$J396-기준정보!$C$5&lt;=기준정보!$C$9),기준정보!$C$8-1,IF(AND(ISNUMBER(SEARCH("인도네시아",$U396)),$J396-기준정보!$C$5&gt;=기준정보!$C$10,$J396-기준정보!$C$5&lt;=기준정보!$C$11),기준정보!$C$10-1,$J396-기준정보!$C$5)))</f>
        <v/>
      </c>
      <c r="L396" s="23">
        <f>IF($K396="","",IF(ISNUMBER(SEARCH("미얀마",$U396)),MAX(0,MIN($K396,기준정보!$C$9)-MAX($K396-기준정보!$C$6,기준정보!$C$8)+1),IF(ISNUMBER(SEARCH("인도네시아",$U396)),MAX(0,MIN($K396,기준정보!$C$11)-MAX($K396-기준정보!$C$6,기준정보!$C$10)+1),0)))</f>
        <v/>
      </c>
      <c r="M396" s="22">
        <f>IF($K396="","",$K396-기준정보!$C$6-$L396)</f>
        <v/>
      </c>
      <c r="N396" s="24">
        <f>IF($M396="","",$M396-기준정보!$C$4)</f>
        <v/>
      </c>
      <c r="O396" s="21" t="n"/>
      <c r="P396" s="21" t="n"/>
      <c r="Q396" s="21" t="n"/>
      <c r="R396" s="25" t="n"/>
      <c r="S396" s="20">
        <f>IF($H396="","",IF($H396="C","본사(소재팀)",IF($H396="완","생산처","확인 필요")))</f>
        <v/>
      </c>
      <c r="T396" s="20" t="inlineStr">
        <is>
          <t>아이블</t>
        </is>
      </c>
      <c r="U396" s="20" t="inlineStr">
        <is>
          <t>베트남</t>
        </is>
      </c>
      <c r="V396" s="20" t="n"/>
      <c r="W396" s="26" t="n"/>
      <c r="X396" s="26" t="n"/>
      <c r="Y396" s="22" t="n"/>
      <c r="Z396" s="27" t="n">
        <v>1400</v>
      </c>
      <c r="AA396" s="27" t="n">
        <v>72021600</v>
      </c>
      <c r="AB396" s="27" t="n">
        <v>448000000</v>
      </c>
      <c r="AC396" s="20" t="n"/>
      <c r="AD396" s="20">
        <f>IF($J396="","출고일 미정",IF($P396="X","작지 미발행",IF($P396="부분","작지 일부 미발행",IF(AND($R396&lt;&gt;"",$R396&gt;$M396),"소재입고 마감("&amp;TEXT($M396,"MM/DD")&amp;") 초과",IF($P396="","발행여부 확인 필요",IF($R396="","소재 입고일정 확인 필요","정상"))))))</f>
        <v/>
      </c>
      <c r="AE396" s="19">
        <f>IF($J396="","",IF(OR(LEFT($AD396,2)="작지",LEFT($AD396,4)="소재입고"),IF(LEFT($G396,1)="A","★ 납기위험(A코드)","◆ 지연주의"),IF($AD396="정상","✓ 정상","? 확인필요")))</f>
        <v/>
      </c>
      <c r="AF396" s="21" t="n"/>
      <c r="AG396" s="28" t="n"/>
    </row>
    <row r="397">
      <c r="A397" s="19" t="n">
        <v>393</v>
      </c>
      <c r="B397" s="20" t="inlineStr">
        <is>
          <t>박진아</t>
        </is>
      </c>
      <c r="C397" s="20" t="inlineStr">
        <is>
          <t>권혁일</t>
        </is>
      </c>
      <c r="D397" s="20" t="inlineStr">
        <is>
          <t>TVPNW27442</t>
        </is>
      </c>
      <c r="E397" s="20" t="inlineStr">
        <is>
          <t>여성 WIGO PRO 팬츠</t>
        </is>
      </c>
      <c r="F397" s="20" t="inlineStr">
        <is>
          <t>DEB</t>
        </is>
      </c>
      <c r="G397" s="19">
        <f>IF($D397="","",IF(MID($D397,5,1)="A","A(가을)",IF(MID($D397,5,1)="W","W(겨울)",IF(MID($D397,5,1)="X","X(사계절)",MID($D397,5,1)))))</f>
        <v/>
      </c>
      <c r="H397" s="19" t="n"/>
      <c r="I397" s="21" t="n"/>
      <c r="J397" s="22">
        <f>IF($I397="","",IFERROR(DATE(기준정보!$C$7,VALUE(LEFT($I397,FIND("월",$I397)-1)),1+7*(VALUE(SUBSTITUTE(MID($I397,FIND("월",$I397)+1,5),"주",""))-1)),""))</f>
        <v/>
      </c>
      <c r="K397" s="22">
        <f>IF($J397="","",IF(AND(ISNUMBER(SEARCH("미얀마",$U397)),$J397-기준정보!$C$5&gt;=기준정보!$C$8,$J397-기준정보!$C$5&lt;=기준정보!$C$9),기준정보!$C$8-1,IF(AND(ISNUMBER(SEARCH("인도네시아",$U397)),$J397-기준정보!$C$5&gt;=기준정보!$C$10,$J397-기준정보!$C$5&lt;=기준정보!$C$11),기준정보!$C$10-1,$J397-기준정보!$C$5)))</f>
        <v/>
      </c>
      <c r="L397" s="23">
        <f>IF($K397="","",IF(ISNUMBER(SEARCH("미얀마",$U397)),MAX(0,MIN($K397,기준정보!$C$9)-MAX($K397-기준정보!$C$6,기준정보!$C$8)+1),IF(ISNUMBER(SEARCH("인도네시아",$U397)),MAX(0,MIN($K397,기준정보!$C$11)-MAX($K397-기준정보!$C$6,기준정보!$C$10)+1),0)))</f>
        <v/>
      </c>
      <c r="M397" s="22">
        <f>IF($K397="","",$K397-기준정보!$C$6-$L397)</f>
        <v/>
      </c>
      <c r="N397" s="24">
        <f>IF($M397="","",$M397-기준정보!$C$4)</f>
        <v/>
      </c>
      <c r="O397" s="21" t="n"/>
      <c r="P397" s="21" t="n"/>
      <c r="Q397" s="21" t="n"/>
      <c r="R397" s="25" t="n"/>
      <c r="S397" s="20">
        <f>IF($H397="","",IF($H397="C","본사(소재팀)",IF($H397="완","생산처","확인 필요")))</f>
        <v/>
      </c>
      <c r="T397" s="20" t="inlineStr">
        <is>
          <t>거림</t>
        </is>
      </c>
      <c r="U397" s="20" t="inlineStr">
        <is>
          <t>베트남</t>
        </is>
      </c>
      <c r="V397" s="20" t="n"/>
      <c r="W397" s="26" t="n"/>
      <c r="X397" s="26" t="n"/>
      <c r="Y397" s="22" t="n"/>
      <c r="Z397" s="27" t="n">
        <v>1800</v>
      </c>
      <c r="AA397" s="27" t="n">
        <v>81181800</v>
      </c>
      <c r="AB397" s="27" t="n">
        <v>522000000</v>
      </c>
      <c r="AC397" s="20" t="n"/>
      <c r="AD397" s="20">
        <f>IF($J397="","출고일 미정",IF($P397="X","작지 미발행",IF($P397="부분","작지 일부 미발행",IF(AND($R397&lt;&gt;"",$R397&gt;$M397),"소재입고 마감("&amp;TEXT($M397,"MM/DD")&amp;") 초과",IF($P397="","발행여부 확인 필요",IF($R397="","소재 입고일정 확인 필요","정상"))))))</f>
        <v/>
      </c>
      <c r="AE397" s="19">
        <f>IF($J397="","",IF(OR(LEFT($AD397,2)="작지",LEFT($AD397,4)="소재입고"),IF(LEFT($G397,1)="A","★ 납기위험(A코드)","◆ 지연주의"),IF($AD397="정상","✓ 정상","? 확인필요")))</f>
        <v/>
      </c>
      <c r="AF397" s="21" t="n"/>
      <c r="AG397" s="28" t="n"/>
    </row>
    <row r="398">
      <c r="A398" s="19" t="n">
        <v>394</v>
      </c>
      <c r="B398" s="20" t="inlineStr">
        <is>
          <t>박진아</t>
        </is>
      </c>
      <c r="C398" s="20" t="inlineStr">
        <is>
          <t>권혁일</t>
        </is>
      </c>
      <c r="D398" s="20" t="inlineStr">
        <is>
          <t>TVPNW27452</t>
        </is>
      </c>
      <c r="E398" s="20" t="inlineStr">
        <is>
          <t>여성 고어 윈드스토퍼 본딩 슬림핏 팬츠</t>
        </is>
      </c>
      <c r="F398" s="20" t="inlineStr">
        <is>
          <t>DEB</t>
        </is>
      </c>
      <c r="G398" s="19">
        <f>IF($D398="","",IF(MID($D398,5,1)="A","A(가을)",IF(MID($D398,5,1)="W","W(겨울)",IF(MID($D398,5,1)="X","X(사계절)",MID($D398,5,1)))))</f>
        <v/>
      </c>
      <c r="H398" s="19" t="n"/>
      <c r="I398" s="21" t="n"/>
      <c r="J398" s="22">
        <f>IF($I398="","",IFERROR(DATE(기준정보!$C$7,VALUE(LEFT($I398,FIND("월",$I398)-1)),1+7*(VALUE(SUBSTITUTE(MID($I398,FIND("월",$I398)+1,5),"주",""))-1)),""))</f>
        <v/>
      </c>
      <c r="K398" s="22">
        <f>IF($J398="","",IF(AND(ISNUMBER(SEARCH("미얀마",$U398)),$J398-기준정보!$C$5&gt;=기준정보!$C$8,$J398-기준정보!$C$5&lt;=기준정보!$C$9),기준정보!$C$8-1,IF(AND(ISNUMBER(SEARCH("인도네시아",$U398)),$J398-기준정보!$C$5&gt;=기준정보!$C$10,$J398-기준정보!$C$5&lt;=기준정보!$C$11),기준정보!$C$10-1,$J398-기준정보!$C$5)))</f>
        <v/>
      </c>
      <c r="L398" s="23">
        <f>IF($K398="","",IF(ISNUMBER(SEARCH("미얀마",$U398)),MAX(0,MIN($K398,기준정보!$C$9)-MAX($K398-기준정보!$C$6,기준정보!$C$8)+1),IF(ISNUMBER(SEARCH("인도네시아",$U398)),MAX(0,MIN($K398,기준정보!$C$11)-MAX($K398-기준정보!$C$6,기준정보!$C$10)+1),0)))</f>
        <v/>
      </c>
      <c r="M398" s="22">
        <f>IF($K398="","",$K398-기준정보!$C$6-$L398)</f>
        <v/>
      </c>
      <c r="N398" s="24">
        <f>IF($M398="","",$M398-기준정보!$C$4)</f>
        <v/>
      </c>
      <c r="O398" s="21" t="n"/>
      <c r="P398" s="21" t="n"/>
      <c r="Q398" s="21" t="n"/>
      <c r="R398" s="25" t="n"/>
      <c r="S398" s="20">
        <f>IF($H398="","",IF($H398="C","본사(소재팀)",IF($H398="완","생산처","확인 필요")))</f>
        <v/>
      </c>
      <c r="T398" s="20" t="inlineStr">
        <is>
          <t>거림</t>
        </is>
      </c>
      <c r="U398" s="20" t="inlineStr">
        <is>
          <t>베트남</t>
        </is>
      </c>
      <c r="V398" s="20" t="n"/>
      <c r="W398" s="26" t="n"/>
      <c r="X398" s="26" t="n"/>
      <c r="Y398" s="22" t="n"/>
      <c r="Z398" s="27" t="n">
        <v>4000</v>
      </c>
      <c r="AA398" s="27" t="n">
        <v>300408000</v>
      </c>
      <c r="AB398" s="27" t="n">
        <v>1280000000</v>
      </c>
      <c r="AC398" s="20" t="n"/>
      <c r="AD398" s="20">
        <f>IF($J398="","출고일 미정",IF($P398="X","작지 미발행",IF($P398="부분","작지 일부 미발행",IF(AND($R398&lt;&gt;"",$R398&gt;$M398),"소재입고 마감("&amp;TEXT($M398,"MM/DD")&amp;") 초과",IF($P398="","발행여부 확인 필요",IF($R398="","소재 입고일정 확인 필요","정상"))))))</f>
        <v/>
      </c>
      <c r="AE398" s="19">
        <f>IF($J398="","",IF(OR(LEFT($AD398,2)="작지",LEFT($AD398,4)="소재입고"),IF(LEFT($G398,1)="A","★ 납기위험(A코드)","◆ 지연주의"),IF($AD398="정상","✓ 정상","? 확인필요")))</f>
        <v/>
      </c>
      <c r="AF398" s="21" t="n"/>
      <c r="AG398" s="28" t="n"/>
    </row>
    <row r="399">
      <c r="A399" s="19" t="n">
        <v>395</v>
      </c>
      <c r="B399" s="20" t="inlineStr">
        <is>
          <t>박진아</t>
        </is>
      </c>
      <c r="C399" s="20" t="inlineStr">
        <is>
          <t>권혁일</t>
        </is>
      </c>
      <c r="D399" s="20" t="inlineStr">
        <is>
          <t>TVPNW27472</t>
        </is>
      </c>
      <c r="E399" s="20" t="inlineStr">
        <is>
          <t>여성 본딩 테이퍼드핏 팬츠</t>
        </is>
      </c>
      <c r="F399" s="20" t="inlineStr">
        <is>
          <t>RBW/MID</t>
        </is>
      </c>
      <c r="G399" s="19">
        <f>IF($D399="","",IF(MID($D399,5,1)="A","A(가을)",IF(MID($D399,5,1)="W","W(겨울)",IF(MID($D399,5,1)="X","X(사계절)",MID($D399,5,1)))))</f>
        <v/>
      </c>
      <c r="H399" s="19" t="n"/>
      <c r="I399" s="21" t="n"/>
      <c r="J399" s="22">
        <f>IF($I399="","",IFERROR(DATE(기준정보!$C$7,VALUE(LEFT($I399,FIND("월",$I399)-1)),1+7*(VALUE(SUBSTITUTE(MID($I399,FIND("월",$I399)+1,5),"주",""))-1)),""))</f>
        <v/>
      </c>
      <c r="K399" s="22">
        <f>IF($J399="","",IF(AND(ISNUMBER(SEARCH("미얀마",$U399)),$J399-기준정보!$C$5&gt;=기준정보!$C$8,$J399-기준정보!$C$5&lt;=기준정보!$C$9),기준정보!$C$8-1,IF(AND(ISNUMBER(SEARCH("인도네시아",$U399)),$J399-기준정보!$C$5&gt;=기준정보!$C$10,$J399-기준정보!$C$5&lt;=기준정보!$C$11),기준정보!$C$10-1,$J399-기준정보!$C$5)))</f>
        <v/>
      </c>
      <c r="L399" s="23">
        <f>IF($K399="","",IF(ISNUMBER(SEARCH("미얀마",$U399)),MAX(0,MIN($K399,기준정보!$C$9)-MAX($K399-기준정보!$C$6,기준정보!$C$8)+1),IF(ISNUMBER(SEARCH("인도네시아",$U399)),MAX(0,MIN($K399,기준정보!$C$11)-MAX($K399-기준정보!$C$6,기준정보!$C$10)+1),0)))</f>
        <v/>
      </c>
      <c r="M399" s="22">
        <f>IF($K399="","",$K399-기준정보!$C$6-$L399)</f>
        <v/>
      </c>
      <c r="N399" s="24">
        <f>IF($M399="","",$M399-기준정보!$C$4)</f>
        <v/>
      </c>
      <c r="O399" s="21" t="n"/>
      <c r="P399" s="21" t="n"/>
      <c r="Q399" s="21" t="n"/>
      <c r="R399" s="25" t="n"/>
      <c r="S399" s="20">
        <f>IF($H399="","",IF($H399="C","본사(소재팀)",IF($H399="완","생산처","확인 필요")))</f>
        <v/>
      </c>
      <c r="T399" s="20" t="inlineStr">
        <is>
          <t>거림</t>
        </is>
      </c>
      <c r="U399" s="20" t="inlineStr">
        <is>
          <t>베트남</t>
        </is>
      </c>
      <c r="V399" s="20" t="n"/>
      <c r="W399" s="26" t="n"/>
      <c r="X399" s="26" t="n"/>
      <c r="Y399" s="22" t="n"/>
      <c r="Z399" s="27" t="n">
        <v>2500</v>
      </c>
      <c r="AA399" s="27" t="n">
        <v>104182500</v>
      </c>
      <c r="AB399" s="27" t="n">
        <v>495000000</v>
      </c>
      <c r="AC399" s="20" t="n"/>
      <c r="AD399" s="20">
        <f>IF($J399="","출고일 미정",IF($P399="X","작지 미발행",IF($P399="부분","작지 일부 미발행",IF(AND($R399&lt;&gt;"",$R399&gt;$M399),"소재입고 마감("&amp;TEXT($M399,"MM/DD")&amp;") 초과",IF($P399="","발행여부 확인 필요",IF($R399="","소재 입고일정 확인 필요","정상"))))))</f>
        <v/>
      </c>
      <c r="AE399" s="19">
        <f>IF($J399="","",IF(OR(LEFT($AD399,2)="작지",LEFT($AD399,4)="소재입고"),IF(LEFT($G399,1)="A","★ 납기위험(A코드)","◆ 지연주의"),IF($AD399="정상","✓ 정상","? 확인필요")))</f>
        <v/>
      </c>
      <c r="AF399" s="21" t="n"/>
      <c r="AG399" s="28" t="n"/>
    </row>
    <row r="400">
      <c r="A400" s="19" t="n">
        <v>396</v>
      </c>
      <c r="B400" s="20" t="inlineStr">
        <is>
          <t>박진아</t>
        </is>
      </c>
      <c r="C400" s="20" t="inlineStr">
        <is>
          <t>권혁일</t>
        </is>
      </c>
      <c r="D400" s="20" t="inlineStr">
        <is>
          <t>TVPNW27482</t>
        </is>
      </c>
      <c r="E400" s="20" t="inlineStr">
        <is>
          <t>여성 본딩 슬림핏 팬츠</t>
        </is>
      </c>
      <c r="F400" s="20" t="inlineStr">
        <is>
          <t>ABE/DEB</t>
        </is>
      </c>
      <c r="G400" s="19">
        <f>IF($D400="","",IF(MID($D400,5,1)="A","A(가을)",IF(MID($D400,5,1)="W","W(겨울)",IF(MID($D400,5,1)="X","X(사계절)",MID($D400,5,1)))))</f>
        <v/>
      </c>
      <c r="H400" s="19" t="n"/>
      <c r="I400" s="21" t="n"/>
      <c r="J400" s="22">
        <f>IF($I400="","",IFERROR(DATE(기준정보!$C$7,VALUE(LEFT($I400,FIND("월",$I400)-1)),1+7*(VALUE(SUBSTITUTE(MID($I400,FIND("월",$I400)+1,5),"주",""))-1)),""))</f>
        <v/>
      </c>
      <c r="K400" s="22">
        <f>IF($J400="","",IF(AND(ISNUMBER(SEARCH("미얀마",$U400)),$J400-기준정보!$C$5&gt;=기준정보!$C$8,$J400-기준정보!$C$5&lt;=기준정보!$C$9),기준정보!$C$8-1,IF(AND(ISNUMBER(SEARCH("인도네시아",$U400)),$J400-기준정보!$C$5&gt;=기준정보!$C$10,$J400-기준정보!$C$5&lt;=기준정보!$C$11),기준정보!$C$10-1,$J400-기준정보!$C$5)))</f>
        <v/>
      </c>
      <c r="L400" s="23">
        <f>IF($K400="","",IF(ISNUMBER(SEARCH("미얀마",$U400)),MAX(0,MIN($K400,기준정보!$C$9)-MAX($K400-기준정보!$C$6,기준정보!$C$8)+1),IF(ISNUMBER(SEARCH("인도네시아",$U400)),MAX(0,MIN($K400,기준정보!$C$11)-MAX($K400-기준정보!$C$6,기준정보!$C$10)+1),0)))</f>
        <v/>
      </c>
      <c r="M400" s="22">
        <f>IF($K400="","",$K400-기준정보!$C$6-$L400)</f>
        <v/>
      </c>
      <c r="N400" s="24">
        <f>IF($M400="","",$M400-기준정보!$C$4)</f>
        <v/>
      </c>
      <c r="O400" s="21" t="n"/>
      <c r="P400" s="21" t="n"/>
      <c r="Q400" s="21" t="n"/>
      <c r="R400" s="25" t="n"/>
      <c r="S400" s="20">
        <f>IF($H400="","",IF($H400="C","본사(소재팀)",IF($H400="완","생산처","확인 필요")))</f>
        <v/>
      </c>
      <c r="T400" s="20" t="inlineStr">
        <is>
          <t>TBO</t>
        </is>
      </c>
      <c r="U400" s="20" t="inlineStr">
        <is>
          <t>베트남</t>
        </is>
      </c>
      <c r="V400" s="20" t="n"/>
      <c r="W400" s="26" t="n"/>
      <c r="X400" s="26" t="n"/>
      <c r="Y400" s="22" t="n"/>
      <c r="Z400" s="27" t="n">
        <v>5500</v>
      </c>
      <c r="AA400" s="27" t="n">
        <v>208532500</v>
      </c>
      <c r="AB400" s="27" t="n">
        <v>1089000000</v>
      </c>
      <c r="AC400" s="20" t="n"/>
      <c r="AD400" s="20">
        <f>IF($J400="","출고일 미정",IF($P400="X","작지 미발행",IF($P400="부분","작지 일부 미발행",IF(AND($R400&lt;&gt;"",$R400&gt;$M400),"소재입고 마감("&amp;TEXT($M400,"MM/DD")&amp;") 초과",IF($P400="","발행여부 확인 필요",IF($R400="","소재 입고일정 확인 필요","정상"))))))</f>
        <v/>
      </c>
      <c r="AE400" s="19">
        <f>IF($J400="","",IF(OR(LEFT($AD400,2)="작지",LEFT($AD400,4)="소재입고"),IF(LEFT($G400,1)="A","★ 납기위험(A코드)","◆ 지연주의"),IF($AD400="정상","✓ 정상","? 확인필요")))</f>
        <v/>
      </c>
      <c r="AF400" s="21" t="n"/>
      <c r="AG400" s="28" t="n"/>
    </row>
    <row r="401">
      <c r="A401" s="19" t="n">
        <v>397</v>
      </c>
      <c r="B401" s="20" t="inlineStr"/>
      <c r="C401" s="20" t="inlineStr"/>
      <c r="D401" s="20" t="inlineStr">
        <is>
          <t>TVPOW27408</t>
        </is>
      </c>
      <c r="E401" s="20" t="inlineStr"/>
      <c r="F401" s="20" t="inlineStr">
        <is>
          <t>CO1/CO2</t>
        </is>
      </c>
      <c r="G401" s="19">
        <f>IF($D401="","",IF(MID($D401,5,1)="A","A(가을)",IF(MID($D401,5,1)="W","W(겨울)",IF(MID($D401,5,1)="X","X(사계절)",MID($D401,5,1)))))</f>
        <v/>
      </c>
      <c r="H401" s="19" t="n"/>
      <c r="I401" s="21" t="n"/>
      <c r="J401" s="22">
        <f>IF($I401="","",IFERROR(DATE(기준정보!$C$7,VALUE(LEFT($I401,FIND("월",$I401)-1)),1+7*(VALUE(SUBSTITUTE(MID($I401,FIND("월",$I401)+1,5),"주",""))-1)),""))</f>
        <v/>
      </c>
      <c r="K401" s="22">
        <f>IF($J401="","",IF(AND(ISNUMBER(SEARCH("미얀마",$U401)),$J401-기준정보!$C$5&gt;=기준정보!$C$8,$J401-기준정보!$C$5&lt;=기준정보!$C$9),기준정보!$C$8-1,IF(AND(ISNUMBER(SEARCH("인도네시아",$U401)),$J401-기준정보!$C$5&gt;=기준정보!$C$10,$J401-기준정보!$C$5&lt;=기준정보!$C$11),기준정보!$C$10-1,$J401-기준정보!$C$5)))</f>
        <v/>
      </c>
      <c r="L401" s="23">
        <f>IF($K401="","",IF(ISNUMBER(SEARCH("미얀마",$U401)),MAX(0,MIN($K401,기준정보!$C$9)-MAX($K401-기준정보!$C$6,기준정보!$C$8)+1),IF(ISNUMBER(SEARCH("인도네시아",$U401)),MAX(0,MIN($K401,기준정보!$C$11)-MAX($K401-기준정보!$C$6,기준정보!$C$10)+1),0)))</f>
        <v/>
      </c>
      <c r="M401" s="22">
        <f>IF($K401="","",$K401-기준정보!$C$6-$L401)</f>
        <v/>
      </c>
      <c r="N401" s="24">
        <f>IF($M401="","",$M401-기준정보!$C$4)</f>
        <v/>
      </c>
      <c r="O401" s="21" t="n"/>
      <c r="P401" s="21" t="n"/>
      <c r="Q401" s="21" t="n"/>
      <c r="R401" s="25" t="n"/>
      <c r="S401" s="20">
        <f>IF($H401="","",IF($H401="C","본사(소재팀)",IF($H401="완","생산처","확인 필요")))</f>
        <v/>
      </c>
      <c r="T401" s="20" t="n"/>
      <c r="U401" s="20" t="n"/>
      <c r="V401" s="20" t="n"/>
      <c r="W401" s="26" t="n"/>
      <c r="X401" s="26" t="n"/>
      <c r="Y401" s="22" t="n"/>
      <c r="Z401" s="27" t="n"/>
      <c r="AA401" s="27" t="n"/>
      <c r="AB401" s="27" t="n"/>
      <c r="AC401" s="20" t="n"/>
      <c r="AD401" s="20">
        <f>IF($J401="","출고일 미정",IF($P401="X","작지 미발행",IF($P401="부분","작지 일부 미발행",IF(AND($R401&lt;&gt;"",$R401&gt;$M401),"소재입고 마감("&amp;TEXT($M401,"MM/DD")&amp;") 초과",IF($P401="","발행여부 확인 필요",IF($R401="","소재 입고일정 확인 필요","정상"))))))</f>
        <v/>
      </c>
      <c r="AE401" s="19">
        <f>IF($J401="","",IF(OR(LEFT($AD401,2)="작지",LEFT($AD401,4)="소재입고"),IF(LEFT($G401,1)="A","★ 납기위험(A코드)","◆ 지연주의"),IF($AD401="정상","✓ 정상","? 확인필요")))</f>
        <v/>
      </c>
      <c r="AF401" s="21" t="n"/>
      <c r="AG401" s="28" t="n"/>
    </row>
    <row r="402">
      <c r="A402" s="19" t="n">
        <v>398</v>
      </c>
      <c r="B402" s="20" t="inlineStr">
        <is>
          <t>박진아</t>
        </is>
      </c>
      <c r="C402" s="20" t="inlineStr">
        <is>
          <t>권혁일</t>
        </is>
      </c>
      <c r="D402" s="20" t="inlineStr">
        <is>
          <t>TVTBW27402</t>
        </is>
      </c>
      <c r="E402" s="20" t="inlineStr">
        <is>
          <t>여성 베이직 긴팔 쿼터집업 슬림핏 티셔츠</t>
        </is>
      </c>
      <c r="F402" s="20" t="inlineStr">
        <is>
          <t>OAT/LPI/DEB</t>
        </is>
      </c>
      <c r="G402" s="19">
        <f>IF($D402="","",IF(MID($D402,5,1)="A","A(가을)",IF(MID($D402,5,1)="W","W(겨울)",IF(MID($D402,5,1)="X","X(사계절)",MID($D402,5,1)))))</f>
        <v/>
      </c>
      <c r="H402" s="19" t="n"/>
      <c r="I402" s="21" t="n"/>
      <c r="J402" s="22">
        <f>IF($I402="","",IFERROR(DATE(기준정보!$C$7,VALUE(LEFT($I402,FIND("월",$I402)-1)),1+7*(VALUE(SUBSTITUTE(MID($I402,FIND("월",$I402)+1,5),"주",""))-1)),""))</f>
        <v/>
      </c>
      <c r="K402" s="22">
        <f>IF($J402="","",IF(AND(ISNUMBER(SEARCH("미얀마",$U402)),$J402-기준정보!$C$5&gt;=기준정보!$C$8,$J402-기준정보!$C$5&lt;=기준정보!$C$9),기준정보!$C$8-1,IF(AND(ISNUMBER(SEARCH("인도네시아",$U402)),$J402-기준정보!$C$5&gt;=기준정보!$C$10,$J402-기준정보!$C$5&lt;=기준정보!$C$11),기준정보!$C$10-1,$J402-기준정보!$C$5)))</f>
        <v/>
      </c>
      <c r="L402" s="23">
        <f>IF($K402="","",IF(ISNUMBER(SEARCH("미얀마",$U402)),MAX(0,MIN($K402,기준정보!$C$9)-MAX($K402-기준정보!$C$6,기준정보!$C$8)+1),IF(ISNUMBER(SEARCH("인도네시아",$U402)),MAX(0,MIN($K402,기준정보!$C$11)-MAX($K402-기준정보!$C$6,기준정보!$C$10)+1),0)))</f>
        <v/>
      </c>
      <c r="M402" s="22">
        <f>IF($K402="","",$K402-기준정보!$C$6-$L402)</f>
        <v/>
      </c>
      <c r="N402" s="24">
        <f>IF($M402="","",$M402-기준정보!$C$4)</f>
        <v/>
      </c>
      <c r="O402" s="21" t="n"/>
      <c r="P402" s="21" t="n"/>
      <c r="Q402" s="21" t="n"/>
      <c r="R402" s="25" t="n"/>
      <c r="S402" s="20">
        <f>IF($H402="","",IF($H402="C","본사(소재팀)",IF($H402="완","생산처","확인 필요")))</f>
        <v/>
      </c>
      <c r="T402" s="20" t="inlineStr">
        <is>
          <t>장안</t>
        </is>
      </c>
      <c r="U402" s="20" t="inlineStr">
        <is>
          <t>베트남</t>
        </is>
      </c>
      <c r="V402" s="20" t="n"/>
      <c r="W402" s="26" t="n"/>
      <c r="X402" s="26" t="n"/>
      <c r="Y402" s="22" t="n"/>
      <c r="Z402" s="27" t="n">
        <v>7000</v>
      </c>
      <c r="AA402" s="27" t="n">
        <v>124467000</v>
      </c>
      <c r="AB402" s="27" t="n">
        <v>966000000</v>
      </c>
      <c r="AC402" s="20" t="n"/>
      <c r="AD402" s="20">
        <f>IF($J402="","출고일 미정",IF($P402="X","작지 미발행",IF($P402="부분","작지 일부 미발행",IF(AND($R402&lt;&gt;"",$R402&gt;$M402),"소재입고 마감("&amp;TEXT($M402,"MM/DD")&amp;") 초과",IF($P402="","발행여부 확인 필요",IF($R402="","소재 입고일정 확인 필요","정상"))))))</f>
        <v/>
      </c>
      <c r="AE402" s="19">
        <f>IF($J402="","",IF(OR(LEFT($AD402,2)="작지",LEFT($AD402,4)="소재입고"),IF(LEFT($G402,1)="A","★ 납기위험(A코드)","◆ 지연주의"),IF($AD402="정상","✓ 정상","? 확인필요")))</f>
        <v/>
      </c>
      <c r="AF402" s="21" t="n"/>
      <c r="AG402" s="28" t="n"/>
    </row>
    <row r="403">
      <c r="A403" s="19" t="n">
        <v>399</v>
      </c>
      <c r="B403" s="20" t="inlineStr">
        <is>
          <t>박진아</t>
        </is>
      </c>
      <c r="C403" s="20" t="inlineStr">
        <is>
          <t>권혁일</t>
        </is>
      </c>
      <c r="D403" s="20" t="inlineStr">
        <is>
          <t>TVTBW27404</t>
        </is>
      </c>
      <c r="E403" s="20" t="inlineStr">
        <is>
          <t>여성 그리드 릴렉스핏 긴팔 쿼터집업 티셔츠</t>
        </is>
      </c>
      <c r="F403" s="20" t="inlineStr">
        <is>
          <t>ECR/RBW</t>
        </is>
      </c>
      <c r="G403" s="19">
        <f>IF($D403="","",IF(MID($D403,5,1)="A","A(가을)",IF(MID($D403,5,1)="W","W(겨울)",IF(MID($D403,5,1)="X","X(사계절)",MID($D403,5,1)))))</f>
        <v/>
      </c>
      <c r="H403" s="19" t="n"/>
      <c r="I403" s="21" t="n"/>
      <c r="J403" s="22">
        <f>IF($I403="","",IFERROR(DATE(기준정보!$C$7,VALUE(LEFT($I403,FIND("월",$I403)-1)),1+7*(VALUE(SUBSTITUTE(MID($I403,FIND("월",$I403)+1,5),"주",""))-1)),""))</f>
        <v/>
      </c>
      <c r="K403" s="22">
        <f>IF($J403="","",IF(AND(ISNUMBER(SEARCH("미얀마",$U403)),$J403-기준정보!$C$5&gt;=기준정보!$C$8,$J403-기준정보!$C$5&lt;=기준정보!$C$9),기준정보!$C$8-1,IF(AND(ISNUMBER(SEARCH("인도네시아",$U403)),$J403-기준정보!$C$5&gt;=기준정보!$C$10,$J403-기준정보!$C$5&lt;=기준정보!$C$11),기준정보!$C$10-1,$J403-기준정보!$C$5)))</f>
        <v/>
      </c>
      <c r="L403" s="23">
        <f>IF($K403="","",IF(ISNUMBER(SEARCH("미얀마",$U403)),MAX(0,MIN($K403,기준정보!$C$9)-MAX($K403-기준정보!$C$6,기준정보!$C$8)+1),IF(ISNUMBER(SEARCH("인도네시아",$U403)),MAX(0,MIN($K403,기준정보!$C$11)-MAX($K403-기준정보!$C$6,기준정보!$C$10)+1),0)))</f>
        <v/>
      </c>
      <c r="M403" s="22">
        <f>IF($K403="","",$K403-기준정보!$C$6-$L403)</f>
        <v/>
      </c>
      <c r="N403" s="24">
        <f>IF($M403="","",$M403-기준정보!$C$4)</f>
        <v/>
      </c>
      <c r="O403" s="21" t="n"/>
      <c r="P403" s="21" t="n"/>
      <c r="Q403" s="21" t="n"/>
      <c r="R403" s="25" t="n"/>
      <c r="S403" s="20">
        <f>IF($H403="","",IF($H403="C","본사(소재팀)",IF($H403="완","생산처","확인 필요")))</f>
        <v/>
      </c>
      <c r="T403" s="20" t="inlineStr">
        <is>
          <t>IKG</t>
        </is>
      </c>
      <c r="U403" s="20" t="inlineStr">
        <is>
          <t>인도네시아</t>
        </is>
      </c>
      <c r="V403" s="20" t="n"/>
      <c r="W403" s="26" t="n"/>
      <c r="X403" s="26" t="n"/>
      <c r="Y403" s="22" t="n"/>
      <c r="Z403" s="27" t="n">
        <v>1800</v>
      </c>
      <c r="AA403" s="27" t="n">
        <v>54288000</v>
      </c>
      <c r="AB403" s="27" t="n">
        <v>284400000</v>
      </c>
      <c r="AC403" s="20" t="n"/>
      <c r="AD403" s="20">
        <f>IF($J403="","출고일 미정",IF($P403="X","작지 미발행",IF($P403="부분","작지 일부 미발행",IF(AND($R403&lt;&gt;"",$R403&gt;$M403),"소재입고 마감("&amp;TEXT($M403,"MM/DD")&amp;") 초과",IF($P403="","발행여부 확인 필요",IF($R403="","소재 입고일정 확인 필요","정상"))))))</f>
        <v/>
      </c>
      <c r="AE403" s="19">
        <f>IF($J403="","",IF(OR(LEFT($AD403,2)="작지",LEFT($AD403,4)="소재입고"),IF(LEFT($G403,1)="A","★ 납기위험(A코드)","◆ 지연주의"),IF($AD403="정상","✓ 정상","? 확인필요")))</f>
        <v/>
      </c>
      <c r="AF403" s="21" t="n"/>
      <c r="AG403" s="28" t="n"/>
    </row>
    <row r="404">
      <c r="A404" s="19" t="n">
        <v>400</v>
      </c>
      <c r="B404" s="20" t="inlineStr">
        <is>
          <t>박진아</t>
        </is>
      </c>
      <c r="C404" s="20" t="inlineStr">
        <is>
          <t>권혁일</t>
        </is>
      </c>
      <c r="D404" s="20" t="inlineStr">
        <is>
          <t>TVTBW27422</t>
        </is>
      </c>
      <c r="E404" s="20" t="inlineStr">
        <is>
          <t>여성 메쉬 플리스 슬림핏 긴팔 후드 티셔츠</t>
        </is>
      </c>
      <c r="F404" s="20" t="inlineStr">
        <is>
          <t>ABU/CHR</t>
        </is>
      </c>
      <c r="G404" s="19">
        <f>IF($D404="","",IF(MID($D404,5,1)="A","A(가을)",IF(MID($D404,5,1)="W","W(겨울)",IF(MID($D404,5,1)="X","X(사계절)",MID($D404,5,1)))))</f>
        <v/>
      </c>
      <c r="H404" s="19" t="n"/>
      <c r="I404" s="21" t="n"/>
      <c r="J404" s="22">
        <f>IF($I404="","",IFERROR(DATE(기준정보!$C$7,VALUE(LEFT($I404,FIND("월",$I404)-1)),1+7*(VALUE(SUBSTITUTE(MID($I404,FIND("월",$I404)+1,5),"주",""))-1)),""))</f>
        <v/>
      </c>
      <c r="K404" s="22">
        <f>IF($J404="","",IF(AND(ISNUMBER(SEARCH("미얀마",$U404)),$J404-기준정보!$C$5&gt;=기준정보!$C$8,$J404-기준정보!$C$5&lt;=기준정보!$C$9),기준정보!$C$8-1,IF(AND(ISNUMBER(SEARCH("인도네시아",$U404)),$J404-기준정보!$C$5&gt;=기준정보!$C$10,$J404-기준정보!$C$5&lt;=기준정보!$C$11),기준정보!$C$10-1,$J404-기준정보!$C$5)))</f>
        <v/>
      </c>
      <c r="L404" s="23">
        <f>IF($K404="","",IF(ISNUMBER(SEARCH("미얀마",$U404)),MAX(0,MIN($K404,기준정보!$C$9)-MAX($K404-기준정보!$C$6,기준정보!$C$8)+1),IF(ISNUMBER(SEARCH("인도네시아",$U404)),MAX(0,MIN($K404,기준정보!$C$11)-MAX($K404-기준정보!$C$6,기준정보!$C$10)+1),0)))</f>
        <v/>
      </c>
      <c r="M404" s="22">
        <f>IF($K404="","",$K404-기준정보!$C$6-$L404)</f>
        <v/>
      </c>
      <c r="N404" s="24">
        <f>IF($M404="","",$M404-기준정보!$C$4)</f>
        <v/>
      </c>
      <c r="O404" s="21" t="n"/>
      <c r="P404" s="21" t="n"/>
      <c r="Q404" s="21" t="n"/>
      <c r="R404" s="25" t="n"/>
      <c r="S404" s="20">
        <f>IF($H404="","",IF($H404="C","본사(소재팀)",IF($H404="완","생산처","확인 필요")))</f>
        <v/>
      </c>
      <c r="T404" s="20" t="inlineStr">
        <is>
          <t>장안</t>
        </is>
      </c>
      <c r="U404" s="20" t="inlineStr">
        <is>
          <t>베트남</t>
        </is>
      </c>
      <c r="V404" s="20" t="n"/>
      <c r="W404" s="26" t="n"/>
      <c r="X404" s="26" t="n"/>
      <c r="Y404" s="22" t="n"/>
      <c r="Z404" s="27" t="n">
        <v>2000</v>
      </c>
      <c r="AA404" s="27" t="n">
        <v>58578000</v>
      </c>
      <c r="AB404" s="27" t="n">
        <v>316000000</v>
      </c>
      <c r="AC404" s="20" t="n"/>
      <c r="AD404" s="20">
        <f>IF($J404="","출고일 미정",IF($P404="X","작지 미발행",IF($P404="부분","작지 일부 미발행",IF(AND($R404&lt;&gt;"",$R404&gt;$M404),"소재입고 마감("&amp;TEXT($M404,"MM/DD")&amp;") 초과",IF($P404="","발행여부 확인 필요",IF($R404="","소재 입고일정 확인 필요","정상"))))))</f>
        <v/>
      </c>
      <c r="AE404" s="19">
        <f>IF($J404="","",IF(OR(LEFT($AD404,2)="작지",LEFT($AD404,4)="소재입고"),IF(LEFT($G404,1)="A","★ 납기위험(A코드)","◆ 지연주의"),IF($AD404="정상","✓ 정상","? 확인필요")))</f>
        <v/>
      </c>
      <c r="AF404" s="21" t="n"/>
      <c r="AG404" s="28" t="n"/>
    </row>
    <row r="405">
      <c r="A405" s="19" t="n">
        <v>401</v>
      </c>
      <c r="B405" s="20" t="inlineStr">
        <is>
          <t>박진아</t>
        </is>
      </c>
      <c r="C405" s="20" t="inlineStr">
        <is>
          <t>권혁일</t>
        </is>
      </c>
      <c r="D405" s="20" t="inlineStr">
        <is>
          <t>TVTBW27424</t>
        </is>
      </c>
      <c r="E405" s="20" t="inlineStr">
        <is>
          <t>여성 부클플리스 긴팔 후드 티셔츠</t>
        </is>
      </c>
      <c r="F405" s="20" t="inlineStr">
        <is>
          <t>ECR/DTL</t>
        </is>
      </c>
      <c r="G405" s="19">
        <f>IF($D405="","",IF(MID($D405,5,1)="A","A(가을)",IF(MID($D405,5,1)="W","W(겨울)",IF(MID($D405,5,1)="X","X(사계절)",MID($D405,5,1)))))</f>
        <v/>
      </c>
      <c r="H405" s="19" t="n"/>
      <c r="I405" s="21" t="n"/>
      <c r="J405" s="22">
        <f>IF($I405="","",IFERROR(DATE(기준정보!$C$7,VALUE(LEFT($I405,FIND("월",$I405)-1)),1+7*(VALUE(SUBSTITUTE(MID($I405,FIND("월",$I405)+1,5),"주",""))-1)),""))</f>
        <v/>
      </c>
      <c r="K405" s="22">
        <f>IF($J405="","",IF(AND(ISNUMBER(SEARCH("미얀마",$U405)),$J405-기준정보!$C$5&gt;=기준정보!$C$8,$J405-기준정보!$C$5&lt;=기준정보!$C$9),기준정보!$C$8-1,IF(AND(ISNUMBER(SEARCH("인도네시아",$U405)),$J405-기준정보!$C$5&gt;=기준정보!$C$10,$J405-기준정보!$C$5&lt;=기준정보!$C$11),기준정보!$C$10-1,$J405-기준정보!$C$5)))</f>
        <v/>
      </c>
      <c r="L405" s="23">
        <f>IF($K405="","",IF(ISNUMBER(SEARCH("미얀마",$U405)),MAX(0,MIN($K405,기준정보!$C$9)-MAX($K405-기준정보!$C$6,기준정보!$C$8)+1),IF(ISNUMBER(SEARCH("인도네시아",$U405)),MAX(0,MIN($K405,기준정보!$C$11)-MAX($K405-기준정보!$C$6,기준정보!$C$10)+1),0)))</f>
        <v/>
      </c>
      <c r="M405" s="22">
        <f>IF($K405="","",$K405-기준정보!$C$6-$L405)</f>
        <v/>
      </c>
      <c r="N405" s="24">
        <f>IF($M405="","",$M405-기준정보!$C$4)</f>
        <v/>
      </c>
      <c r="O405" s="21" t="n"/>
      <c r="P405" s="21" t="n"/>
      <c r="Q405" s="21" t="n"/>
      <c r="R405" s="25" t="n"/>
      <c r="S405" s="20">
        <f>IF($H405="","",IF($H405="C","본사(소재팀)",IF($H405="완","생산처","확인 필요")))</f>
        <v/>
      </c>
      <c r="T405" s="20" t="inlineStr">
        <is>
          <t>IKG</t>
        </is>
      </c>
      <c r="U405" s="20" t="inlineStr">
        <is>
          <t>인도네시아</t>
        </is>
      </c>
      <c r="V405" s="20" t="n"/>
      <c r="W405" s="26" t="n"/>
      <c r="X405" s="26" t="n"/>
      <c r="Y405" s="22" t="n"/>
      <c r="Z405" s="27" t="n">
        <v>3000</v>
      </c>
      <c r="AA405" s="27" t="n">
        <v>93000000</v>
      </c>
      <c r="AB405" s="27" t="n">
        <v>474000000</v>
      </c>
      <c r="AC405" s="20" t="n"/>
      <c r="AD405" s="20">
        <f>IF($J405="","출고일 미정",IF($P405="X","작지 미발행",IF($P405="부분","작지 일부 미발행",IF(AND($R405&lt;&gt;"",$R405&gt;$M405),"소재입고 마감("&amp;TEXT($M405,"MM/DD")&amp;") 초과",IF($P405="","발행여부 확인 필요",IF($R405="","소재 입고일정 확인 필요","정상"))))))</f>
        <v/>
      </c>
      <c r="AE405" s="19">
        <f>IF($J405="","",IF(OR(LEFT($AD405,2)="작지",LEFT($AD405,4)="소재입고"),IF(LEFT($G405,1)="A","★ 납기위험(A코드)","◆ 지연주의"),IF($AD405="정상","✓ 정상","? 확인필요")))</f>
        <v/>
      </c>
      <c r="AF405" s="21" t="n"/>
      <c r="AG405" s="28" t="n"/>
    </row>
    <row r="406">
      <c r="A406" s="19" t="n">
        <v>402</v>
      </c>
      <c r="B406" s="20" t="inlineStr">
        <is>
          <t>박진아</t>
        </is>
      </c>
      <c r="C406" s="20" t="inlineStr">
        <is>
          <t>권혁일</t>
        </is>
      </c>
      <c r="D406" s="20" t="inlineStr">
        <is>
          <t>TVTBW27452</t>
        </is>
      </c>
      <c r="E406" s="20" t="inlineStr">
        <is>
          <t>여성 솟솟 플리스 긴팔 쿼터집업 티셔츠</t>
        </is>
      </c>
      <c r="F406" s="20" t="inlineStr">
        <is>
          <t>ECR/ALI/CHR/</t>
        </is>
      </c>
      <c r="G406" s="19">
        <f>IF($D406="","",IF(MID($D406,5,1)="A","A(가을)",IF(MID($D406,5,1)="W","W(겨울)",IF(MID($D406,5,1)="X","X(사계절)",MID($D406,5,1)))))</f>
        <v/>
      </c>
      <c r="H406" s="19" t="n"/>
      <c r="I406" s="21" t="n"/>
      <c r="J406" s="22">
        <f>IF($I406="","",IFERROR(DATE(기준정보!$C$7,VALUE(LEFT($I406,FIND("월",$I406)-1)),1+7*(VALUE(SUBSTITUTE(MID($I406,FIND("월",$I406)+1,5),"주",""))-1)),""))</f>
        <v/>
      </c>
      <c r="K406" s="22">
        <f>IF($J406="","",IF(AND(ISNUMBER(SEARCH("미얀마",$U406)),$J406-기준정보!$C$5&gt;=기준정보!$C$8,$J406-기준정보!$C$5&lt;=기준정보!$C$9),기준정보!$C$8-1,IF(AND(ISNUMBER(SEARCH("인도네시아",$U406)),$J406-기준정보!$C$5&gt;=기준정보!$C$10,$J406-기준정보!$C$5&lt;=기준정보!$C$11),기준정보!$C$10-1,$J406-기준정보!$C$5)))</f>
        <v/>
      </c>
      <c r="L406" s="23">
        <f>IF($K406="","",IF(ISNUMBER(SEARCH("미얀마",$U406)),MAX(0,MIN($K406,기준정보!$C$9)-MAX($K406-기준정보!$C$6,기준정보!$C$8)+1),IF(ISNUMBER(SEARCH("인도네시아",$U406)),MAX(0,MIN($K406,기준정보!$C$11)-MAX($K406-기준정보!$C$6,기준정보!$C$10)+1),0)))</f>
        <v/>
      </c>
      <c r="M406" s="22">
        <f>IF($K406="","",$K406-기준정보!$C$6-$L406)</f>
        <v/>
      </c>
      <c r="N406" s="24">
        <f>IF($M406="","",$M406-기준정보!$C$4)</f>
        <v/>
      </c>
      <c r="O406" s="21" t="n"/>
      <c r="P406" s="21" t="n"/>
      <c r="Q406" s="21" t="n"/>
      <c r="R406" s="25" t="n"/>
      <c r="S406" s="20">
        <f>IF($H406="","",IF($H406="C","본사(소재팀)",IF($H406="완","생산처","확인 필요")))</f>
        <v/>
      </c>
      <c r="T406" s="20" t="inlineStr">
        <is>
          <t>IKG</t>
        </is>
      </c>
      <c r="U406" s="20" t="inlineStr">
        <is>
          <t>인도네시아</t>
        </is>
      </c>
      <c r="V406" s="20" t="n"/>
      <c r="W406" s="26" t="n"/>
      <c r="X406" s="26" t="n"/>
      <c r="Y406" s="22" t="n"/>
      <c r="Z406" s="27" t="n">
        <v>8500</v>
      </c>
      <c r="AA406" s="27" t="n">
        <v>184484000</v>
      </c>
      <c r="AB406" s="27" t="n">
        <v>1258000000</v>
      </c>
      <c r="AC406" s="20" t="n"/>
      <c r="AD406" s="20">
        <f>IF($J406="","출고일 미정",IF($P406="X","작지 미발행",IF($P406="부분","작지 일부 미발행",IF(AND($R406&lt;&gt;"",$R406&gt;$M406),"소재입고 마감("&amp;TEXT($M406,"MM/DD")&amp;") 초과",IF($P406="","발행여부 확인 필요",IF($R406="","소재 입고일정 확인 필요","정상"))))))</f>
        <v/>
      </c>
      <c r="AE406" s="19">
        <f>IF($J406="","",IF(OR(LEFT($AD406,2)="작지",LEFT($AD406,4)="소재입고"),IF(LEFT($G406,1)="A","★ 납기위험(A코드)","◆ 지연주의"),IF($AD406="정상","✓ 정상","? 확인필요")))</f>
        <v/>
      </c>
      <c r="AF406" s="21" t="n"/>
      <c r="AG406" s="28" t="n"/>
    </row>
    <row r="407">
      <c r="A407" s="19" t="n">
        <v>403</v>
      </c>
      <c r="B407" s="20" t="inlineStr">
        <is>
          <t>박술홍</t>
        </is>
      </c>
      <c r="C407" s="20" t="inlineStr">
        <is>
          <t>조은선</t>
        </is>
      </c>
      <c r="D407" s="20" t="inlineStr">
        <is>
          <t>QEBXX27411</t>
        </is>
      </c>
      <c r="E407" s="20" t="inlineStr">
        <is>
          <t>남녀공용 경량 15L 티어드롭형 백팩</t>
        </is>
      </c>
      <c r="F407" s="20" t="inlineStr">
        <is>
          <t>CO1/CO2</t>
        </is>
      </c>
      <c r="G407" s="19">
        <f>IF($D407="","",IF(MID($D407,5,1)="A","A(가을)",IF(MID($D407,5,1)="W","W(겨울)",IF(MID($D407,5,1)="X","X(사계절)",MID($D407,5,1)))))</f>
        <v/>
      </c>
      <c r="H407" s="19" t="n"/>
      <c r="I407" s="21" t="inlineStr">
        <is>
          <t>8월1주</t>
        </is>
      </c>
      <c r="J407" s="22">
        <f>IF($I407="","",IFERROR(DATE(기준정보!$C$7,VALUE(LEFT($I407,FIND("월",$I407)-1)),1+7*(VALUE(SUBSTITUTE(MID($I407,FIND("월",$I407)+1,5),"주",""))-1)),""))</f>
        <v/>
      </c>
      <c r="K407" s="22">
        <f>IF($J407="","",IF(AND(ISNUMBER(SEARCH("미얀마",$U407)),$J407-기준정보!$C$5&gt;=기준정보!$C$8,$J407-기준정보!$C$5&lt;=기준정보!$C$9),기준정보!$C$8-1,IF(AND(ISNUMBER(SEARCH("인도네시아",$U407)),$J407-기준정보!$C$5&gt;=기준정보!$C$10,$J407-기준정보!$C$5&lt;=기준정보!$C$11),기준정보!$C$10-1,$J407-기준정보!$C$5)))</f>
        <v/>
      </c>
      <c r="L407" s="23">
        <f>IF($K407="","",IF(ISNUMBER(SEARCH("미얀마",$U407)),MAX(0,MIN($K407,기준정보!$C$9)-MAX($K407-기준정보!$C$6,기준정보!$C$8)+1),IF(ISNUMBER(SEARCH("인도네시아",$U407)),MAX(0,MIN($K407,기준정보!$C$11)-MAX($K407-기준정보!$C$6,기준정보!$C$10)+1),0)))</f>
        <v/>
      </c>
      <c r="M407" s="22">
        <f>IF($K407="","",$K407-기준정보!$C$6-$L407)</f>
        <v/>
      </c>
      <c r="N407" s="24">
        <f>IF($M407="","",$M407-기준정보!$C$4)</f>
        <v/>
      </c>
      <c r="O407" s="21" t="n"/>
      <c r="P407" s="21" t="n"/>
      <c r="Q407" s="21" t="n"/>
      <c r="R407" s="25" t="n"/>
      <c r="S407" s="20">
        <f>IF($H407="","",IF($H407="C","본사(소재팀)",IF($H407="완","생산처","확인 필요")))</f>
        <v/>
      </c>
      <c r="T407" s="20" t="inlineStr">
        <is>
          <t>인투잇</t>
        </is>
      </c>
      <c r="U407" s="20" t="inlineStr">
        <is>
          <t>중국</t>
        </is>
      </c>
      <c r="V407" s="20" t="n"/>
      <c r="W407" s="26" t="n"/>
      <c r="X407" s="26" t="n"/>
      <c r="Y407" s="22" t="n"/>
      <c r="Z407" s="27" t="n">
        <v>900</v>
      </c>
      <c r="AA407" s="27" t="n">
        <v>26586000</v>
      </c>
      <c r="AB407" s="27" t="n">
        <v>133200000</v>
      </c>
      <c r="AC407" s="20" t="n"/>
      <c r="AD407" s="20">
        <f>IF($J407="","출고일 미정",IF($P407="X","작지 미발행",IF($P407="부분","작지 일부 미발행",IF(AND($R407&lt;&gt;"",$R407&gt;$M407),"소재입고 마감("&amp;TEXT($M407,"MM/DD")&amp;") 초과",IF($P407="","발행여부 확인 필요",IF($R407="","소재 입고일정 확인 필요","정상"))))))</f>
        <v/>
      </c>
      <c r="AE407" s="19">
        <f>IF($J407="","",IF(OR(LEFT($AD407,2)="작지",LEFT($AD407,4)="소재입고"),IF(LEFT($G407,1)="A","★ 납기위험(A코드)","◆ 지연주의"),IF($AD407="정상","✓ 정상","? 확인필요")))</f>
        <v/>
      </c>
      <c r="AF407" s="21" t="n"/>
      <c r="AG407" s="28" t="n"/>
    </row>
    <row r="408">
      <c r="A408" s="19" t="n">
        <v>404</v>
      </c>
      <c r="B408" s="20" t="inlineStr">
        <is>
          <t>박술홍</t>
        </is>
      </c>
      <c r="C408" s="20" t="inlineStr">
        <is>
          <t>조은선</t>
        </is>
      </c>
      <c r="D408" s="20" t="inlineStr">
        <is>
          <t>QEBXX27413</t>
        </is>
      </c>
      <c r="E408" s="20" t="inlineStr">
        <is>
          <t>남녀공용 UHMWPE 15L 티어드롭형 백팩</t>
        </is>
      </c>
      <c r="F408" s="20" t="inlineStr">
        <is>
          <t>CO1</t>
        </is>
      </c>
      <c r="G408" s="19">
        <f>IF($D408="","",IF(MID($D408,5,1)="A","A(가을)",IF(MID($D408,5,1)="W","W(겨울)",IF(MID($D408,5,1)="X","X(사계절)",MID($D408,5,1)))))</f>
        <v/>
      </c>
      <c r="H408" s="19" t="n"/>
      <c r="I408" s="21" t="inlineStr">
        <is>
          <t>8월1주</t>
        </is>
      </c>
      <c r="J408" s="22">
        <f>IF($I408="","",IFERROR(DATE(기준정보!$C$7,VALUE(LEFT($I408,FIND("월",$I408)-1)),1+7*(VALUE(SUBSTITUTE(MID($I408,FIND("월",$I408)+1,5),"주",""))-1)),""))</f>
        <v/>
      </c>
      <c r="K408" s="22">
        <f>IF($J408="","",IF(AND(ISNUMBER(SEARCH("미얀마",$U408)),$J408-기준정보!$C$5&gt;=기준정보!$C$8,$J408-기준정보!$C$5&lt;=기준정보!$C$9),기준정보!$C$8-1,IF(AND(ISNUMBER(SEARCH("인도네시아",$U408)),$J408-기준정보!$C$5&gt;=기준정보!$C$10,$J408-기준정보!$C$5&lt;=기준정보!$C$11),기준정보!$C$10-1,$J408-기준정보!$C$5)))</f>
        <v/>
      </c>
      <c r="L408" s="23">
        <f>IF($K408="","",IF(ISNUMBER(SEARCH("미얀마",$U408)),MAX(0,MIN($K408,기준정보!$C$9)-MAX($K408-기준정보!$C$6,기준정보!$C$8)+1),IF(ISNUMBER(SEARCH("인도네시아",$U408)),MAX(0,MIN($K408,기준정보!$C$11)-MAX($K408-기준정보!$C$6,기준정보!$C$10)+1),0)))</f>
        <v/>
      </c>
      <c r="M408" s="22">
        <f>IF($K408="","",$K408-기준정보!$C$6-$L408)</f>
        <v/>
      </c>
      <c r="N408" s="24">
        <f>IF($M408="","",$M408-기준정보!$C$4)</f>
        <v/>
      </c>
      <c r="O408" s="21" t="n"/>
      <c r="P408" s="21" t="n"/>
      <c r="Q408" s="21" t="n"/>
      <c r="R408" s="25" t="n"/>
      <c r="S408" s="20">
        <f>IF($H408="","",IF($H408="C","본사(소재팀)",IF($H408="완","생산처","확인 필요")))</f>
        <v/>
      </c>
      <c r="T408" s="20" t="inlineStr">
        <is>
          <t>인투잇</t>
        </is>
      </c>
      <c r="U408" s="20" t="inlineStr">
        <is>
          <t>중국</t>
        </is>
      </c>
      <c r="V408" s="20" t="n"/>
      <c r="W408" s="26" t="n"/>
      <c r="X408" s="26" t="n"/>
      <c r="Y408" s="22" t="n"/>
      <c r="Z408" s="27" t="n">
        <v>200</v>
      </c>
      <c r="AA408" s="27" t="n">
        <v>13908000</v>
      </c>
      <c r="AB408" s="27" t="n">
        <v>50000000</v>
      </c>
      <c r="AC408" s="20" t="n"/>
      <c r="AD408" s="20">
        <f>IF($J408="","출고일 미정",IF($P408="X","작지 미발행",IF($P408="부분","작지 일부 미발행",IF(AND($R408&lt;&gt;"",$R408&gt;$M408),"소재입고 마감("&amp;TEXT($M408,"MM/DD")&amp;") 초과",IF($P408="","발행여부 확인 필요",IF($R408="","소재 입고일정 확인 필요","정상"))))))</f>
        <v/>
      </c>
      <c r="AE408" s="19">
        <f>IF($J408="","",IF(OR(LEFT($AD408,2)="작지",LEFT($AD408,4)="소재입고"),IF(LEFT($G408,1)="A","★ 납기위험(A코드)","◆ 지연주의"),IF($AD408="정상","✓ 정상","? 확인필요")))</f>
        <v/>
      </c>
      <c r="AF408" s="21" t="n"/>
      <c r="AG408" s="28" t="n"/>
    </row>
    <row r="409">
      <c r="A409" s="19" t="n">
        <v>405</v>
      </c>
      <c r="B409" s="20" t="inlineStr">
        <is>
          <t>박술홍</t>
        </is>
      </c>
      <c r="C409" s="20" t="inlineStr">
        <is>
          <t>조은선</t>
        </is>
      </c>
      <c r="D409" s="20" t="inlineStr">
        <is>
          <t>QEBXX27421</t>
        </is>
      </c>
      <c r="E409" s="20" t="inlineStr">
        <is>
          <t>남녀공용 경량 20L 티어드롭형 백팩</t>
        </is>
      </c>
      <c r="F409" s="20" t="inlineStr">
        <is>
          <t>CO1/CO2</t>
        </is>
      </c>
      <c r="G409" s="19">
        <f>IF($D409="","",IF(MID($D409,5,1)="A","A(가을)",IF(MID($D409,5,1)="W","W(겨울)",IF(MID($D409,5,1)="X","X(사계절)",MID($D409,5,1)))))</f>
        <v/>
      </c>
      <c r="H409" s="19" t="n"/>
      <c r="I409" s="21" t="inlineStr">
        <is>
          <t>8월1주</t>
        </is>
      </c>
      <c r="J409" s="22">
        <f>IF($I409="","",IFERROR(DATE(기준정보!$C$7,VALUE(LEFT($I409,FIND("월",$I409)-1)),1+7*(VALUE(SUBSTITUTE(MID($I409,FIND("월",$I409)+1,5),"주",""))-1)),""))</f>
        <v/>
      </c>
      <c r="K409" s="22">
        <f>IF($J409="","",IF(AND(ISNUMBER(SEARCH("미얀마",$U409)),$J409-기준정보!$C$5&gt;=기준정보!$C$8,$J409-기준정보!$C$5&lt;=기준정보!$C$9),기준정보!$C$8-1,IF(AND(ISNUMBER(SEARCH("인도네시아",$U409)),$J409-기준정보!$C$5&gt;=기준정보!$C$10,$J409-기준정보!$C$5&lt;=기준정보!$C$11),기준정보!$C$10-1,$J409-기준정보!$C$5)))</f>
        <v/>
      </c>
      <c r="L409" s="23">
        <f>IF($K409="","",IF(ISNUMBER(SEARCH("미얀마",$U409)),MAX(0,MIN($K409,기준정보!$C$9)-MAX($K409-기준정보!$C$6,기준정보!$C$8)+1),IF(ISNUMBER(SEARCH("인도네시아",$U409)),MAX(0,MIN($K409,기준정보!$C$11)-MAX($K409-기준정보!$C$6,기준정보!$C$10)+1),0)))</f>
        <v/>
      </c>
      <c r="M409" s="22">
        <f>IF($K409="","",$K409-기준정보!$C$6-$L409)</f>
        <v/>
      </c>
      <c r="N409" s="24">
        <f>IF($M409="","",$M409-기준정보!$C$4)</f>
        <v/>
      </c>
      <c r="O409" s="21" t="n"/>
      <c r="P409" s="21" t="n"/>
      <c r="Q409" s="21" t="n"/>
      <c r="R409" s="25" t="n"/>
      <c r="S409" s="20">
        <f>IF($H409="","",IF($H409="C","본사(소재팀)",IF($H409="완","생산처","확인 필요")))</f>
        <v/>
      </c>
      <c r="T409" s="20" t="inlineStr">
        <is>
          <t>인투잇</t>
        </is>
      </c>
      <c r="U409" s="20" t="inlineStr">
        <is>
          <t>중국</t>
        </is>
      </c>
      <c r="V409" s="20" t="n"/>
      <c r="W409" s="26" t="n"/>
      <c r="X409" s="26" t="n"/>
      <c r="Y409" s="22" t="n"/>
      <c r="Z409" s="27" t="n">
        <v>600</v>
      </c>
      <c r="AA409" s="27" t="n">
        <v>19526400</v>
      </c>
      <c r="AB409" s="27" t="n">
        <v>106800000</v>
      </c>
      <c r="AC409" s="20" t="n"/>
      <c r="AD409" s="20">
        <f>IF($J409="","출고일 미정",IF($P409="X","작지 미발행",IF($P409="부분","작지 일부 미발행",IF(AND($R409&lt;&gt;"",$R409&gt;$M409),"소재입고 마감("&amp;TEXT($M409,"MM/DD")&amp;") 초과",IF($P409="","발행여부 확인 필요",IF($R409="","소재 입고일정 확인 필요","정상"))))))</f>
        <v/>
      </c>
      <c r="AE409" s="19">
        <f>IF($J409="","",IF(OR(LEFT($AD409,2)="작지",LEFT($AD409,4)="소재입고"),IF(LEFT($G409,1)="A","★ 납기위험(A코드)","◆ 지연주의"),IF($AD409="정상","✓ 정상","? 확인필요")))</f>
        <v/>
      </c>
      <c r="AF409" s="21" t="n"/>
      <c r="AG409" s="28" t="n"/>
    </row>
    <row r="410">
      <c r="A410" s="19" t="n">
        <v>406</v>
      </c>
      <c r="B410" s="20" t="inlineStr">
        <is>
          <t>박술홍</t>
        </is>
      </c>
      <c r="C410" s="20" t="inlineStr">
        <is>
          <t>조은선</t>
        </is>
      </c>
      <c r="D410" s="20" t="inlineStr">
        <is>
          <t>QEBXX27441</t>
        </is>
      </c>
      <c r="E410" s="20" t="inlineStr">
        <is>
          <t>남여공용 롤탑형 40L 백패킹 백팩</t>
        </is>
      </c>
      <c r="F410" s="20" t="inlineStr">
        <is>
          <t>CO1</t>
        </is>
      </c>
      <c r="G410" s="19">
        <f>IF($D410="","",IF(MID($D410,5,1)="A","A(가을)",IF(MID($D410,5,1)="W","W(겨울)",IF(MID($D410,5,1)="X","X(사계절)",MID($D410,5,1)))))</f>
        <v/>
      </c>
      <c r="H410" s="19" t="n"/>
      <c r="I410" s="21" t="inlineStr">
        <is>
          <t>8월1주</t>
        </is>
      </c>
      <c r="J410" s="22">
        <f>IF($I410="","",IFERROR(DATE(기준정보!$C$7,VALUE(LEFT($I410,FIND("월",$I410)-1)),1+7*(VALUE(SUBSTITUTE(MID($I410,FIND("월",$I410)+1,5),"주",""))-1)),""))</f>
        <v/>
      </c>
      <c r="K410" s="22">
        <f>IF($J410="","",IF(AND(ISNUMBER(SEARCH("미얀마",$U410)),$J410-기준정보!$C$5&gt;=기준정보!$C$8,$J410-기준정보!$C$5&lt;=기준정보!$C$9),기준정보!$C$8-1,IF(AND(ISNUMBER(SEARCH("인도네시아",$U410)),$J410-기준정보!$C$5&gt;=기준정보!$C$10,$J410-기준정보!$C$5&lt;=기준정보!$C$11),기준정보!$C$10-1,$J410-기준정보!$C$5)))</f>
        <v/>
      </c>
      <c r="L410" s="23">
        <f>IF($K410="","",IF(ISNUMBER(SEARCH("미얀마",$U410)),MAX(0,MIN($K410,기준정보!$C$9)-MAX($K410-기준정보!$C$6,기준정보!$C$8)+1),IF(ISNUMBER(SEARCH("인도네시아",$U410)),MAX(0,MIN($K410,기준정보!$C$11)-MAX($K410-기준정보!$C$6,기준정보!$C$10)+1),0)))</f>
        <v/>
      </c>
      <c r="M410" s="22">
        <f>IF($K410="","",$K410-기준정보!$C$6-$L410)</f>
        <v/>
      </c>
      <c r="N410" s="24">
        <f>IF($M410="","",$M410-기준정보!$C$4)</f>
        <v/>
      </c>
      <c r="O410" s="21" t="n"/>
      <c r="P410" s="21" t="n"/>
      <c r="Q410" s="21" t="n"/>
      <c r="R410" s="25" t="n"/>
      <c r="S410" s="20">
        <f>IF($H410="","",IF($H410="C","본사(소재팀)",IF($H410="완","생산처","확인 필요")))</f>
        <v/>
      </c>
      <c r="T410" s="20" t="inlineStr">
        <is>
          <t>인투잇</t>
        </is>
      </c>
      <c r="U410" s="20" t="inlineStr">
        <is>
          <t>중국</t>
        </is>
      </c>
      <c r="V410" s="20" t="n"/>
      <c r="W410" s="26" t="n"/>
      <c r="X410" s="26" t="n"/>
      <c r="Y410" s="22" t="n"/>
      <c r="Z410" s="27" t="n">
        <v>800</v>
      </c>
      <c r="AA410" s="27" t="n">
        <v>110256000</v>
      </c>
      <c r="AB410" s="27" t="n">
        <v>360000000</v>
      </c>
      <c r="AC410" s="20" t="n"/>
      <c r="AD410" s="20">
        <f>IF($J410="","출고일 미정",IF($P410="X","작지 미발행",IF($P410="부분","작지 일부 미발행",IF(AND($R410&lt;&gt;"",$R410&gt;$M410),"소재입고 마감("&amp;TEXT($M410,"MM/DD")&amp;") 초과",IF($P410="","발행여부 확인 필요",IF($R410="","소재 입고일정 확인 필요","정상"))))))</f>
        <v/>
      </c>
      <c r="AE410" s="19">
        <f>IF($J410="","",IF(OR(LEFT($AD410,2)="작지",LEFT($AD410,4)="소재입고"),IF(LEFT($G410,1)="A","★ 납기위험(A코드)","◆ 지연주의"),IF($AD410="정상","✓ 정상","? 확인필요")))</f>
        <v/>
      </c>
      <c r="AF410" s="21" t="n"/>
      <c r="AG410" s="28" t="n"/>
    </row>
    <row r="411">
      <c r="A411" s="19" t="n">
        <v>407</v>
      </c>
      <c r="B411" s="20" t="inlineStr">
        <is>
          <t>최지희</t>
        </is>
      </c>
      <c r="C411" s="20" t="inlineStr">
        <is>
          <t>조은선</t>
        </is>
      </c>
      <c r="D411" s="20" t="inlineStr">
        <is>
          <t>QEBXX27601</t>
        </is>
      </c>
      <c r="E411" s="20" t="inlineStr">
        <is>
          <t>남녀공용 아라미드 백팩</t>
        </is>
      </c>
      <c r="F411" s="20" t="inlineStr">
        <is>
          <t>DEB</t>
        </is>
      </c>
      <c r="G411" s="19">
        <f>IF($D411="","",IF(MID($D411,5,1)="A","A(가을)",IF(MID($D411,5,1)="W","W(겨울)",IF(MID($D411,5,1)="X","X(사계절)",MID($D411,5,1)))))</f>
        <v/>
      </c>
      <c r="H411" s="19" t="n"/>
      <c r="I411" s="21" t="inlineStr">
        <is>
          <t>8월1주</t>
        </is>
      </c>
      <c r="J411" s="22">
        <f>IF($I411="","",IFERROR(DATE(기준정보!$C$7,VALUE(LEFT($I411,FIND("월",$I411)-1)),1+7*(VALUE(SUBSTITUTE(MID($I411,FIND("월",$I411)+1,5),"주",""))-1)),""))</f>
        <v/>
      </c>
      <c r="K411" s="22">
        <f>IF($J411="","",IF(AND(ISNUMBER(SEARCH("미얀마",$U411)),$J411-기준정보!$C$5&gt;=기준정보!$C$8,$J411-기준정보!$C$5&lt;=기준정보!$C$9),기준정보!$C$8-1,IF(AND(ISNUMBER(SEARCH("인도네시아",$U411)),$J411-기준정보!$C$5&gt;=기준정보!$C$10,$J411-기준정보!$C$5&lt;=기준정보!$C$11),기준정보!$C$10-1,$J411-기준정보!$C$5)))</f>
        <v/>
      </c>
      <c r="L411" s="23">
        <f>IF($K411="","",IF(ISNUMBER(SEARCH("미얀마",$U411)),MAX(0,MIN($K411,기준정보!$C$9)-MAX($K411-기준정보!$C$6,기준정보!$C$8)+1),IF(ISNUMBER(SEARCH("인도네시아",$U411)),MAX(0,MIN($K411,기준정보!$C$11)-MAX($K411-기준정보!$C$6,기준정보!$C$10)+1),0)))</f>
        <v/>
      </c>
      <c r="M411" s="22">
        <f>IF($K411="","",$K411-기준정보!$C$6-$L411)</f>
        <v/>
      </c>
      <c r="N411" s="24">
        <f>IF($M411="","",$M411-기준정보!$C$4)</f>
        <v/>
      </c>
      <c r="O411" s="21" t="n"/>
      <c r="P411" s="21" t="n"/>
      <c r="Q411" s="21" t="n"/>
      <c r="R411" s="25" t="n"/>
      <c r="S411" s="20">
        <f>IF($H411="","",IF($H411="C","본사(소재팀)",IF($H411="완","생산처","확인 필요")))</f>
        <v/>
      </c>
      <c r="T411" s="20" t="inlineStr">
        <is>
          <t>인투잇</t>
        </is>
      </c>
      <c r="U411" s="20" t="inlineStr">
        <is>
          <t>중국</t>
        </is>
      </c>
      <c r="V411" s="20" t="n"/>
      <c r="W411" s="26" t="n"/>
      <c r="X411" s="26" t="n"/>
      <c r="Y411" s="22" t="n"/>
      <c r="Z411" s="27" t="n">
        <v>300</v>
      </c>
      <c r="AA411" s="27" t="n">
        <v>16500000</v>
      </c>
      <c r="AB411" s="27" t="n">
        <v>66000000</v>
      </c>
      <c r="AC411" s="20" t="n"/>
      <c r="AD411" s="20">
        <f>IF($J411="","출고일 미정",IF($P411="X","작지 미발행",IF($P411="부분","작지 일부 미발행",IF(AND($R411&lt;&gt;"",$R411&gt;$M411),"소재입고 마감("&amp;TEXT($M411,"MM/DD")&amp;") 초과",IF($P411="","발행여부 확인 필요",IF($R411="","소재 입고일정 확인 필요","정상"))))))</f>
        <v/>
      </c>
      <c r="AE411" s="19">
        <f>IF($J411="","",IF(OR(LEFT($AD411,2)="작지",LEFT($AD411,4)="소재입고"),IF(LEFT($G411,1)="A","★ 납기위험(A코드)","◆ 지연주의"),IF($AD411="정상","✓ 정상","? 확인필요")))</f>
        <v/>
      </c>
      <c r="AF411" s="21" t="n"/>
      <c r="AG411" s="28" t="n"/>
    </row>
    <row r="412">
      <c r="A412" s="19" t="n">
        <v>408</v>
      </c>
      <c r="B412" s="20" t="inlineStr">
        <is>
          <t>최지희</t>
        </is>
      </c>
      <c r="C412" s="20" t="inlineStr">
        <is>
          <t>조은선</t>
        </is>
      </c>
      <c r="D412" s="20" t="inlineStr">
        <is>
          <t>QEBXX27621</t>
        </is>
      </c>
      <c r="E412" s="20" t="inlineStr">
        <is>
          <t>남녀공용 3L 마조테크 백팩</t>
        </is>
      </c>
      <c r="F412" s="20" t="inlineStr">
        <is>
          <t>WGY</t>
        </is>
      </c>
      <c r="G412" s="19">
        <f>IF($D412="","",IF(MID($D412,5,1)="A","A(가을)",IF(MID($D412,5,1)="W","W(겨울)",IF(MID($D412,5,1)="X","X(사계절)",MID($D412,5,1)))))</f>
        <v/>
      </c>
      <c r="H412" s="19" t="n"/>
      <c r="I412" s="21" t="inlineStr">
        <is>
          <t>8월1주</t>
        </is>
      </c>
      <c r="J412" s="22">
        <f>IF($I412="","",IFERROR(DATE(기준정보!$C$7,VALUE(LEFT($I412,FIND("월",$I412)-1)),1+7*(VALUE(SUBSTITUTE(MID($I412,FIND("월",$I412)+1,5),"주",""))-1)),""))</f>
        <v/>
      </c>
      <c r="K412" s="22">
        <f>IF($J412="","",IF(AND(ISNUMBER(SEARCH("미얀마",$U412)),$J412-기준정보!$C$5&gt;=기준정보!$C$8,$J412-기준정보!$C$5&lt;=기준정보!$C$9),기준정보!$C$8-1,IF(AND(ISNUMBER(SEARCH("인도네시아",$U412)),$J412-기준정보!$C$5&gt;=기준정보!$C$10,$J412-기준정보!$C$5&lt;=기준정보!$C$11),기준정보!$C$10-1,$J412-기준정보!$C$5)))</f>
        <v/>
      </c>
      <c r="L412" s="23">
        <f>IF($K412="","",IF(ISNUMBER(SEARCH("미얀마",$U412)),MAX(0,MIN($K412,기준정보!$C$9)-MAX($K412-기준정보!$C$6,기준정보!$C$8)+1),IF(ISNUMBER(SEARCH("인도네시아",$U412)),MAX(0,MIN($K412,기준정보!$C$11)-MAX($K412-기준정보!$C$6,기준정보!$C$10)+1),0)))</f>
        <v/>
      </c>
      <c r="M412" s="22">
        <f>IF($K412="","",$K412-기준정보!$C$6-$L412)</f>
        <v/>
      </c>
      <c r="N412" s="24">
        <f>IF($M412="","",$M412-기준정보!$C$4)</f>
        <v/>
      </c>
      <c r="O412" s="21" t="n"/>
      <c r="P412" s="21" t="n"/>
      <c r="Q412" s="21" t="n"/>
      <c r="R412" s="25" t="n"/>
      <c r="S412" s="20">
        <f>IF($H412="","",IF($H412="C","본사(소재팀)",IF($H412="완","생산처","확인 필요")))</f>
        <v/>
      </c>
      <c r="T412" s="20" t="inlineStr">
        <is>
          <t>인투잇</t>
        </is>
      </c>
      <c r="U412" s="20" t="inlineStr">
        <is>
          <t>중국</t>
        </is>
      </c>
      <c r="V412" s="20" t="n"/>
      <c r="W412" s="26" t="n"/>
      <c r="X412" s="26" t="n"/>
      <c r="Y412" s="22" t="n"/>
      <c r="Z412" s="27" t="n">
        <v>300</v>
      </c>
      <c r="AA412" s="27" t="n">
        <v>23994600</v>
      </c>
      <c r="AB412" s="27" t="n">
        <v>87000000</v>
      </c>
      <c r="AC412" s="20" t="n"/>
      <c r="AD412" s="20">
        <f>IF($J412="","출고일 미정",IF($P412="X","작지 미발행",IF($P412="부분","작지 일부 미발행",IF(AND($R412&lt;&gt;"",$R412&gt;$M412),"소재입고 마감("&amp;TEXT($M412,"MM/DD")&amp;") 초과",IF($P412="","발행여부 확인 필요",IF($R412="","소재 입고일정 확인 필요","정상"))))))</f>
        <v/>
      </c>
      <c r="AE412" s="19">
        <f>IF($J412="","",IF(OR(LEFT($AD412,2)="작지",LEFT($AD412,4)="소재입고"),IF(LEFT($G412,1)="A","★ 납기위험(A코드)","◆ 지연주의"),IF($AD412="정상","✓ 정상","? 확인필요")))</f>
        <v/>
      </c>
      <c r="AF412" s="21" t="n"/>
      <c r="AG412" s="28" t="n"/>
    </row>
    <row r="413">
      <c r="A413" s="19" t="n">
        <v>409</v>
      </c>
      <c r="B413" s="20" t="inlineStr">
        <is>
          <t>박술홍</t>
        </is>
      </c>
      <c r="C413" s="20" t="inlineStr">
        <is>
          <t>나영길</t>
        </is>
      </c>
      <c r="D413" s="20" t="inlineStr">
        <is>
          <t>QEBXX27751</t>
        </is>
      </c>
      <c r="E413" s="20" t="inlineStr">
        <is>
          <t>남녀공용 트레일러닝 베스트 10L</t>
        </is>
      </c>
      <c r="F413" s="20" t="inlineStr">
        <is>
          <t>AWH</t>
        </is>
      </c>
      <c r="G413" s="19">
        <f>IF($D413="","",IF(MID($D413,5,1)="A","A(가을)",IF(MID($D413,5,1)="W","W(겨울)",IF(MID($D413,5,1)="X","X(사계절)",MID($D413,5,1)))))</f>
        <v/>
      </c>
      <c r="H413" s="19" t="n"/>
      <c r="I413" s="21" t="inlineStr">
        <is>
          <t>8월1주</t>
        </is>
      </c>
      <c r="J413" s="22">
        <f>IF($I413="","",IFERROR(DATE(기준정보!$C$7,VALUE(LEFT($I413,FIND("월",$I413)-1)),1+7*(VALUE(SUBSTITUTE(MID($I413,FIND("월",$I413)+1,5),"주",""))-1)),""))</f>
        <v/>
      </c>
      <c r="K413" s="22">
        <f>IF($J413="","",IF(AND(ISNUMBER(SEARCH("미얀마",$U413)),$J413-기준정보!$C$5&gt;=기준정보!$C$8,$J413-기준정보!$C$5&lt;=기준정보!$C$9),기준정보!$C$8-1,IF(AND(ISNUMBER(SEARCH("인도네시아",$U413)),$J413-기준정보!$C$5&gt;=기준정보!$C$10,$J413-기준정보!$C$5&lt;=기준정보!$C$11),기준정보!$C$10-1,$J413-기준정보!$C$5)))</f>
        <v/>
      </c>
      <c r="L413" s="23">
        <f>IF($K413="","",IF(ISNUMBER(SEARCH("미얀마",$U413)),MAX(0,MIN($K413,기준정보!$C$9)-MAX($K413-기준정보!$C$6,기준정보!$C$8)+1),IF(ISNUMBER(SEARCH("인도네시아",$U413)),MAX(0,MIN($K413,기준정보!$C$11)-MAX($K413-기준정보!$C$6,기준정보!$C$10)+1),0)))</f>
        <v/>
      </c>
      <c r="M413" s="22">
        <f>IF($K413="","",$K413-기준정보!$C$6-$L413)</f>
        <v/>
      </c>
      <c r="N413" s="24">
        <f>IF($M413="","",$M413-기준정보!$C$4)</f>
        <v/>
      </c>
      <c r="O413" s="21" t="n"/>
      <c r="P413" s="21" t="n"/>
      <c r="Q413" s="21" t="n"/>
      <c r="R413" s="25" t="n"/>
      <c r="S413" s="20">
        <f>IF($H413="","",IF($H413="C","본사(소재팀)",IF($H413="완","생산처","확인 필요")))</f>
        <v/>
      </c>
      <c r="T413" s="20" t="inlineStr">
        <is>
          <t>풍국</t>
        </is>
      </c>
      <c r="U413" s="20" t="inlineStr">
        <is>
          <t>베트남</t>
        </is>
      </c>
      <c r="V413" s="20" t="n"/>
      <c r="W413" s="26" t="n"/>
      <c r="X413" s="26" t="n"/>
      <c r="Y413" s="22" t="n"/>
      <c r="Z413" s="27" t="n">
        <v>350</v>
      </c>
      <c r="AA413" s="27" t="n">
        <v>21323750</v>
      </c>
      <c r="AB413" s="27" t="n">
        <v>87500000</v>
      </c>
      <c r="AC413" s="20" t="n"/>
      <c r="AD413" s="20">
        <f>IF($J413="","출고일 미정",IF($P413="X","작지 미발행",IF($P413="부분","작지 일부 미발행",IF(AND($R413&lt;&gt;"",$R413&gt;$M413),"소재입고 마감("&amp;TEXT($M413,"MM/DD")&amp;") 초과",IF($P413="","발행여부 확인 필요",IF($R413="","소재 입고일정 확인 필요","정상"))))))</f>
        <v/>
      </c>
      <c r="AE413" s="19">
        <f>IF($J413="","",IF(OR(LEFT($AD413,2)="작지",LEFT($AD413,4)="소재입고"),IF(LEFT($G413,1)="A","★ 납기위험(A코드)","◆ 지연주의"),IF($AD413="정상","✓ 정상","? 확인필요")))</f>
        <v/>
      </c>
      <c r="AF413" s="21" t="n"/>
      <c r="AG413" s="28" t="n"/>
    </row>
    <row r="414">
      <c r="A414" s="19" t="n">
        <v>410</v>
      </c>
      <c r="B414" s="20" t="inlineStr">
        <is>
          <t>최지희</t>
        </is>
      </c>
      <c r="C414" s="20" t="inlineStr">
        <is>
          <t>조은선</t>
        </is>
      </c>
      <c r="D414" s="20" t="inlineStr">
        <is>
          <t>QELAX27403</t>
        </is>
      </c>
      <c r="E414" s="20" t="inlineStr">
        <is>
          <t>남녀공용 하이킹 크루 삭스</t>
        </is>
      </c>
      <c r="F414" s="20" t="inlineStr">
        <is>
          <t>DEB/CO2</t>
        </is>
      </c>
      <c r="G414" s="19">
        <f>IF($D414="","",IF(MID($D414,5,1)="A","A(가을)",IF(MID($D414,5,1)="W","W(겨울)",IF(MID($D414,5,1)="X","X(사계절)",MID($D414,5,1)))))</f>
        <v/>
      </c>
      <c r="H414" s="19" t="n"/>
      <c r="I414" s="21" t="inlineStr">
        <is>
          <t>8월1주</t>
        </is>
      </c>
      <c r="J414" s="22">
        <f>IF($I414="","",IFERROR(DATE(기준정보!$C$7,VALUE(LEFT($I414,FIND("월",$I414)-1)),1+7*(VALUE(SUBSTITUTE(MID($I414,FIND("월",$I414)+1,5),"주",""))-1)),""))</f>
        <v/>
      </c>
      <c r="K414" s="22">
        <f>IF($J414="","",IF(AND(ISNUMBER(SEARCH("미얀마",$U414)),$J414-기준정보!$C$5&gt;=기준정보!$C$8,$J414-기준정보!$C$5&lt;=기준정보!$C$9),기준정보!$C$8-1,IF(AND(ISNUMBER(SEARCH("인도네시아",$U414)),$J414-기준정보!$C$5&gt;=기준정보!$C$10,$J414-기준정보!$C$5&lt;=기준정보!$C$11),기준정보!$C$10-1,$J414-기준정보!$C$5)))</f>
        <v/>
      </c>
      <c r="L414" s="23">
        <f>IF($K414="","",IF(ISNUMBER(SEARCH("미얀마",$U414)),MAX(0,MIN($K414,기준정보!$C$9)-MAX($K414-기준정보!$C$6,기준정보!$C$8)+1),IF(ISNUMBER(SEARCH("인도네시아",$U414)),MAX(0,MIN($K414,기준정보!$C$11)-MAX($K414-기준정보!$C$6,기준정보!$C$10)+1),0)))</f>
        <v/>
      </c>
      <c r="M414" s="22">
        <f>IF($K414="","",$K414-기준정보!$C$6-$L414)</f>
        <v/>
      </c>
      <c r="N414" s="24">
        <f>IF($M414="","",$M414-기준정보!$C$4)</f>
        <v/>
      </c>
      <c r="O414" s="21" t="n"/>
      <c r="P414" s="21" t="n"/>
      <c r="Q414" s="21" t="n"/>
      <c r="R414" s="25" t="n"/>
      <c r="S414" s="20">
        <f>IF($H414="","",IF($H414="C","본사(소재팀)",IF($H414="완","생산처","확인 필요")))</f>
        <v/>
      </c>
      <c r="T414" s="20" t="inlineStr">
        <is>
          <t>크리스</t>
        </is>
      </c>
      <c r="U414" s="20" t="inlineStr">
        <is>
          <t>국내</t>
        </is>
      </c>
      <c r="V414" s="20" t="n"/>
      <c r="W414" s="26" t="n"/>
      <c r="X414" s="26" t="n"/>
      <c r="Y414" s="22" t="n"/>
      <c r="Z414" s="27" t="n">
        <v>500</v>
      </c>
      <c r="AA414" s="27" t="n">
        <v>1950000</v>
      </c>
      <c r="AB414" s="27" t="n">
        <v>17500000</v>
      </c>
      <c r="AC414" s="20" t="n"/>
      <c r="AD414" s="20">
        <f>IF($J414="","출고일 미정",IF($P414="X","작지 미발행",IF($P414="부분","작지 일부 미발행",IF(AND($R414&lt;&gt;"",$R414&gt;$M414),"소재입고 마감("&amp;TEXT($M414,"MM/DD")&amp;") 초과",IF($P414="","발행여부 확인 필요",IF($R414="","소재 입고일정 확인 필요","정상"))))))</f>
        <v/>
      </c>
      <c r="AE414" s="19">
        <f>IF($J414="","",IF(OR(LEFT($AD414,2)="작지",LEFT($AD414,4)="소재입고"),IF(LEFT($G414,1)="A","★ 납기위험(A코드)","◆ 지연주의"),IF($AD414="정상","✓ 정상","? 확인필요")))</f>
        <v/>
      </c>
      <c r="AF414" s="21" t="n"/>
      <c r="AG414" s="28" t="n"/>
    </row>
    <row r="415">
      <c r="A415" s="19" t="n">
        <v>411</v>
      </c>
      <c r="B415" s="20" t="inlineStr">
        <is>
          <t>박술홍</t>
        </is>
      </c>
      <c r="C415" s="20" t="inlineStr">
        <is>
          <t>나영길</t>
        </is>
      </c>
      <c r="D415" s="20" t="inlineStr">
        <is>
          <t>QELAX27781</t>
        </is>
      </c>
      <c r="E415" s="20" t="inlineStr">
        <is>
          <t>남녀공용 트레일러닝 크루 삭스</t>
        </is>
      </c>
      <c r="F415" s="20" t="inlineStr">
        <is>
          <t>DEB</t>
        </is>
      </c>
      <c r="G415" s="19">
        <f>IF($D415="","",IF(MID($D415,5,1)="A","A(가을)",IF(MID($D415,5,1)="W","W(겨울)",IF(MID($D415,5,1)="X","X(사계절)",MID($D415,5,1)))))</f>
        <v/>
      </c>
      <c r="H415" s="19" t="n"/>
      <c r="I415" s="21" t="inlineStr">
        <is>
          <t>8월1주</t>
        </is>
      </c>
      <c r="J415" s="22">
        <f>IF($I415="","",IFERROR(DATE(기준정보!$C$7,VALUE(LEFT($I415,FIND("월",$I415)-1)),1+7*(VALUE(SUBSTITUTE(MID($I415,FIND("월",$I415)+1,5),"주",""))-1)),""))</f>
        <v/>
      </c>
      <c r="K415" s="22">
        <f>IF($J415="","",IF(AND(ISNUMBER(SEARCH("미얀마",$U415)),$J415-기준정보!$C$5&gt;=기준정보!$C$8,$J415-기준정보!$C$5&lt;=기준정보!$C$9),기준정보!$C$8-1,IF(AND(ISNUMBER(SEARCH("인도네시아",$U415)),$J415-기준정보!$C$5&gt;=기준정보!$C$10,$J415-기준정보!$C$5&lt;=기준정보!$C$11),기준정보!$C$10-1,$J415-기준정보!$C$5)))</f>
        <v/>
      </c>
      <c r="L415" s="23">
        <f>IF($K415="","",IF(ISNUMBER(SEARCH("미얀마",$U415)),MAX(0,MIN($K415,기준정보!$C$9)-MAX($K415-기준정보!$C$6,기준정보!$C$8)+1),IF(ISNUMBER(SEARCH("인도네시아",$U415)),MAX(0,MIN($K415,기준정보!$C$11)-MAX($K415-기준정보!$C$6,기준정보!$C$10)+1),0)))</f>
        <v/>
      </c>
      <c r="M415" s="22">
        <f>IF($K415="","",$K415-기준정보!$C$6-$L415)</f>
        <v/>
      </c>
      <c r="N415" s="24">
        <f>IF($M415="","",$M415-기준정보!$C$4)</f>
        <v/>
      </c>
      <c r="O415" s="21" t="n"/>
      <c r="P415" s="21" t="n"/>
      <c r="Q415" s="21" t="n"/>
      <c r="R415" s="25" t="n"/>
      <c r="S415" s="20">
        <f>IF($H415="","",IF($H415="C","본사(소재팀)",IF($H415="완","생산처","확인 필요")))</f>
        <v/>
      </c>
      <c r="T415" s="20" t="inlineStr">
        <is>
          <t>일본</t>
        </is>
      </c>
      <c r="U415" s="20" t="inlineStr">
        <is>
          <t>국내</t>
        </is>
      </c>
      <c r="V415" s="20" t="n"/>
      <c r="W415" s="26" t="n"/>
      <c r="X415" s="26" t="n"/>
      <c r="Y415" s="22" t="n"/>
      <c r="Z415" s="27" t="n">
        <v>500</v>
      </c>
      <c r="AA415" s="27" t="n">
        <v>3500000</v>
      </c>
      <c r="AB415" s="27" t="n">
        <v>15000000</v>
      </c>
      <c r="AC415" s="20" t="n"/>
      <c r="AD415" s="20">
        <f>IF($J415="","출고일 미정",IF($P415="X","작지 미발행",IF($P415="부분","작지 일부 미발행",IF(AND($R415&lt;&gt;"",$R415&gt;$M415),"소재입고 마감("&amp;TEXT($M415,"MM/DD")&amp;") 초과",IF($P415="","발행여부 확인 필요",IF($R415="","소재 입고일정 확인 필요","정상"))))))</f>
        <v/>
      </c>
      <c r="AE415" s="19">
        <f>IF($J415="","",IF(OR(LEFT($AD415,2)="작지",LEFT($AD415,4)="소재입고"),IF(LEFT($G415,1)="A","★ 납기위험(A코드)","◆ 지연주의"),IF($AD415="정상","✓ 정상","? 확인필요")))</f>
        <v/>
      </c>
      <c r="AF415" s="21" t="n"/>
      <c r="AG415" s="28" t="n"/>
    </row>
    <row r="416">
      <c r="A416" s="19" t="n">
        <v>412</v>
      </c>
      <c r="B416" s="20" t="inlineStr">
        <is>
          <t>최지희</t>
        </is>
      </c>
      <c r="C416" s="20" t="inlineStr">
        <is>
          <t>조은선</t>
        </is>
      </c>
      <c r="D416" s="20" t="inlineStr">
        <is>
          <t>QEREX27403</t>
        </is>
      </c>
      <c r="E416" s="20" t="inlineStr">
        <is>
          <t>남녀공용 고어텍스 3L 볼캡</t>
        </is>
      </c>
      <c r="F416" s="20" t="inlineStr">
        <is>
          <t>DEB/CO2</t>
        </is>
      </c>
      <c r="G416" s="19">
        <f>IF($D416="","",IF(MID($D416,5,1)="A","A(가을)",IF(MID($D416,5,1)="W","W(겨울)",IF(MID($D416,5,1)="X","X(사계절)",MID($D416,5,1)))))</f>
        <v/>
      </c>
      <c r="H416" s="19" t="n"/>
      <c r="I416" s="21" t="inlineStr">
        <is>
          <t>8월1주</t>
        </is>
      </c>
      <c r="J416" s="22">
        <f>IF($I416="","",IFERROR(DATE(기준정보!$C$7,VALUE(LEFT($I416,FIND("월",$I416)-1)),1+7*(VALUE(SUBSTITUTE(MID($I416,FIND("월",$I416)+1,5),"주",""))-1)),""))</f>
        <v/>
      </c>
      <c r="K416" s="22">
        <f>IF($J416="","",IF(AND(ISNUMBER(SEARCH("미얀마",$U416)),$J416-기준정보!$C$5&gt;=기준정보!$C$8,$J416-기준정보!$C$5&lt;=기준정보!$C$9),기준정보!$C$8-1,IF(AND(ISNUMBER(SEARCH("인도네시아",$U416)),$J416-기준정보!$C$5&gt;=기준정보!$C$10,$J416-기준정보!$C$5&lt;=기준정보!$C$11),기준정보!$C$10-1,$J416-기준정보!$C$5)))</f>
        <v/>
      </c>
      <c r="L416" s="23">
        <f>IF($K416="","",IF(ISNUMBER(SEARCH("미얀마",$U416)),MAX(0,MIN($K416,기준정보!$C$9)-MAX($K416-기준정보!$C$6,기준정보!$C$8)+1),IF(ISNUMBER(SEARCH("인도네시아",$U416)),MAX(0,MIN($K416,기준정보!$C$11)-MAX($K416-기준정보!$C$6,기준정보!$C$10)+1),0)))</f>
        <v/>
      </c>
      <c r="M416" s="22">
        <f>IF($K416="","",$K416-기준정보!$C$6-$L416)</f>
        <v/>
      </c>
      <c r="N416" s="24">
        <f>IF($M416="","",$M416-기준정보!$C$4)</f>
        <v/>
      </c>
      <c r="O416" s="21" t="n"/>
      <c r="P416" s="21" t="n"/>
      <c r="Q416" s="21" t="n"/>
      <c r="R416" s="25" t="n"/>
      <c r="S416" s="20">
        <f>IF($H416="","",IF($H416="C","본사(소재팀)",IF($H416="완","생산처","확인 필요")))</f>
        <v/>
      </c>
      <c r="T416" s="20" t="inlineStr">
        <is>
          <t>캐비야</t>
        </is>
      </c>
      <c r="U416" s="20" t="inlineStr">
        <is>
          <t>국내</t>
        </is>
      </c>
      <c r="V416" s="20" t="n"/>
      <c r="W416" s="26" t="n"/>
      <c r="X416" s="26" t="n"/>
      <c r="Y416" s="22" t="n"/>
      <c r="Z416" s="27" t="n">
        <v>1000</v>
      </c>
      <c r="AA416" s="27" t="n">
        <v>13800000</v>
      </c>
      <c r="AB416" s="27" t="n">
        <v>98000000</v>
      </c>
      <c r="AC416" s="20" t="n"/>
      <c r="AD416" s="20">
        <f>IF($J416="","출고일 미정",IF($P416="X","작지 미발행",IF($P416="부분","작지 일부 미발행",IF(AND($R416&lt;&gt;"",$R416&gt;$M416),"소재입고 마감("&amp;TEXT($M416,"MM/DD")&amp;") 초과",IF($P416="","발행여부 확인 필요",IF($R416="","소재 입고일정 확인 필요","정상"))))))</f>
        <v/>
      </c>
      <c r="AE416" s="19">
        <f>IF($J416="","",IF(OR(LEFT($AD416,2)="작지",LEFT($AD416,4)="소재입고"),IF(LEFT($G416,1)="A","★ 납기위험(A코드)","◆ 지연주의"),IF($AD416="정상","✓ 정상","? 확인필요")))</f>
        <v/>
      </c>
      <c r="AF416" s="21" t="n"/>
      <c r="AG416" s="28" t="n"/>
    </row>
    <row r="417">
      <c r="A417" s="19" t="n">
        <v>413</v>
      </c>
      <c r="B417" s="20" t="inlineStr">
        <is>
          <t>최지희</t>
        </is>
      </c>
      <c r="C417" s="20" t="inlineStr">
        <is>
          <t>조은선</t>
        </is>
      </c>
      <c r="D417" s="20" t="inlineStr">
        <is>
          <t>QEREX27601</t>
        </is>
      </c>
      <c r="E417" s="20" t="inlineStr">
        <is>
          <t>남녀공용 우븐 볼캡</t>
        </is>
      </c>
      <c r="F417" s="20" t="inlineStr">
        <is>
          <t>CHR/CO2</t>
        </is>
      </c>
      <c r="G417" s="19">
        <f>IF($D417="","",IF(MID($D417,5,1)="A","A(가을)",IF(MID($D417,5,1)="W","W(겨울)",IF(MID($D417,5,1)="X","X(사계절)",MID($D417,5,1)))))</f>
        <v/>
      </c>
      <c r="H417" s="19" t="n"/>
      <c r="I417" s="21" t="inlineStr">
        <is>
          <t>8월1주</t>
        </is>
      </c>
      <c r="J417" s="22">
        <f>IF($I417="","",IFERROR(DATE(기준정보!$C$7,VALUE(LEFT($I417,FIND("월",$I417)-1)),1+7*(VALUE(SUBSTITUTE(MID($I417,FIND("월",$I417)+1,5),"주",""))-1)),""))</f>
        <v/>
      </c>
      <c r="K417" s="22">
        <f>IF($J417="","",IF(AND(ISNUMBER(SEARCH("미얀마",$U417)),$J417-기준정보!$C$5&gt;=기준정보!$C$8,$J417-기준정보!$C$5&lt;=기준정보!$C$9),기준정보!$C$8-1,IF(AND(ISNUMBER(SEARCH("인도네시아",$U417)),$J417-기준정보!$C$5&gt;=기준정보!$C$10,$J417-기준정보!$C$5&lt;=기준정보!$C$11),기준정보!$C$10-1,$J417-기준정보!$C$5)))</f>
        <v/>
      </c>
      <c r="L417" s="23">
        <f>IF($K417="","",IF(ISNUMBER(SEARCH("미얀마",$U417)),MAX(0,MIN($K417,기준정보!$C$9)-MAX($K417-기준정보!$C$6,기준정보!$C$8)+1),IF(ISNUMBER(SEARCH("인도네시아",$U417)),MAX(0,MIN($K417,기준정보!$C$11)-MAX($K417-기준정보!$C$6,기준정보!$C$10)+1),0)))</f>
        <v/>
      </c>
      <c r="M417" s="22">
        <f>IF($K417="","",$K417-기준정보!$C$6-$L417)</f>
        <v/>
      </c>
      <c r="N417" s="24">
        <f>IF($M417="","",$M417-기준정보!$C$4)</f>
        <v/>
      </c>
      <c r="O417" s="21" t="n"/>
      <c r="P417" s="21" t="n"/>
      <c r="Q417" s="21" t="n"/>
      <c r="R417" s="25" t="n"/>
      <c r="S417" s="20">
        <f>IF($H417="","",IF($H417="C","본사(소재팀)",IF($H417="완","생산처","확인 필요")))</f>
        <v/>
      </c>
      <c r="T417" s="20" t="inlineStr">
        <is>
          <t>PNG</t>
        </is>
      </c>
      <c r="U417" s="20" t="inlineStr">
        <is>
          <t>베트남</t>
        </is>
      </c>
      <c r="V417" s="20" t="n"/>
      <c r="W417" s="26" t="n"/>
      <c r="X417" s="26" t="n"/>
      <c r="Y417" s="22" t="n"/>
      <c r="Z417" s="27" t="n">
        <v>1000</v>
      </c>
      <c r="AA417" s="27" t="n">
        <v>13000000</v>
      </c>
      <c r="AB417" s="27" t="n">
        <v>78000000</v>
      </c>
      <c r="AC417" s="20" t="n"/>
      <c r="AD417" s="20">
        <f>IF($J417="","출고일 미정",IF($P417="X","작지 미발행",IF($P417="부분","작지 일부 미발행",IF(AND($R417&lt;&gt;"",$R417&gt;$M417),"소재입고 마감("&amp;TEXT($M417,"MM/DD")&amp;") 초과",IF($P417="","발행여부 확인 필요",IF($R417="","소재 입고일정 확인 필요","정상"))))))</f>
        <v/>
      </c>
      <c r="AE417" s="19">
        <f>IF($J417="","",IF(OR(LEFT($AD417,2)="작지",LEFT($AD417,4)="소재입고"),IF(LEFT($G417,1)="A","★ 납기위험(A코드)","◆ 지연주의"),IF($AD417="정상","✓ 정상","? 확인필요")))</f>
        <v/>
      </c>
      <c r="AF417" s="21" t="n"/>
      <c r="AG417" s="28" t="n"/>
    </row>
    <row r="418">
      <c r="A418" s="19" t="n">
        <v>414</v>
      </c>
      <c r="B418" s="20" t="inlineStr">
        <is>
          <t>최지희</t>
        </is>
      </c>
      <c r="C418" s="20" t="inlineStr">
        <is>
          <t>조은선</t>
        </is>
      </c>
      <c r="D418" s="20" t="inlineStr">
        <is>
          <t>QEREX27773</t>
        </is>
      </c>
      <c r="E418" s="20" t="inlineStr">
        <is>
          <t>남녀공용 트레일러닝 메쉬캠프캡</t>
        </is>
      </c>
      <c r="F418" s="20" t="inlineStr">
        <is>
          <t>DEB/PEG/DEB/PEG</t>
        </is>
      </c>
      <c r="G418" s="19">
        <f>IF($D418="","",IF(MID($D418,5,1)="A","A(가을)",IF(MID($D418,5,1)="W","W(겨울)",IF(MID($D418,5,1)="X","X(사계절)",MID($D418,5,1)))))</f>
        <v/>
      </c>
      <c r="H418" s="19" t="n"/>
      <c r="I418" s="21" t="inlineStr">
        <is>
          <t>8월1주</t>
        </is>
      </c>
      <c r="J418" s="22">
        <f>IF($I418="","",IFERROR(DATE(기준정보!$C$7,VALUE(LEFT($I418,FIND("월",$I418)-1)),1+7*(VALUE(SUBSTITUTE(MID($I418,FIND("월",$I418)+1,5),"주",""))-1)),""))</f>
        <v/>
      </c>
      <c r="K418" s="22">
        <f>IF($J418="","",IF(AND(ISNUMBER(SEARCH("미얀마",$U418)),$J418-기준정보!$C$5&gt;=기준정보!$C$8,$J418-기준정보!$C$5&lt;=기준정보!$C$9),기준정보!$C$8-1,IF(AND(ISNUMBER(SEARCH("인도네시아",$U418)),$J418-기준정보!$C$5&gt;=기준정보!$C$10,$J418-기준정보!$C$5&lt;=기준정보!$C$11),기준정보!$C$10-1,$J418-기준정보!$C$5)))</f>
        <v/>
      </c>
      <c r="L418" s="23">
        <f>IF($K418="","",IF(ISNUMBER(SEARCH("미얀마",$U418)),MAX(0,MIN($K418,기준정보!$C$9)-MAX($K418-기준정보!$C$6,기준정보!$C$8)+1),IF(ISNUMBER(SEARCH("인도네시아",$U418)),MAX(0,MIN($K418,기준정보!$C$11)-MAX($K418-기준정보!$C$6,기준정보!$C$10)+1),0)))</f>
        <v/>
      </c>
      <c r="M418" s="22">
        <f>IF($K418="","",$K418-기준정보!$C$6-$L418)</f>
        <v/>
      </c>
      <c r="N418" s="24">
        <f>IF($M418="","",$M418-기준정보!$C$4)</f>
        <v/>
      </c>
      <c r="O418" s="21" t="n"/>
      <c r="P418" s="21" t="n"/>
      <c r="Q418" s="21" t="n"/>
      <c r="R418" s="25" t="n"/>
      <c r="S418" s="20">
        <f>IF($H418="","",IF($H418="C","본사(소재팀)",IF($H418="완","생산처","확인 필요")))</f>
        <v/>
      </c>
      <c r="T418" s="20" t="inlineStr">
        <is>
          <t>PNG</t>
        </is>
      </c>
      <c r="U418" s="20" t="inlineStr">
        <is>
          <t>베트남</t>
        </is>
      </c>
      <c r="V418" s="20" t="n"/>
      <c r="W418" s="26" t="n"/>
      <c r="X418" s="26" t="n"/>
      <c r="Y418" s="22" t="n"/>
      <c r="Z418" s="27" t="n">
        <v>2000</v>
      </c>
      <c r="AA418" s="27" t="n">
        <v>26000000</v>
      </c>
      <c r="AB418" s="27" t="n">
        <v>140000000</v>
      </c>
      <c r="AC418" s="20" t="n"/>
      <c r="AD418" s="20">
        <f>IF($J418="","출고일 미정",IF($P418="X","작지 미발행",IF($P418="부분","작지 일부 미발행",IF(AND($R418&lt;&gt;"",$R418&gt;$M418),"소재입고 마감("&amp;TEXT($M418,"MM/DD")&amp;") 초과",IF($P418="","발행여부 확인 필요",IF($R418="","소재 입고일정 확인 필요","정상"))))))</f>
        <v/>
      </c>
      <c r="AE418" s="19">
        <f>IF($J418="","",IF(OR(LEFT($AD418,2)="작지",LEFT($AD418,4)="소재입고"),IF(LEFT($G418,1)="A","★ 납기위험(A코드)","◆ 지연주의"),IF($AD418="정상","✓ 정상","? 확인필요")))</f>
        <v/>
      </c>
      <c r="AF418" s="21" t="n"/>
      <c r="AG418" s="28" t="n"/>
    </row>
    <row r="419">
      <c r="A419" s="19" t="n">
        <v>415</v>
      </c>
      <c r="B419" s="20" t="inlineStr">
        <is>
          <t>최지희</t>
        </is>
      </c>
      <c r="C419" s="20" t="inlineStr">
        <is>
          <t>조은선</t>
        </is>
      </c>
      <c r="D419" s="20" t="inlineStr">
        <is>
          <t>QYBDX27401</t>
        </is>
      </c>
      <c r="E419" s="20" t="inlineStr">
        <is>
          <t>남녀공용 엑시엄 슬링백</t>
        </is>
      </c>
      <c r="F419" s="20" t="inlineStr">
        <is>
          <t>CO1</t>
        </is>
      </c>
      <c r="G419" s="19">
        <f>IF($D419="","",IF(MID($D419,5,1)="A","A(가을)",IF(MID($D419,5,1)="W","W(겨울)",IF(MID($D419,5,1)="X","X(사계절)",MID($D419,5,1)))))</f>
        <v/>
      </c>
      <c r="H419" s="19" t="n"/>
      <c r="I419" s="21" t="n"/>
      <c r="J419" s="22">
        <f>IF($I419="","",IFERROR(DATE(기준정보!$C$7,VALUE(LEFT($I419,FIND("월",$I419)-1)),1+7*(VALUE(SUBSTITUTE(MID($I419,FIND("월",$I419)+1,5),"주",""))-1)),""))</f>
        <v/>
      </c>
      <c r="K419" s="22">
        <f>IF($J419="","",IF(AND(ISNUMBER(SEARCH("미얀마",$U419)),$J419-기준정보!$C$5&gt;=기준정보!$C$8,$J419-기준정보!$C$5&lt;=기준정보!$C$9),기준정보!$C$8-1,IF(AND(ISNUMBER(SEARCH("인도네시아",$U419)),$J419-기준정보!$C$5&gt;=기준정보!$C$10,$J419-기준정보!$C$5&lt;=기준정보!$C$11),기준정보!$C$10-1,$J419-기준정보!$C$5)))</f>
        <v/>
      </c>
      <c r="L419" s="23">
        <f>IF($K419="","",IF(ISNUMBER(SEARCH("미얀마",$U419)),MAX(0,MIN($K419,기준정보!$C$9)-MAX($K419-기준정보!$C$6,기준정보!$C$8)+1),IF(ISNUMBER(SEARCH("인도네시아",$U419)),MAX(0,MIN($K419,기준정보!$C$11)-MAX($K419-기준정보!$C$6,기준정보!$C$10)+1),0)))</f>
        <v/>
      </c>
      <c r="M419" s="22">
        <f>IF($K419="","",$K419-기준정보!$C$6-$L419)</f>
        <v/>
      </c>
      <c r="N419" s="24">
        <f>IF($M419="","",$M419-기준정보!$C$4)</f>
        <v/>
      </c>
      <c r="O419" s="21" t="n"/>
      <c r="P419" s="21" t="n"/>
      <c r="Q419" s="21" t="n"/>
      <c r="R419" s="25" t="n"/>
      <c r="S419" s="20">
        <f>IF($H419="","",IF($H419="C","본사(소재팀)",IF($H419="완","생산처","확인 필요")))</f>
        <v/>
      </c>
      <c r="T419" s="20" t="inlineStr">
        <is>
          <t>인투잇</t>
        </is>
      </c>
      <c r="U419" s="20" t="inlineStr">
        <is>
          <t>중국</t>
        </is>
      </c>
      <c r="V419" s="20" t="n"/>
      <c r="W419" s="26" t="n"/>
      <c r="X419" s="26" t="n"/>
      <c r="Y419" s="22" t="n"/>
      <c r="Z419" s="27" t="n">
        <v>600</v>
      </c>
      <c r="AA419" s="27" t="n">
        <v>11808000</v>
      </c>
      <c r="AB419" s="27" t="n">
        <v>58800000</v>
      </c>
      <c r="AC419" s="20" t="n"/>
      <c r="AD419" s="20">
        <f>IF($J419="","출고일 미정",IF($P419="X","작지 미발행",IF($P419="부분","작지 일부 미발행",IF(AND($R419&lt;&gt;"",$R419&gt;$M419),"소재입고 마감("&amp;TEXT($M419,"MM/DD")&amp;") 초과",IF($P419="","발행여부 확인 필요",IF($R419="","소재 입고일정 확인 필요","정상"))))))</f>
        <v/>
      </c>
      <c r="AE419" s="19">
        <f>IF($J419="","",IF(OR(LEFT($AD419,2)="작지",LEFT($AD419,4)="소재입고"),IF(LEFT($G419,1)="A","★ 납기위험(A코드)","◆ 지연주의"),IF($AD419="정상","✓ 정상","? 확인필요")))</f>
        <v/>
      </c>
      <c r="AF419" s="21" t="n"/>
      <c r="AG419" s="28" t="n"/>
    </row>
    <row r="420">
      <c r="A420" s="19" t="n">
        <v>416</v>
      </c>
      <c r="B420" s="20" t="inlineStr">
        <is>
          <t>최지희</t>
        </is>
      </c>
      <c r="C420" s="20" t="inlineStr">
        <is>
          <t>조은선</t>
        </is>
      </c>
      <c r="D420" s="20" t="inlineStr">
        <is>
          <t>QYBDX27403</t>
        </is>
      </c>
      <c r="E420" s="20" t="inlineStr">
        <is>
          <t>남녀공용 엑시엄 미니 웨이스트백</t>
        </is>
      </c>
      <c r="F420" s="20" t="inlineStr">
        <is>
          <t>CO1</t>
        </is>
      </c>
      <c r="G420" s="19">
        <f>IF($D420="","",IF(MID($D420,5,1)="A","A(가을)",IF(MID($D420,5,1)="W","W(겨울)",IF(MID($D420,5,1)="X","X(사계절)",MID($D420,5,1)))))</f>
        <v/>
      </c>
      <c r="H420" s="19" t="n"/>
      <c r="I420" s="21" t="n"/>
      <c r="J420" s="22">
        <f>IF($I420="","",IFERROR(DATE(기준정보!$C$7,VALUE(LEFT($I420,FIND("월",$I420)-1)),1+7*(VALUE(SUBSTITUTE(MID($I420,FIND("월",$I420)+1,5),"주",""))-1)),""))</f>
        <v/>
      </c>
      <c r="K420" s="22">
        <f>IF($J420="","",IF(AND(ISNUMBER(SEARCH("미얀마",$U420)),$J420-기준정보!$C$5&gt;=기준정보!$C$8,$J420-기준정보!$C$5&lt;=기준정보!$C$9),기준정보!$C$8-1,IF(AND(ISNUMBER(SEARCH("인도네시아",$U420)),$J420-기준정보!$C$5&gt;=기준정보!$C$10,$J420-기준정보!$C$5&lt;=기준정보!$C$11),기준정보!$C$10-1,$J420-기준정보!$C$5)))</f>
        <v/>
      </c>
      <c r="L420" s="23">
        <f>IF($K420="","",IF(ISNUMBER(SEARCH("미얀마",$U420)),MAX(0,MIN($K420,기준정보!$C$9)-MAX($K420-기준정보!$C$6,기준정보!$C$8)+1),IF(ISNUMBER(SEARCH("인도네시아",$U420)),MAX(0,MIN($K420,기준정보!$C$11)-MAX($K420-기준정보!$C$6,기준정보!$C$10)+1),0)))</f>
        <v/>
      </c>
      <c r="M420" s="22">
        <f>IF($K420="","",$K420-기준정보!$C$6-$L420)</f>
        <v/>
      </c>
      <c r="N420" s="24">
        <f>IF($M420="","",$M420-기준정보!$C$4)</f>
        <v/>
      </c>
      <c r="O420" s="21" t="n"/>
      <c r="P420" s="21" t="n"/>
      <c r="Q420" s="21" t="n"/>
      <c r="R420" s="25" t="n"/>
      <c r="S420" s="20">
        <f>IF($H420="","",IF($H420="C","본사(소재팀)",IF($H420="완","생산처","확인 필요")))</f>
        <v/>
      </c>
      <c r="T420" s="20" t="inlineStr">
        <is>
          <t>인투잇</t>
        </is>
      </c>
      <c r="U420" s="20" t="inlineStr">
        <is>
          <t>중국</t>
        </is>
      </c>
      <c r="V420" s="20" t="n"/>
      <c r="W420" s="26" t="n"/>
      <c r="X420" s="26" t="n"/>
      <c r="Y420" s="22" t="n"/>
      <c r="Z420" s="27" t="n">
        <v>1200</v>
      </c>
      <c r="AA420" s="27" t="n">
        <v>16800000</v>
      </c>
      <c r="AB420" s="27" t="n">
        <v>72000000</v>
      </c>
      <c r="AC420" s="20" t="n"/>
      <c r="AD420" s="20">
        <f>IF($J420="","출고일 미정",IF($P420="X","작지 미발행",IF($P420="부분","작지 일부 미발행",IF(AND($R420&lt;&gt;"",$R420&gt;$M420),"소재입고 마감("&amp;TEXT($M420,"MM/DD")&amp;") 초과",IF($P420="","발행여부 확인 필요",IF($R420="","소재 입고일정 확인 필요","정상"))))))</f>
        <v/>
      </c>
      <c r="AE420" s="19">
        <f>IF($J420="","",IF(OR(LEFT($AD420,2)="작지",LEFT($AD420,4)="소재입고"),IF(LEFT($G420,1)="A","★ 납기위험(A코드)","◆ 지연주의"),IF($AD420="정상","✓ 정상","? 확인필요")))</f>
        <v/>
      </c>
      <c r="AF420" s="21" t="n"/>
      <c r="AG420" s="28" t="n"/>
    </row>
    <row r="421">
      <c r="A421" s="19" t="n">
        <v>417</v>
      </c>
      <c r="B421" s="20" t="inlineStr">
        <is>
          <t>최지희</t>
        </is>
      </c>
      <c r="C421" s="20" t="inlineStr">
        <is>
          <t>조은선</t>
        </is>
      </c>
      <c r="D421" s="20" t="inlineStr">
        <is>
          <t>QYBDX27405</t>
        </is>
      </c>
      <c r="E421" s="20" t="inlineStr">
        <is>
          <t>남녀공용 엑시엄 미니 파우치</t>
        </is>
      </c>
      <c r="F421" s="20" t="inlineStr">
        <is>
          <t>CO1</t>
        </is>
      </c>
      <c r="G421" s="19">
        <f>IF($D421="","",IF(MID($D421,5,1)="A","A(가을)",IF(MID($D421,5,1)="W","W(겨울)",IF(MID($D421,5,1)="X","X(사계절)",MID($D421,5,1)))))</f>
        <v/>
      </c>
      <c r="H421" s="19" t="n"/>
      <c r="I421" s="21" t="n"/>
      <c r="J421" s="22">
        <f>IF($I421="","",IFERROR(DATE(기준정보!$C$7,VALUE(LEFT($I421,FIND("월",$I421)-1)),1+7*(VALUE(SUBSTITUTE(MID($I421,FIND("월",$I421)+1,5),"주",""))-1)),""))</f>
        <v/>
      </c>
      <c r="K421" s="22">
        <f>IF($J421="","",IF(AND(ISNUMBER(SEARCH("미얀마",$U421)),$J421-기준정보!$C$5&gt;=기준정보!$C$8,$J421-기준정보!$C$5&lt;=기준정보!$C$9),기준정보!$C$8-1,IF(AND(ISNUMBER(SEARCH("인도네시아",$U421)),$J421-기준정보!$C$5&gt;=기준정보!$C$10,$J421-기준정보!$C$5&lt;=기준정보!$C$11),기준정보!$C$10-1,$J421-기준정보!$C$5)))</f>
        <v/>
      </c>
      <c r="L421" s="23">
        <f>IF($K421="","",IF(ISNUMBER(SEARCH("미얀마",$U421)),MAX(0,MIN($K421,기준정보!$C$9)-MAX($K421-기준정보!$C$6,기준정보!$C$8)+1),IF(ISNUMBER(SEARCH("인도네시아",$U421)),MAX(0,MIN($K421,기준정보!$C$11)-MAX($K421-기준정보!$C$6,기준정보!$C$10)+1),0)))</f>
        <v/>
      </c>
      <c r="M421" s="22">
        <f>IF($K421="","",$K421-기준정보!$C$6-$L421)</f>
        <v/>
      </c>
      <c r="N421" s="24">
        <f>IF($M421="","",$M421-기준정보!$C$4)</f>
        <v/>
      </c>
      <c r="O421" s="21" t="n"/>
      <c r="P421" s="21" t="n"/>
      <c r="Q421" s="21" t="n"/>
      <c r="R421" s="25" t="n"/>
      <c r="S421" s="20">
        <f>IF($H421="","",IF($H421="C","본사(소재팀)",IF($H421="완","생산처","확인 필요")))</f>
        <v/>
      </c>
      <c r="T421" s="20" t="inlineStr">
        <is>
          <t>인투잇</t>
        </is>
      </c>
      <c r="U421" s="20" t="inlineStr">
        <is>
          <t>중국</t>
        </is>
      </c>
      <c r="V421" s="20" t="n"/>
      <c r="W421" s="26" t="n"/>
      <c r="X421" s="26" t="n"/>
      <c r="Y421" s="22" t="n"/>
      <c r="Z421" s="27" t="n">
        <v>2000</v>
      </c>
      <c r="AA421" s="27" t="n">
        <v>22000000</v>
      </c>
      <c r="AB421" s="27" t="n">
        <v>110000000</v>
      </c>
      <c r="AC421" s="20" t="n"/>
      <c r="AD421" s="20">
        <f>IF($J421="","출고일 미정",IF($P421="X","작지 미발행",IF($P421="부분","작지 일부 미발행",IF(AND($R421&lt;&gt;"",$R421&gt;$M421),"소재입고 마감("&amp;TEXT($M421,"MM/DD")&amp;") 초과",IF($P421="","발행여부 확인 필요",IF($R421="","소재 입고일정 확인 필요","정상"))))))</f>
        <v/>
      </c>
      <c r="AE421" s="19">
        <f>IF($J421="","",IF(OR(LEFT($AD421,2)="작지",LEFT($AD421,4)="소재입고"),IF(LEFT($G421,1)="A","★ 납기위험(A코드)","◆ 지연주의"),IF($AD421="정상","✓ 정상","? 확인필요")))</f>
        <v/>
      </c>
      <c r="AF421" s="21" t="n"/>
      <c r="AG421" s="28" t="n"/>
    </row>
    <row r="422">
      <c r="A422" s="19" t="n">
        <v>418</v>
      </c>
      <c r="B422" s="20" t="inlineStr">
        <is>
          <t>최지희</t>
        </is>
      </c>
      <c r="C422" s="20" t="inlineStr">
        <is>
          <t>조은선</t>
        </is>
      </c>
      <c r="D422" s="20" t="inlineStr">
        <is>
          <t>QYBDX27601</t>
        </is>
      </c>
      <c r="E422" s="20" t="inlineStr">
        <is>
          <t>남녀공용 메신저백</t>
        </is>
      </c>
      <c r="F422" s="20" t="inlineStr">
        <is>
          <t>CO1</t>
        </is>
      </c>
      <c r="G422" s="19">
        <f>IF($D422="","",IF(MID($D422,5,1)="A","A(가을)",IF(MID($D422,5,1)="W","W(겨울)",IF(MID($D422,5,1)="X","X(사계절)",MID($D422,5,1)))))</f>
        <v/>
      </c>
      <c r="H422" s="19" t="n"/>
      <c r="I422" s="21" t="n"/>
      <c r="J422" s="22">
        <f>IF($I422="","",IFERROR(DATE(기준정보!$C$7,VALUE(LEFT($I422,FIND("월",$I422)-1)),1+7*(VALUE(SUBSTITUTE(MID($I422,FIND("월",$I422)+1,5),"주",""))-1)),""))</f>
        <v/>
      </c>
      <c r="K422" s="22">
        <f>IF($J422="","",IF(AND(ISNUMBER(SEARCH("미얀마",$U422)),$J422-기준정보!$C$5&gt;=기준정보!$C$8,$J422-기준정보!$C$5&lt;=기준정보!$C$9),기준정보!$C$8-1,IF(AND(ISNUMBER(SEARCH("인도네시아",$U422)),$J422-기준정보!$C$5&gt;=기준정보!$C$10,$J422-기준정보!$C$5&lt;=기준정보!$C$11),기준정보!$C$10-1,$J422-기준정보!$C$5)))</f>
        <v/>
      </c>
      <c r="L422" s="23">
        <f>IF($K422="","",IF(ISNUMBER(SEARCH("미얀마",$U422)),MAX(0,MIN($K422,기준정보!$C$9)-MAX($K422-기준정보!$C$6,기준정보!$C$8)+1),IF(ISNUMBER(SEARCH("인도네시아",$U422)),MAX(0,MIN($K422,기준정보!$C$11)-MAX($K422-기준정보!$C$6,기준정보!$C$10)+1),0)))</f>
        <v/>
      </c>
      <c r="M422" s="22">
        <f>IF($K422="","",$K422-기준정보!$C$6-$L422)</f>
        <v/>
      </c>
      <c r="N422" s="24">
        <f>IF($M422="","",$M422-기준정보!$C$4)</f>
        <v/>
      </c>
      <c r="O422" s="21" t="n"/>
      <c r="P422" s="21" t="n"/>
      <c r="Q422" s="21" t="n"/>
      <c r="R422" s="25" t="n"/>
      <c r="S422" s="20">
        <f>IF($H422="","",IF($H422="C","본사(소재팀)",IF($H422="완","생산처","확인 필요")))</f>
        <v/>
      </c>
      <c r="T422" s="20" t="n"/>
      <c r="U422" s="20" t="n"/>
      <c r="V422" s="20" t="n"/>
      <c r="W422" s="26" t="n"/>
      <c r="X422" s="26" t="n"/>
      <c r="Y422" s="22" t="n"/>
      <c r="Z422" s="27" t="n">
        <v>800</v>
      </c>
      <c r="AA422" s="27" t="n">
        <v>24000000</v>
      </c>
      <c r="AB422" s="27" t="n">
        <v>134400000</v>
      </c>
      <c r="AC422" s="20" t="n"/>
      <c r="AD422" s="20">
        <f>IF($J422="","출고일 미정",IF($P422="X","작지 미발행",IF($P422="부분","작지 일부 미발행",IF(AND($R422&lt;&gt;"",$R422&gt;$M422),"소재입고 마감("&amp;TEXT($M422,"MM/DD")&amp;") 초과",IF($P422="","발행여부 확인 필요",IF($R422="","소재 입고일정 확인 필요","정상"))))))</f>
        <v/>
      </c>
      <c r="AE422" s="19">
        <f>IF($J422="","",IF(OR(LEFT($AD422,2)="작지",LEFT($AD422,4)="소재입고"),IF(LEFT($G422,1)="A","★ 납기위험(A코드)","◆ 지연주의"),IF($AD422="정상","✓ 정상","? 확인필요")))</f>
        <v/>
      </c>
      <c r="AF422" s="21" t="n"/>
      <c r="AG422" s="28" t="n"/>
    </row>
    <row r="423">
      <c r="A423" s="19" t="n">
        <v>419</v>
      </c>
      <c r="B423" s="20" t="inlineStr">
        <is>
          <t>박술홍</t>
        </is>
      </c>
      <c r="C423" s="20" t="inlineStr">
        <is>
          <t>조은선</t>
        </is>
      </c>
      <c r="D423" s="20" t="inlineStr">
        <is>
          <t>QYBXX27411</t>
        </is>
      </c>
      <c r="E423" s="20" t="inlineStr">
        <is>
          <t>남녀공용 티어드롭형 AXIOM 백팩 10L</t>
        </is>
      </c>
      <c r="F423" s="20" t="inlineStr">
        <is>
          <t>CO1/CO2</t>
        </is>
      </c>
      <c r="G423" s="19">
        <f>IF($D423="","",IF(MID($D423,5,1)="A","A(가을)",IF(MID($D423,5,1)="W","W(겨울)",IF(MID($D423,5,1)="X","X(사계절)",MID($D423,5,1)))))</f>
        <v/>
      </c>
      <c r="H423" s="19" t="n"/>
      <c r="I423" s="21" t="n"/>
      <c r="J423" s="22">
        <f>IF($I423="","",IFERROR(DATE(기준정보!$C$7,VALUE(LEFT($I423,FIND("월",$I423)-1)),1+7*(VALUE(SUBSTITUTE(MID($I423,FIND("월",$I423)+1,5),"주",""))-1)),""))</f>
        <v/>
      </c>
      <c r="K423" s="22">
        <f>IF($J423="","",IF(AND(ISNUMBER(SEARCH("미얀마",$U423)),$J423-기준정보!$C$5&gt;=기준정보!$C$8,$J423-기준정보!$C$5&lt;=기준정보!$C$9),기준정보!$C$8-1,IF(AND(ISNUMBER(SEARCH("인도네시아",$U423)),$J423-기준정보!$C$5&gt;=기준정보!$C$10,$J423-기준정보!$C$5&lt;=기준정보!$C$11),기준정보!$C$10-1,$J423-기준정보!$C$5)))</f>
        <v/>
      </c>
      <c r="L423" s="23">
        <f>IF($K423="","",IF(ISNUMBER(SEARCH("미얀마",$U423)),MAX(0,MIN($K423,기준정보!$C$9)-MAX($K423-기준정보!$C$6,기준정보!$C$8)+1),IF(ISNUMBER(SEARCH("인도네시아",$U423)),MAX(0,MIN($K423,기준정보!$C$11)-MAX($K423-기준정보!$C$6,기준정보!$C$10)+1),0)))</f>
        <v/>
      </c>
      <c r="M423" s="22">
        <f>IF($K423="","",$K423-기준정보!$C$6-$L423)</f>
        <v/>
      </c>
      <c r="N423" s="24">
        <f>IF($M423="","",$M423-기준정보!$C$4)</f>
        <v/>
      </c>
      <c r="O423" s="21" t="n"/>
      <c r="P423" s="21" t="n"/>
      <c r="Q423" s="21" t="n"/>
      <c r="R423" s="25" t="n"/>
      <c r="S423" s="20">
        <f>IF($H423="","",IF($H423="C","본사(소재팀)",IF($H423="완","생산처","확인 필요")))</f>
        <v/>
      </c>
      <c r="T423" s="20" t="inlineStr">
        <is>
          <t>인투잇</t>
        </is>
      </c>
      <c r="U423" s="20" t="inlineStr">
        <is>
          <t>중국</t>
        </is>
      </c>
      <c r="V423" s="20" t="n"/>
      <c r="W423" s="26" t="n"/>
      <c r="X423" s="26" t="n"/>
      <c r="Y423" s="22" t="n"/>
      <c r="Z423" s="27" t="n">
        <v>2000</v>
      </c>
      <c r="AA423" s="27" t="n">
        <v>56916000</v>
      </c>
      <c r="AB423" s="27" t="n">
        <v>256000000</v>
      </c>
      <c r="AC423" s="20" t="n"/>
      <c r="AD423" s="20">
        <f>IF($J423="","출고일 미정",IF($P423="X","작지 미발행",IF($P423="부분","작지 일부 미발행",IF(AND($R423&lt;&gt;"",$R423&gt;$M423),"소재입고 마감("&amp;TEXT($M423,"MM/DD")&amp;") 초과",IF($P423="","발행여부 확인 필요",IF($R423="","소재 입고일정 확인 필요","정상"))))))</f>
        <v/>
      </c>
      <c r="AE423" s="19">
        <f>IF($J423="","",IF(OR(LEFT($AD423,2)="작지",LEFT($AD423,4)="소재입고"),IF(LEFT($G423,1)="A","★ 납기위험(A코드)","◆ 지연주의"),IF($AD423="정상","✓ 정상","? 확인필요")))</f>
        <v/>
      </c>
      <c r="AF423" s="21" t="n"/>
      <c r="AG423" s="28" t="n"/>
    </row>
    <row r="424">
      <c r="A424" s="19" t="n">
        <v>420</v>
      </c>
      <c r="B424" s="20" t="inlineStr">
        <is>
          <t>박술홍</t>
        </is>
      </c>
      <c r="C424" s="20" t="inlineStr">
        <is>
          <t>조은선</t>
        </is>
      </c>
      <c r="D424" s="20" t="inlineStr">
        <is>
          <t>QYBXX27413</t>
        </is>
      </c>
      <c r="E424" s="20" t="inlineStr">
        <is>
          <t>남녀공용 경량 AXIOM 백팩 20L</t>
        </is>
      </c>
      <c r="F424" s="20" t="inlineStr">
        <is>
          <t>CO1/CO2</t>
        </is>
      </c>
      <c r="G424" s="19">
        <f>IF($D424="","",IF(MID($D424,5,1)="A","A(가을)",IF(MID($D424,5,1)="W","W(겨울)",IF(MID($D424,5,1)="X","X(사계절)",MID($D424,5,1)))))</f>
        <v/>
      </c>
      <c r="H424" s="19" t="n"/>
      <c r="I424" s="21" t="n"/>
      <c r="J424" s="22">
        <f>IF($I424="","",IFERROR(DATE(기준정보!$C$7,VALUE(LEFT($I424,FIND("월",$I424)-1)),1+7*(VALUE(SUBSTITUTE(MID($I424,FIND("월",$I424)+1,5),"주",""))-1)),""))</f>
        <v/>
      </c>
      <c r="K424" s="22">
        <f>IF($J424="","",IF(AND(ISNUMBER(SEARCH("미얀마",$U424)),$J424-기준정보!$C$5&gt;=기준정보!$C$8,$J424-기준정보!$C$5&lt;=기준정보!$C$9),기준정보!$C$8-1,IF(AND(ISNUMBER(SEARCH("인도네시아",$U424)),$J424-기준정보!$C$5&gt;=기준정보!$C$10,$J424-기준정보!$C$5&lt;=기준정보!$C$11),기준정보!$C$10-1,$J424-기준정보!$C$5)))</f>
        <v/>
      </c>
      <c r="L424" s="23">
        <f>IF($K424="","",IF(ISNUMBER(SEARCH("미얀마",$U424)),MAX(0,MIN($K424,기준정보!$C$9)-MAX($K424-기준정보!$C$6,기준정보!$C$8)+1),IF(ISNUMBER(SEARCH("인도네시아",$U424)),MAX(0,MIN($K424,기준정보!$C$11)-MAX($K424-기준정보!$C$6,기준정보!$C$10)+1),0)))</f>
        <v/>
      </c>
      <c r="M424" s="22">
        <f>IF($K424="","",$K424-기준정보!$C$6-$L424)</f>
        <v/>
      </c>
      <c r="N424" s="24">
        <f>IF($M424="","",$M424-기준정보!$C$4)</f>
        <v/>
      </c>
      <c r="O424" s="21" t="n"/>
      <c r="P424" s="21" t="n"/>
      <c r="Q424" s="21" t="n"/>
      <c r="R424" s="25" t="n"/>
      <c r="S424" s="20">
        <f>IF($H424="","",IF($H424="C","본사(소재팀)",IF($H424="완","생산처","확인 필요")))</f>
        <v/>
      </c>
      <c r="T424" s="20" t="inlineStr">
        <is>
          <t>인투잇</t>
        </is>
      </c>
      <c r="U424" s="20" t="inlineStr">
        <is>
          <t>중국</t>
        </is>
      </c>
      <c r="V424" s="20" t="n"/>
      <c r="W424" s="26" t="n"/>
      <c r="X424" s="26" t="n"/>
      <c r="Y424" s="22" t="n"/>
      <c r="Z424" s="27" t="n">
        <v>2000</v>
      </c>
      <c r="AA424" s="27" t="n">
        <v>43800000</v>
      </c>
      <c r="AB424" s="27" t="n">
        <v>236000000</v>
      </c>
      <c r="AC424" s="20" t="n"/>
      <c r="AD424" s="20">
        <f>IF($J424="","출고일 미정",IF($P424="X","작지 미발행",IF($P424="부분","작지 일부 미발행",IF(AND($R424&lt;&gt;"",$R424&gt;$M424),"소재입고 마감("&amp;TEXT($M424,"MM/DD")&amp;") 초과",IF($P424="","발행여부 확인 필요",IF($R424="","소재 입고일정 확인 필요","정상"))))))</f>
        <v/>
      </c>
      <c r="AE424" s="19">
        <f>IF($J424="","",IF(OR(LEFT($AD424,2)="작지",LEFT($AD424,4)="소재입고"),IF(LEFT($G424,1)="A","★ 납기위험(A코드)","◆ 지연주의"),IF($AD424="정상","✓ 정상","? 확인필요")))</f>
        <v/>
      </c>
      <c r="AF424" s="21" t="n"/>
      <c r="AG424" s="28" t="n"/>
    </row>
    <row r="425">
      <c r="A425" s="19" t="n">
        <v>421</v>
      </c>
      <c r="B425" s="20" t="inlineStr">
        <is>
          <t>박술홍</t>
        </is>
      </c>
      <c r="C425" s="20" t="inlineStr">
        <is>
          <t>조은선</t>
        </is>
      </c>
      <c r="D425" s="20" t="inlineStr">
        <is>
          <t>QYBXX27431</t>
        </is>
      </c>
      <c r="E425" s="20" t="inlineStr">
        <is>
          <t>남녀공용 티어드롭형 AXIOM 백팩 30L</t>
        </is>
      </c>
      <c r="F425" s="20" t="inlineStr">
        <is>
          <t>CO1</t>
        </is>
      </c>
      <c r="G425" s="19">
        <f>IF($D425="","",IF(MID($D425,5,1)="A","A(가을)",IF(MID($D425,5,1)="W","W(겨울)",IF(MID($D425,5,1)="X","X(사계절)",MID($D425,5,1)))))</f>
        <v/>
      </c>
      <c r="H425" s="19" t="n"/>
      <c r="I425" s="21" t="n"/>
      <c r="J425" s="22">
        <f>IF($I425="","",IFERROR(DATE(기준정보!$C$7,VALUE(LEFT($I425,FIND("월",$I425)-1)),1+7*(VALUE(SUBSTITUTE(MID($I425,FIND("월",$I425)+1,5),"주",""))-1)),""))</f>
        <v/>
      </c>
      <c r="K425" s="22">
        <f>IF($J425="","",IF(AND(ISNUMBER(SEARCH("미얀마",$U425)),$J425-기준정보!$C$5&gt;=기준정보!$C$8,$J425-기준정보!$C$5&lt;=기준정보!$C$9),기준정보!$C$8-1,IF(AND(ISNUMBER(SEARCH("인도네시아",$U425)),$J425-기준정보!$C$5&gt;=기준정보!$C$10,$J425-기준정보!$C$5&lt;=기준정보!$C$11),기준정보!$C$10-1,$J425-기준정보!$C$5)))</f>
        <v/>
      </c>
      <c r="L425" s="23">
        <f>IF($K425="","",IF(ISNUMBER(SEARCH("미얀마",$U425)),MAX(0,MIN($K425,기준정보!$C$9)-MAX($K425-기준정보!$C$6,기준정보!$C$8)+1),IF(ISNUMBER(SEARCH("인도네시아",$U425)),MAX(0,MIN($K425,기준정보!$C$11)-MAX($K425-기준정보!$C$6,기준정보!$C$10)+1),0)))</f>
        <v/>
      </c>
      <c r="M425" s="22">
        <f>IF($K425="","",$K425-기준정보!$C$6-$L425)</f>
        <v/>
      </c>
      <c r="N425" s="24">
        <f>IF($M425="","",$M425-기준정보!$C$4)</f>
        <v/>
      </c>
      <c r="O425" s="21" t="n"/>
      <c r="P425" s="21" t="n"/>
      <c r="Q425" s="21" t="n"/>
      <c r="R425" s="25" t="n"/>
      <c r="S425" s="20">
        <f>IF($H425="","",IF($H425="C","본사(소재팀)",IF($H425="완","생산처","확인 필요")))</f>
        <v/>
      </c>
      <c r="T425" s="20" t="inlineStr">
        <is>
          <t>인투잇</t>
        </is>
      </c>
      <c r="U425" s="20" t="inlineStr">
        <is>
          <t>중국</t>
        </is>
      </c>
      <c r="V425" s="20" t="n"/>
      <c r="W425" s="26" t="n"/>
      <c r="X425" s="26" t="n"/>
      <c r="Y425" s="22" t="n"/>
      <c r="Z425" s="27" t="n">
        <v>1000</v>
      </c>
      <c r="AA425" s="27" t="n">
        <v>52738000</v>
      </c>
      <c r="AB425" s="27" t="n">
        <v>198000000</v>
      </c>
      <c r="AC425" s="20" t="n"/>
      <c r="AD425" s="20">
        <f>IF($J425="","출고일 미정",IF($P425="X","작지 미발행",IF($P425="부분","작지 일부 미발행",IF(AND($R425&lt;&gt;"",$R425&gt;$M425),"소재입고 마감("&amp;TEXT($M425,"MM/DD")&amp;") 초과",IF($P425="","발행여부 확인 필요",IF($R425="","소재 입고일정 확인 필요","정상"))))))</f>
        <v/>
      </c>
      <c r="AE425" s="19">
        <f>IF($J425="","",IF(OR(LEFT($AD425,2)="작지",LEFT($AD425,4)="소재입고"),IF(LEFT($G425,1)="A","★ 납기위험(A코드)","◆ 지연주의"),IF($AD425="정상","✓ 정상","? 확인필요")))</f>
        <v/>
      </c>
      <c r="AF425" s="21" t="n"/>
      <c r="AG425" s="28" t="n"/>
    </row>
    <row r="426">
      <c r="A426" s="19" t="n">
        <v>422</v>
      </c>
      <c r="B426" s="20" t="inlineStr">
        <is>
          <t>최지희</t>
        </is>
      </c>
      <c r="C426" s="20" t="inlineStr">
        <is>
          <t>조은선</t>
        </is>
      </c>
      <c r="D426" s="20" t="inlineStr">
        <is>
          <t>QYLAX27401</t>
        </is>
      </c>
      <c r="E426" s="20" t="inlineStr">
        <is>
          <t>남녀공용 마운틴 하이 삭스</t>
        </is>
      </c>
      <c r="F426" s="20" t="inlineStr">
        <is>
          <t>CO1/CO2</t>
        </is>
      </c>
      <c r="G426" s="19">
        <f>IF($D426="","",IF(MID($D426,5,1)="A","A(가을)",IF(MID($D426,5,1)="W","W(겨울)",IF(MID($D426,5,1)="X","X(사계절)",MID($D426,5,1)))))</f>
        <v/>
      </c>
      <c r="H426" s="19" t="n"/>
      <c r="I426" s="21" t="n"/>
      <c r="J426" s="22">
        <f>IF($I426="","",IFERROR(DATE(기준정보!$C$7,VALUE(LEFT($I426,FIND("월",$I426)-1)),1+7*(VALUE(SUBSTITUTE(MID($I426,FIND("월",$I426)+1,5),"주",""))-1)),""))</f>
        <v/>
      </c>
      <c r="K426" s="22">
        <f>IF($J426="","",IF(AND(ISNUMBER(SEARCH("미얀마",$U426)),$J426-기준정보!$C$5&gt;=기준정보!$C$8,$J426-기준정보!$C$5&lt;=기준정보!$C$9),기준정보!$C$8-1,IF(AND(ISNUMBER(SEARCH("인도네시아",$U426)),$J426-기준정보!$C$5&gt;=기준정보!$C$10,$J426-기준정보!$C$5&lt;=기준정보!$C$11),기준정보!$C$10-1,$J426-기준정보!$C$5)))</f>
        <v/>
      </c>
      <c r="L426" s="23">
        <f>IF($K426="","",IF(ISNUMBER(SEARCH("미얀마",$U426)),MAX(0,MIN($K426,기준정보!$C$9)-MAX($K426-기준정보!$C$6,기준정보!$C$8)+1),IF(ISNUMBER(SEARCH("인도네시아",$U426)),MAX(0,MIN($K426,기준정보!$C$11)-MAX($K426-기준정보!$C$6,기준정보!$C$10)+1),0)))</f>
        <v/>
      </c>
      <c r="M426" s="22">
        <f>IF($K426="","",$K426-기준정보!$C$6-$L426)</f>
        <v/>
      </c>
      <c r="N426" s="24">
        <f>IF($M426="","",$M426-기준정보!$C$4)</f>
        <v/>
      </c>
      <c r="O426" s="21" t="n"/>
      <c r="P426" s="21" t="n"/>
      <c r="Q426" s="21" t="n"/>
      <c r="R426" s="25" t="n"/>
      <c r="S426" s="20">
        <f>IF($H426="","",IF($H426="C","본사(소재팀)",IF($H426="완","생산처","확인 필요")))</f>
        <v/>
      </c>
      <c r="T426" s="20" t="inlineStr">
        <is>
          <t>크리스</t>
        </is>
      </c>
      <c r="U426" s="20" t="inlineStr">
        <is>
          <t>국내</t>
        </is>
      </c>
      <c r="V426" s="20" t="n"/>
      <c r="W426" s="26" t="n"/>
      <c r="X426" s="26" t="n"/>
      <c r="Y426" s="22" t="n"/>
      <c r="Z426" s="27" t="n">
        <v>1000</v>
      </c>
      <c r="AA426" s="27" t="n">
        <v>4000000</v>
      </c>
      <c r="AB426" s="27" t="n">
        <v>25000000</v>
      </c>
      <c r="AC426" s="20" t="n"/>
      <c r="AD426" s="20">
        <f>IF($J426="","출고일 미정",IF($P426="X","작지 미발행",IF($P426="부분","작지 일부 미발행",IF(AND($R426&lt;&gt;"",$R426&gt;$M426),"소재입고 마감("&amp;TEXT($M426,"MM/DD")&amp;") 초과",IF($P426="","발행여부 확인 필요",IF($R426="","소재 입고일정 확인 필요","정상"))))))</f>
        <v/>
      </c>
      <c r="AE426" s="19">
        <f>IF($J426="","",IF(OR(LEFT($AD426,2)="작지",LEFT($AD426,4)="소재입고"),IF(LEFT($G426,1)="A","★ 납기위험(A코드)","◆ 지연주의"),IF($AD426="정상","✓ 정상","? 확인필요")))</f>
        <v/>
      </c>
      <c r="AF426" s="21" t="n"/>
      <c r="AG426" s="28" t="n"/>
    </row>
    <row r="427">
      <c r="A427" s="19" t="n">
        <v>423</v>
      </c>
      <c r="B427" s="20" t="inlineStr">
        <is>
          <t>최지희</t>
        </is>
      </c>
      <c r="C427" s="20" t="inlineStr">
        <is>
          <t>조은선</t>
        </is>
      </c>
      <c r="D427" s="20" t="inlineStr">
        <is>
          <t>QYREX27401</t>
        </is>
      </c>
      <c r="E427" s="20" t="inlineStr">
        <is>
          <t>남녀공용 고어텍스 2L 볼캡</t>
        </is>
      </c>
      <c r="F427" s="20" t="inlineStr">
        <is>
          <t>CO1/CO2/</t>
        </is>
      </c>
      <c r="G427" s="19">
        <f>IF($D427="","",IF(MID($D427,5,1)="A","A(가을)",IF(MID($D427,5,1)="W","W(겨울)",IF(MID($D427,5,1)="X","X(사계절)",MID($D427,5,1)))))</f>
        <v/>
      </c>
      <c r="H427" s="19" t="n"/>
      <c r="I427" s="21" t="n"/>
      <c r="J427" s="22">
        <f>IF($I427="","",IFERROR(DATE(기준정보!$C$7,VALUE(LEFT($I427,FIND("월",$I427)-1)),1+7*(VALUE(SUBSTITUTE(MID($I427,FIND("월",$I427)+1,5),"주",""))-1)),""))</f>
        <v/>
      </c>
      <c r="K427" s="22">
        <f>IF($J427="","",IF(AND(ISNUMBER(SEARCH("미얀마",$U427)),$J427-기준정보!$C$5&gt;=기준정보!$C$8,$J427-기준정보!$C$5&lt;=기준정보!$C$9),기준정보!$C$8-1,IF(AND(ISNUMBER(SEARCH("인도네시아",$U427)),$J427-기준정보!$C$5&gt;=기준정보!$C$10,$J427-기준정보!$C$5&lt;=기준정보!$C$11),기준정보!$C$10-1,$J427-기준정보!$C$5)))</f>
        <v/>
      </c>
      <c r="L427" s="23">
        <f>IF($K427="","",IF(ISNUMBER(SEARCH("미얀마",$U427)),MAX(0,MIN($K427,기준정보!$C$9)-MAX($K427-기준정보!$C$6,기준정보!$C$8)+1),IF(ISNUMBER(SEARCH("인도네시아",$U427)),MAX(0,MIN($K427,기준정보!$C$11)-MAX($K427-기준정보!$C$6,기준정보!$C$10)+1),0)))</f>
        <v/>
      </c>
      <c r="M427" s="22">
        <f>IF($K427="","",$K427-기준정보!$C$6-$L427)</f>
        <v/>
      </c>
      <c r="N427" s="24">
        <f>IF($M427="","",$M427-기준정보!$C$4)</f>
        <v/>
      </c>
      <c r="O427" s="21" t="n"/>
      <c r="P427" s="21" t="n"/>
      <c r="Q427" s="21" t="n"/>
      <c r="R427" s="25" t="n"/>
      <c r="S427" s="20">
        <f>IF($H427="","",IF($H427="C","본사(소재팀)",IF($H427="완","생산처","확인 필요")))</f>
        <v/>
      </c>
      <c r="T427" s="20" t="inlineStr">
        <is>
          <t>캐비야</t>
        </is>
      </c>
      <c r="U427" s="20" t="inlineStr">
        <is>
          <t>국내</t>
        </is>
      </c>
      <c r="V427" s="20" t="n"/>
      <c r="W427" s="26" t="n"/>
      <c r="X427" s="26" t="n"/>
      <c r="Y427" s="22" t="n"/>
      <c r="Z427" s="27" t="n">
        <v>1000</v>
      </c>
      <c r="AA427" s="27" t="n">
        <v>12000000</v>
      </c>
      <c r="AB427" s="27" t="n">
        <v>70000000</v>
      </c>
      <c r="AC427" s="20" t="n"/>
      <c r="AD427" s="20">
        <f>IF($J427="","출고일 미정",IF($P427="X","작지 미발행",IF($P427="부분","작지 일부 미발행",IF(AND($R427&lt;&gt;"",$R427&gt;$M427),"소재입고 마감("&amp;TEXT($M427,"MM/DD")&amp;") 초과",IF($P427="","발행여부 확인 필요",IF($R427="","소재 입고일정 확인 필요","정상"))))))</f>
        <v/>
      </c>
      <c r="AE427" s="19">
        <f>IF($J427="","",IF(OR(LEFT($AD427,2)="작지",LEFT($AD427,4)="소재입고"),IF(LEFT($G427,1)="A","★ 납기위험(A코드)","◆ 지연주의"),IF($AD427="정상","✓ 정상","? 확인필요")))</f>
        <v/>
      </c>
      <c r="AF427" s="21" t="n"/>
      <c r="AG427" s="28" t="n"/>
    </row>
    <row r="428">
      <c r="A428" s="19" t="n">
        <v>424</v>
      </c>
      <c r="B428" s="20" t="inlineStr">
        <is>
          <t>최지희</t>
        </is>
      </c>
      <c r="C428" s="20" t="inlineStr">
        <is>
          <t>조은선</t>
        </is>
      </c>
      <c r="D428" s="20" t="inlineStr">
        <is>
          <t>QYREX27403</t>
        </is>
      </c>
      <c r="E428" s="20" t="inlineStr">
        <is>
          <t>남녀공용 버클 스트랩 캠프캡</t>
        </is>
      </c>
      <c r="F428" s="20" t="inlineStr">
        <is>
          <t>CO1/CO2</t>
        </is>
      </c>
      <c r="G428" s="19">
        <f>IF($D428="","",IF(MID($D428,5,1)="A","A(가을)",IF(MID($D428,5,1)="W","W(겨울)",IF(MID($D428,5,1)="X","X(사계절)",MID($D428,5,1)))))</f>
        <v/>
      </c>
      <c r="H428" s="19" t="n"/>
      <c r="I428" s="21" t="n"/>
      <c r="J428" s="22">
        <f>IF($I428="","",IFERROR(DATE(기준정보!$C$7,VALUE(LEFT($I428,FIND("월",$I428)-1)),1+7*(VALUE(SUBSTITUTE(MID($I428,FIND("월",$I428)+1,5),"주",""))-1)),""))</f>
        <v/>
      </c>
      <c r="K428" s="22">
        <f>IF($J428="","",IF(AND(ISNUMBER(SEARCH("미얀마",$U428)),$J428-기준정보!$C$5&gt;=기준정보!$C$8,$J428-기준정보!$C$5&lt;=기준정보!$C$9),기준정보!$C$8-1,IF(AND(ISNUMBER(SEARCH("인도네시아",$U428)),$J428-기준정보!$C$5&gt;=기준정보!$C$10,$J428-기준정보!$C$5&lt;=기준정보!$C$11),기준정보!$C$10-1,$J428-기준정보!$C$5)))</f>
        <v/>
      </c>
      <c r="L428" s="23">
        <f>IF($K428="","",IF(ISNUMBER(SEARCH("미얀마",$U428)),MAX(0,MIN($K428,기준정보!$C$9)-MAX($K428-기준정보!$C$6,기준정보!$C$8)+1),IF(ISNUMBER(SEARCH("인도네시아",$U428)),MAX(0,MIN($K428,기준정보!$C$11)-MAX($K428-기준정보!$C$6,기준정보!$C$10)+1),0)))</f>
        <v/>
      </c>
      <c r="M428" s="22">
        <f>IF($K428="","",$K428-기준정보!$C$6-$L428)</f>
        <v/>
      </c>
      <c r="N428" s="24">
        <f>IF($M428="","",$M428-기준정보!$C$4)</f>
        <v/>
      </c>
      <c r="O428" s="21" t="n"/>
      <c r="P428" s="21" t="n"/>
      <c r="Q428" s="21" t="n"/>
      <c r="R428" s="25" t="n"/>
      <c r="S428" s="20">
        <f>IF($H428="","",IF($H428="C","본사(소재팀)",IF($H428="완","생산처","확인 필요")))</f>
        <v/>
      </c>
      <c r="T428" s="20" t="inlineStr">
        <is>
          <t>캐비야</t>
        </is>
      </c>
      <c r="U428" s="20" t="inlineStr">
        <is>
          <t>국내</t>
        </is>
      </c>
      <c r="V428" s="20" t="n"/>
      <c r="W428" s="26" t="n"/>
      <c r="X428" s="26" t="n"/>
      <c r="Y428" s="22" t="n"/>
      <c r="Z428" s="27" t="n">
        <v>1000</v>
      </c>
      <c r="AA428" s="27" t="n">
        <v>10500000</v>
      </c>
      <c r="AB428" s="27" t="n">
        <v>55000000</v>
      </c>
      <c r="AC428" s="20" t="n"/>
      <c r="AD428" s="20">
        <f>IF($J428="","출고일 미정",IF($P428="X","작지 미발행",IF($P428="부분","작지 일부 미발행",IF(AND($R428&lt;&gt;"",$R428&gt;$M428),"소재입고 마감("&amp;TEXT($M428,"MM/DD")&amp;") 초과",IF($P428="","발행여부 확인 필요",IF($R428="","소재 입고일정 확인 필요","정상"))))))</f>
        <v/>
      </c>
      <c r="AE428" s="19">
        <f>IF($J428="","",IF(OR(LEFT($AD428,2)="작지",LEFT($AD428,4)="소재입고"),IF(LEFT($G428,1)="A","★ 납기위험(A코드)","◆ 지연주의"),IF($AD428="정상","✓ 정상","? 확인필요")))</f>
        <v/>
      </c>
      <c r="AF428" s="21" t="n"/>
      <c r="AG428" s="28" t="n"/>
    </row>
    <row r="429">
      <c r="A429" s="19" t="n">
        <v>425</v>
      </c>
      <c r="B429" s="20" t="inlineStr">
        <is>
          <t>최지희</t>
        </is>
      </c>
      <c r="C429" s="20" t="inlineStr">
        <is>
          <t>조은선</t>
        </is>
      </c>
      <c r="D429" s="20" t="inlineStr">
        <is>
          <t>QYREX27601</t>
        </is>
      </c>
      <c r="E429" s="20" t="inlineStr">
        <is>
          <t>남녀공용 경량 우븐 볼캡</t>
        </is>
      </c>
      <c r="F429" s="20" t="inlineStr">
        <is>
          <t>CO1/CO2</t>
        </is>
      </c>
      <c r="G429" s="19">
        <f>IF($D429="","",IF(MID($D429,5,1)="A","A(가을)",IF(MID($D429,5,1)="W","W(겨울)",IF(MID($D429,5,1)="X","X(사계절)",MID($D429,5,1)))))</f>
        <v/>
      </c>
      <c r="H429" s="19" t="n"/>
      <c r="I429" s="21" t="n"/>
      <c r="J429" s="22">
        <f>IF($I429="","",IFERROR(DATE(기준정보!$C$7,VALUE(LEFT($I429,FIND("월",$I429)-1)),1+7*(VALUE(SUBSTITUTE(MID($I429,FIND("월",$I429)+1,5),"주",""))-1)),""))</f>
        <v/>
      </c>
      <c r="K429" s="22">
        <f>IF($J429="","",IF(AND(ISNUMBER(SEARCH("미얀마",$U429)),$J429-기준정보!$C$5&gt;=기준정보!$C$8,$J429-기준정보!$C$5&lt;=기준정보!$C$9),기준정보!$C$8-1,IF(AND(ISNUMBER(SEARCH("인도네시아",$U429)),$J429-기준정보!$C$5&gt;=기준정보!$C$10,$J429-기준정보!$C$5&lt;=기준정보!$C$11),기준정보!$C$10-1,$J429-기준정보!$C$5)))</f>
        <v/>
      </c>
      <c r="L429" s="23">
        <f>IF($K429="","",IF(ISNUMBER(SEARCH("미얀마",$U429)),MAX(0,MIN($K429,기준정보!$C$9)-MAX($K429-기준정보!$C$6,기준정보!$C$8)+1),IF(ISNUMBER(SEARCH("인도네시아",$U429)),MAX(0,MIN($K429,기준정보!$C$11)-MAX($K429-기준정보!$C$6,기준정보!$C$10)+1),0)))</f>
        <v/>
      </c>
      <c r="M429" s="22">
        <f>IF($K429="","",$K429-기준정보!$C$6-$L429)</f>
        <v/>
      </c>
      <c r="N429" s="24">
        <f>IF($M429="","",$M429-기준정보!$C$4)</f>
        <v/>
      </c>
      <c r="O429" s="21" t="n"/>
      <c r="P429" s="21" t="n"/>
      <c r="Q429" s="21" t="n"/>
      <c r="R429" s="25" t="n"/>
      <c r="S429" s="20">
        <f>IF($H429="","",IF($H429="C","본사(소재팀)",IF($H429="완","생산처","확인 필요")))</f>
        <v/>
      </c>
      <c r="T429" s="20" t="inlineStr">
        <is>
          <t>PNG</t>
        </is>
      </c>
      <c r="U429" s="20" t="inlineStr">
        <is>
          <t>베트남</t>
        </is>
      </c>
      <c r="V429" s="20" t="n"/>
      <c r="W429" s="26" t="n"/>
      <c r="X429" s="26" t="n"/>
      <c r="Y429" s="22" t="n"/>
      <c r="Z429" s="27" t="n">
        <v>1000</v>
      </c>
      <c r="AA429" s="27" t="n">
        <v>10500000</v>
      </c>
      <c r="AB429" s="27" t="n">
        <v>55000000</v>
      </c>
      <c r="AC429" s="20" t="n"/>
      <c r="AD429" s="20">
        <f>IF($J429="","출고일 미정",IF($P429="X","작지 미발행",IF($P429="부분","작지 일부 미발행",IF(AND($R429&lt;&gt;"",$R429&gt;$M429),"소재입고 마감("&amp;TEXT($M429,"MM/DD")&amp;") 초과",IF($P429="","발행여부 확인 필요",IF($R429="","소재 입고일정 확인 필요","정상"))))))</f>
        <v/>
      </c>
      <c r="AE429" s="19">
        <f>IF($J429="","",IF(OR(LEFT($AD429,2)="작지",LEFT($AD429,4)="소재입고"),IF(LEFT($G429,1)="A","★ 납기위험(A코드)","◆ 지연주의"),IF($AD429="정상","✓ 정상","? 확인필요")))</f>
        <v/>
      </c>
      <c r="AF429" s="21" t="n"/>
      <c r="AG429" s="28" t="n"/>
    </row>
  </sheetData>
  <autoFilter ref="A4:AG429"/>
  <conditionalFormatting sqref="AE5:AE429">
    <cfRule type="containsText" priority="1" operator="containsText" dxfId="0" text="★">
      <formula>NOT(ISERROR(SEARCH("★",AE5)))</formula>
    </cfRule>
    <cfRule type="containsText" priority="2" operator="containsText" dxfId="1" text="◆">
      <formula>NOT(ISERROR(SEARCH("◆",AE5)))</formula>
    </cfRule>
    <cfRule type="containsText" priority="3" operator="containsText" dxfId="2" text="✓">
      <formula>NOT(ISERROR(SEARCH("✓",AE5)))</formula>
    </cfRule>
    <cfRule type="containsText" priority="4" operator="containsText" dxfId="3" text="?">
      <formula>NOT(ISERROR(SEARCH("?",AE5)))</formula>
    </cfRule>
  </conditionalFormatting>
  <conditionalFormatting sqref="O5:O429">
    <cfRule type="containsText" priority="5" operator="containsText" dxfId="4" text="O">
      <formula>NOT(ISERROR(SEARCH("O",O5)))</formula>
    </cfRule>
  </conditionalFormatting>
  <dataValidations count="4">
    <dataValidation sqref="O5:O429" showDropDown="0" showInputMessage="0" showErrorMessage="0" allowBlank="1" type="list">
      <formula1>"O,X"</formula1>
    </dataValidation>
    <dataValidation sqref="P5:P429" showDropDown="0" showInputMessage="0" showErrorMessage="0" allowBlank="1" type="list">
      <formula1>"O,부분,X"</formula1>
    </dataValidation>
    <dataValidation sqref="Q5:Q429" showDropDown="0" showInputMessage="0" showErrorMessage="0" allowBlank="1" type="list">
      <formula1>"O,부분,X"</formula1>
    </dataValidation>
    <dataValidation sqref="AF5:AF429" showDropDown="0" showInputMessage="0" showErrorMessage="0" allowBlank="1" type="list">
      <formula1>"미조율,조율중,조율완료"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1" customWidth="1" min="3" max="3"/>
    <col width="14" customWidth="1" min="4" max="4"/>
    <col width="18" customWidth="1" min="5" max="5"/>
    <col width="19" customWidth="1" min="6" max="6"/>
    <col width="13" customWidth="1" min="7" max="7"/>
  </cols>
  <sheetData>
    <row r="2">
      <c r="B2" s="14" t="inlineStr">
        <is>
          <t>27FW 구분별 금액 요약 — 원가합 · 소매가합</t>
        </is>
      </c>
    </row>
    <row r="3">
      <c r="B3" s="5" t="inlineStr">
        <is>
          <t>구분: 의류(J/T/V 등) · 용품(품번 Q로 시작) · WM/피싱(품번 8로 시작, 27FW 현재 0건). 트래커 값 수정 시 자동 갱신됩니다.</t>
        </is>
      </c>
    </row>
    <row r="5">
      <c r="B5" s="29" t="inlineStr">
        <is>
          <t>구분</t>
        </is>
      </c>
      <c r="C5" s="29" t="inlineStr">
        <is>
          <t>스타일 수</t>
        </is>
      </c>
      <c r="D5" s="29" t="inlineStr">
        <is>
          <t>기획수량 (장)</t>
        </is>
      </c>
      <c r="E5" s="29" t="inlineStr">
        <is>
          <t>원가합 (원)</t>
        </is>
      </c>
      <c r="F5" s="29" t="inlineStr">
        <is>
          <t>소매가합 (원)</t>
        </is>
      </c>
      <c r="G5" s="29" t="inlineStr">
        <is>
          <t>소매가합 비중</t>
        </is>
      </c>
    </row>
    <row r="6">
      <c r="B6" s="30" t="inlineStr">
        <is>
          <t>의류</t>
        </is>
      </c>
      <c r="C6" s="31">
        <f>SUMPRODUCT((LEFT('소재역산 트래커'!$D$5:$D$429,1)&lt;&gt;"Q")*(LEFT('소재역산 트래커'!$D$5:$D$429,1)&lt;&gt;"8")*('소재역산 트래커'!$D$5:$D$429&lt;&gt;""))</f>
        <v/>
      </c>
      <c r="D6" s="31">
        <f>SUMPRODUCT((LEFT('소재역산 트래커'!$D$5:$D$429,1)&lt;&gt;"Q")*(LEFT('소재역산 트래커'!$D$5:$D$429,1)&lt;&gt;"8")*('소재역산 트래커'!$D$5:$D$429&lt;&gt;"")*'소재역산 트래커'!$Z$5:$Z$429)</f>
        <v/>
      </c>
      <c r="E6" s="31">
        <f>SUMPRODUCT((LEFT('소재역산 트래커'!$D$5:$D$429,1)&lt;&gt;"Q")*(LEFT('소재역산 트래커'!$D$5:$D$429,1)&lt;&gt;"8")*('소재역산 트래커'!$D$5:$D$429&lt;&gt;"")*'소재역산 트래커'!$AA$5:$AA$429)</f>
        <v/>
      </c>
      <c r="F6" s="31">
        <f>SUMPRODUCT((LEFT('소재역산 트래커'!$D$5:$D$429,1)&lt;&gt;"Q")*(LEFT('소재역산 트래커'!$D$5:$D$429,1)&lt;&gt;"8")*('소재역산 트래커'!$D$5:$D$429&lt;&gt;"")*'소재역산 트래커'!$AB$5:$AB$429)</f>
        <v/>
      </c>
      <c r="G6" s="32">
        <f>IF($F$9=0,"",F6/$F$9)</f>
        <v/>
      </c>
    </row>
    <row r="7">
      <c r="B7" s="30" t="inlineStr">
        <is>
          <t>용품 (Q)</t>
        </is>
      </c>
      <c r="C7" s="31">
        <f>SUMPRODUCT((LEFT('소재역산 트래커'!$D$5:$D$429,1)="Q")*1)</f>
        <v/>
      </c>
      <c r="D7" s="31">
        <f>SUMPRODUCT((LEFT('소재역산 트래커'!$D$5:$D$429,1)="Q")*1*'소재역산 트래커'!$Z$5:$Z$429)</f>
        <v/>
      </c>
      <c r="E7" s="31">
        <f>SUMPRODUCT((LEFT('소재역산 트래커'!$D$5:$D$429,1)="Q")*1*'소재역산 트래커'!$AA$5:$AA$429)</f>
        <v/>
      </c>
      <c r="F7" s="31">
        <f>SUMPRODUCT((LEFT('소재역산 트래커'!$D$5:$D$429,1)="Q")*1*'소재역산 트래커'!$AB$5:$AB$429)</f>
        <v/>
      </c>
      <c r="G7" s="32">
        <f>IF($F$9=0,"",F7/$F$9)</f>
        <v/>
      </c>
    </row>
    <row r="8">
      <c r="B8" s="30" t="inlineStr">
        <is>
          <t>WM/피싱 (8)</t>
        </is>
      </c>
      <c r="C8" s="31">
        <f>SUMPRODUCT((LEFT('소재역산 트래커'!$D$5:$D$429,1)="8")*1)</f>
        <v/>
      </c>
      <c r="D8" s="31">
        <f>SUMPRODUCT((LEFT('소재역산 트래커'!$D$5:$D$429,1)="8")*1*'소재역산 트래커'!$Z$5:$Z$429)</f>
        <v/>
      </c>
      <c r="E8" s="31">
        <f>SUMPRODUCT((LEFT('소재역산 트래커'!$D$5:$D$429,1)="8")*1*'소재역산 트래커'!$AA$5:$AA$429)</f>
        <v/>
      </c>
      <c r="F8" s="31">
        <f>SUMPRODUCT((LEFT('소재역산 트래커'!$D$5:$D$429,1)="8")*1*'소재역산 트래커'!$AB$5:$AB$429)</f>
        <v/>
      </c>
      <c r="G8" s="32">
        <f>IF($F$9=0,"",F8/$F$9)</f>
        <v/>
      </c>
    </row>
    <row r="9">
      <c r="B9" s="33" t="inlineStr">
        <is>
          <t>합계</t>
        </is>
      </c>
      <c r="C9" s="34">
        <f>SUM(C6:C8)</f>
        <v/>
      </c>
      <c r="D9" s="34">
        <f>SUM(D6:D8)</f>
        <v/>
      </c>
      <c r="E9" s="34">
        <f>SUM(E6:E8)</f>
        <v/>
      </c>
      <c r="F9" s="34">
        <f>SUM(F6:F8)</f>
        <v/>
      </c>
      <c r="G9" s="35">
        <f>IF(F9=0,"",1)</f>
        <v/>
      </c>
    </row>
    <row r="12">
      <c r="B12" s="6" t="inlineStr">
        <is>
          <t>의류 내 비수기 선정 비중 (27FW 비수기 수령 시 자동 계산)</t>
        </is>
      </c>
    </row>
    <row r="13">
      <c r="B13" s="5" t="inlineStr">
        <is>
          <t>비수기 = KS_비수기 선정 27FW 탭 N열 'O' 기준 — 트래커 '비수기 선정' 열 입력 시 갱신</t>
        </is>
      </c>
    </row>
    <row r="15">
      <c r="B15" s="29" t="inlineStr">
        <is>
          <t>구분</t>
        </is>
      </c>
      <c r="C15" s="29" t="inlineStr">
        <is>
          <t>스타일 수</t>
        </is>
      </c>
      <c r="D15" s="29" t="inlineStr">
        <is>
          <t>기획수량 (장)</t>
        </is>
      </c>
      <c r="E15" s="29" t="inlineStr">
        <is>
          <t>원가합 (원)</t>
        </is>
      </c>
      <c r="F15" s="29" t="inlineStr">
        <is>
          <t>소매가합 (원)</t>
        </is>
      </c>
    </row>
    <row r="16">
      <c r="B16" s="30" t="inlineStr">
        <is>
          <t>의류 전체</t>
        </is>
      </c>
      <c r="C16" s="31">
        <f>C6</f>
        <v/>
      </c>
      <c r="D16" s="31">
        <f>D6</f>
        <v/>
      </c>
      <c r="E16" s="31">
        <f>E6</f>
        <v/>
      </c>
      <c r="F16" s="31">
        <f>F6</f>
        <v/>
      </c>
    </row>
    <row r="17">
      <c r="B17" s="30" t="inlineStr">
        <is>
          <t>비수기 선정 (의류)</t>
        </is>
      </c>
      <c r="C17" s="31">
        <f>SUMPRODUCT((LEFT('소재역산 트래커'!$D$5:$D$429,1)&lt;&gt;"Q")*(LEFT('소재역산 트래커'!$D$5:$D$429,1)&lt;&gt;"8")*('소재역산 트래커'!$D$5:$D$429&lt;&gt;"")*('소재역산 트래커'!$O$5:$O$429="O"))</f>
        <v/>
      </c>
      <c r="D17" s="31">
        <f>SUMPRODUCT((LEFT('소재역산 트래커'!$D$5:$D$429,1)&lt;&gt;"Q")*(LEFT('소재역산 트래커'!$D$5:$D$429,1)&lt;&gt;"8")*('소재역산 트래커'!$D$5:$D$429&lt;&gt;"")*('소재역산 트래커'!$O$5:$O$429="O")*'소재역산 트래커'!$Z$5:$Z$429)</f>
        <v/>
      </c>
      <c r="E17" s="31">
        <f>SUMPRODUCT((LEFT('소재역산 트래커'!$D$5:$D$429,1)&lt;&gt;"Q")*(LEFT('소재역산 트래커'!$D$5:$D$429,1)&lt;&gt;"8")*('소재역산 트래커'!$D$5:$D$429&lt;&gt;"")*('소재역산 트래커'!$O$5:$O$429="O")*'소재역산 트래커'!$AA$5:$AA$429)</f>
        <v/>
      </c>
      <c r="F17" s="31">
        <f>SUMPRODUCT((LEFT('소재역산 트래커'!$D$5:$D$429,1)&lt;&gt;"Q")*(LEFT('소재역산 트래커'!$D$5:$D$429,1)&lt;&gt;"8")*('소재역산 트래커'!$D$5:$D$429&lt;&gt;"")*('소재역산 트래커'!$O$5:$O$429="O")*'소재역산 트래커'!$AB$5:$AB$429)</f>
        <v/>
      </c>
    </row>
    <row r="18">
      <c r="B18" s="36" t="inlineStr">
        <is>
          <t>비수기 비중</t>
        </is>
      </c>
      <c r="C18" s="37">
        <f>IF(C16=0,"",C17/C16)</f>
        <v/>
      </c>
      <c r="D18" s="37">
        <f>IF(D16=0,"",D17/D16)</f>
        <v/>
      </c>
      <c r="E18" s="37">
        <f>IF(E16=0,"",E17/E16)</f>
        <v/>
      </c>
      <c r="F18" s="37">
        <f>IF(F16=0,"",F17/F16)</f>
        <v/>
      </c>
    </row>
    <row r="20">
      <c r="B20" s="9" t="inlineStr">
        <is>
          <t>* 원가합 = Σ(기획수량×입고원가), 소매가합 = Σ(기획수량×예상소매가) — 생진테 추출본 기준. 기획수량 미입력 스타일은 합계 미포함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2" customWidth="1" min="3" max="3"/>
    <col width="12" customWidth="1" min="4" max="4"/>
    <col width="13" customWidth="1" min="5" max="5"/>
    <col width="18" customWidth="1" min="6" max="6"/>
    <col width="12" customWidth="1" min="7" max="7"/>
    <col width="13" customWidth="1" min="8" max="8"/>
    <col width="12" customWidth="1" min="9" max="9"/>
  </cols>
  <sheetData>
    <row r="2">
      <c r="B2" s="14" t="inlineStr">
        <is>
          <t>27FW 소재일정 리스크 요약 (생진테 출고일 · 띤쨘/르바란 보정)</t>
        </is>
      </c>
    </row>
    <row r="3">
      <c r="B3" s="5">
        <f>"기준일: "&amp;TEXT(기준정보!$C$4,"YYYY-MM-DD")&amp;"  ·  소재마감 = 출고일 − "&amp;(기준정보!$C$5+기준정보!$C$6)&amp;"일 − 휴무보정"&amp;"  ·  A "&amp;COUNTIF('소재역산 트래커'!$G$5:$G$429,"A(가을)")&amp;" / W "&amp;COUNTIF('소재역산 트래커'!$G$5:$G$429,"W(겨울)")&amp;" / X "&amp;COUNTIF('소재역산 트래커'!$G$5:$G$429,"X(사계절)")</f>
        <v/>
      </c>
    </row>
    <row r="5">
      <c r="B5" s="5" t="inlineStr">
        <is>
          <t>전체 스타일</t>
        </is>
      </c>
      <c r="D5" s="5" t="inlineStr">
        <is>
          <t>A코드(가을) 스타일</t>
        </is>
      </c>
      <c r="F5" s="5" t="inlineStr">
        <is>
          <t>★ 납기위험(A코드)</t>
        </is>
      </c>
      <c r="H5" s="5" t="inlineStr">
        <is>
          <t>◆ 지연주의(W/X)</t>
        </is>
      </c>
      <c r="J5" s="5" t="inlineStr">
        <is>
          <t>출고일 미정</t>
        </is>
      </c>
    </row>
    <row r="6">
      <c r="B6" s="38">
        <f>COUNTA('소재역산 트래커'!$D$5:$D$429)</f>
        <v/>
      </c>
      <c r="D6" s="38">
        <f>COUNTIF('소재역산 트래커'!$G$5:$G$429,"A(가을)")</f>
        <v/>
      </c>
      <c r="F6" s="39">
        <f>COUNTIF('소재역산 트래커'!$AE$5:$AE$429,"★*")</f>
        <v/>
      </c>
      <c r="H6" s="40">
        <f>COUNTIF('소재역산 트래커'!$AE$5:$AE$429,"◆*")</f>
        <v/>
      </c>
      <c r="J6" s="41">
        <f>COUNTIF('소재역산 트래커'!$AD$5:$AD$429,"출고일 미정")</f>
        <v/>
      </c>
    </row>
    <row r="9">
      <c r="B9" s="11" t="inlineStr">
        <is>
          <t>MD별 현황</t>
        </is>
      </c>
    </row>
    <row r="10">
      <c r="B10" s="29" t="inlineStr">
        <is>
          <t>MD</t>
        </is>
      </c>
      <c r="C10" s="29" t="inlineStr">
        <is>
          <t>스타일 수</t>
        </is>
      </c>
      <c r="D10" s="29" t="inlineStr">
        <is>
          <t>A코드</t>
        </is>
      </c>
      <c r="E10" s="29" t="inlineStr">
        <is>
          <t>출고일 미정</t>
        </is>
      </c>
      <c r="F10" s="29" t="inlineStr">
        <is>
          <t>작지 미발행(X/부분)</t>
        </is>
      </c>
      <c r="G10" s="29" t="inlineStr">
        <is>
          <t>비수기 선정</t>
        </is>
      </c>
      <c r="H10" s="29" t="inlineStr">
        <is>
          <t>★ 납기위험</t>
        </is>
      </c>
      <c r="I10" s="29" t="inlineStr">
        <is>
          <t>조율완료</t>
        </is>
      </c>
    </row>
    <row r="11">
      <c r="B11" s="20" t="inlineStr">
        <is>
          <t>김준래</t>
        </is>
      </c>
      <c r="C11" s="19">
        <f>COUNTIF('소재역산 트래커'!$B$5:$B$429,$B11)</f>
        <v/>
      </c>
      <c r="D11" s="19">
        <f>COUNTIFS('소재역산 트래커'!$B$5:$B$429,$B11,'소재역산 트래커'!$G$5:$G$429,"A(가을)")</f>
        <v/>
      </c>
      <c r="E11" s="19">
        <f>COUNTIFS('소재역산 트래커'!$B$5:$B$429,$B11,'소재역산 트래커'!$AD$5:$AD$429,"출고일 미정")</f>
        <v/>
      </c>
      <c r="F11" s="19">
        <f>COUNTIFS('소재역산 트래커'!$B$5:$B$429,$B11,'소재역산 트래커'!$P$5:$P$429,"X")+COUNTIFS('소재역산 트래커'!$B$5:$B$429,$B11,'소재역산 트래커'!$P$5:$P$429,"부분")</f>
        <v/>
      </c>
      <c r="G11" s="19">
        <f>COUNTIFS('소재역산 트래커'!$B$5:$B$429,$B11,'소재역산 트래커'!$O$5:$O$429,"O")</f>
        <v/>
      </c>
      <c r="H11" s="19">
        <f>COUNTIFS('소재역산 트래커'!$B$5:$B$429,$B11,'소재역산 트래커'!$AE$5:$AE$429,"★*")</f>
        <v/>
      </c>
      <c r="I11" s="19">
        <f>COUNTIFS('소재역산 트래커'!$B$5:$B$429,$B11,'소재역산 트래커'!$AF$5:$AF$429,"조율완료")</f>
        <v/>
      </c>
    </row>
    <row r="12">
      <c r="B12" s="20" t="inlineStr">
        <is>
          <t>문도혁</t>
        </is>
      </c>
      <c r="C12" s="19">
        <f>COUNTIF('소재역산 트래커'!$B$5:$B$429,$B12)</f>
        <v/>
      </c>
      <c r="D12" s="19">
        <f>COUNTIFS('소재역산 트래커'!$B$5:$B$429,$B12,'소재역산 트래커'!$G$5:$G$429,"A(가을)")</f>
        <v/>
      </c>
      <c r="E12" s="19">
        <f>COUNTIFS('소재역산 트래커'!$B$5:$B$429,$B12,'소재역산 트래커'!$AD$5:$AD$429,"출고일 미정")</f>
        <v/>
      </c>
      <c r="F12" s="19">
        <f>COUNTIFS('소재역산 트래커'!$B$5:$B$429,$B12,'소재역산 트래커'!$P$5:$P$429,"X")+COUNTIFS('소재역산 트래커'!$B$5:$B$429,$B12,'소재역산 트래커'!$P$5:$P$429,"부분")</f>
        <v/>
      </c>
      <c r="G12" s="19">
        <f>COUNTIFS('소재역산 트래커'!$B$5:$B$429,$B12,'소재역산 트래커'!$O$5:$O$429,"O")</f>
        <v/>
      </c>
      <c r="H12" s="19">
        <f>COUNTIFS('소재역산 트래커'!$B$5:$B$429,$B12,'소재역산 트래커'!$AE$5:$AE$429,"★*")</f>
        <v/>
      </c>
      <c r="I12" s="19">
        <f>COUNTIFS('소재역산 트래커'!$B$5:$B$429,$B12,'소재역산 트래커'!$AF$5:$AF$429,"조율완료")</f>
        <v/>
      </c>
    </row>
    <row r="13">
      <c r="B13" s="20" t="inlineStr">
        <is>
          <t>박술홍</t>
        </is>
      </c>
      <c r="C13" s="19">
        <f>COUNTIF('소재역산 트래커'!$B$5:$B$429,$B13)</f>
        <v/>
      </c>
      <c r="D13" s="19">
        <f>COUNTIFS('소재역산 트래커'!$B$5:$B$429,$B13,'소재역산 트래커'!$G$5:$G$429,"A(가을)")</f>
        <v/>
      </c>
      <c r="E13" s="19">
        <f>COUNTIFS('소재역산 트래커'!$B$5:$B$429,$B13,'소재역산 트래커'!$AD$5:$AD$429,"출고일 미정")</f>
        <v/>
      </c>
      <c r="F13" s="19">
        <f>COUNTIFS('소재역산 트래커'!$B$5:$B$429,$B13,'소재역산 트래커'!$P$5:$P$429,"X")+COUNTIFS('소재역산 트래커'!$B$5:$B$429,$B13,'소재역산 트래커'!$P$5:$P$429,"부분")</f>
        <v/>
      </c>
      <c r="G13" s="19">
        <f>COUNTIFS('소재역산 트래커'!$B$5:$B$429,$B13,'소재역산 트래커'!$O$5:$O$429,"O")</f>
        <v/>
      </c>
      <c r="H13" s="19">
        <f>COUNTIFS('소재역산 트래커'!$B$5:$B$429,$B13,'소재역산 트래커'!$AE$5:$AE$429,"★*")</f>
        <v/>
      </c>
      <c r="I13" s="19">
        <f>COUNTIFS('소재역산 트래커'!$B$5:$B$429,$B13,'소재역산 트래커'!$AF$5:$AF$429,"조율완료")</f>
        <v/>
      </c>
    </row>
    <row r="14">
      <c r="B14" s="20" t="inlineStr">
        <is>
          <t>박지인</t>
        </is>
      </c>
      <c r="C14" s="19">
        <f>COUNTIF('소재역산 트래커'!$B$5:$B$429,$B14)</f>
        <v/>
      </c>
      <c r="D14" s="19">
        <f>COUNTIFS('소재역산 트래커'!$B$5:$B$429,$B14,'소재역산 트래커'!$G$5:$G$429,"A(가을)")</f>
        <v/>
      </c>
      <c r="E14" s="19">
        <f>COUNTIFS('소재역산 트래커'!$B$5:$B$429,$B14,'소재역산 트래커'!$AD$5:$AD$429,"출고일 미정")</f>
        <v/>
      </c>
      <c r="F14" s="19">
        <f>COUNTIFS('소재역산 트래커'!$B$5:$B$429,$B14,'소재역산 트래커'!$P$5:$P$429,"X")+COUNTIFS('소재역산 트래커'!$B$5:$B$429,$B14,'소재역산 트래커'!$P$5:$P$429,"부분")</f>
        <v/>
      </c>
      <c r="G14" s="19">
        <f>COUNTIFS('소재역산 트래커'!$B$5:$B$429,$B14,'소재역산 트래커'!$O$5:$O$429,"O")</f>
        <v/>
      </c>
      <c r="H14" s="19">
        <f>COUNTIFS('소재역산 트래커'!$B$5:$B$429,$B14,'소재역산 트래커'!$AE$5:$AE$429,"★*")</f>
        <v/>
      </c>
      <c r="I14" s="19">
        <f>COUNTIFS('소재역산 트래커'!$B$5:$B$429,$B14,'소재역산 트래커'!$AF$5:$AF$429,"조율완료")</f>
        <v/>
      </c>
    </row>
    <row r="15">
      <c r="B15" s="20" t="inlineStr">
        <is>
          <t>박진아</t>
        </is>
      </c>
      <c r="C15" s="19">
        <f>COUNTIF('소재역산 트래커'!$B$5:$B$429,$B15)</f>
        <v/>
      </c>
      <c r="D15" s="19">
        <f>COUNTIFS('소재역산 트래커'!$B$5:$B$429,$B15,'소재역산 트래커'!$G$5:$G$429,"A(가을)")</f>
        <v/>
      </c>
      <c r="E15" s="19">
        <f>COUNTIFS('소재역산 트래커'!$B$5:$B$429,$B15,'소재역산 트래커'!$AD$5:$AD$429,"출고일 미정")</f>
        <v/>
      </c>
      <c r="F15" s="19">
        <f>COUNTIFS('소재역산 트래커'!$B$5:$B$429,$B15,'소재역산 트래커'!$P$5:$P$429,"X")+COUNTIFS('소재역산 트래커'!$B$5:$B$429,$B15,'소재역산 트래커'!$P$5:$P$429,"부분")</f>
        <v/>
      </c>
      <c r="G15" s="19">
        <f>COUNTIFS('소재역산 트래커'!$B$5:$B$429,$B15,'소재역산 트래커'!$O$5:$O$429,"O")</f>
        <v/>
      </c>
      <c r="H15" s="19">
        <f>COUNTIFS('소재역산 트래커'!$B$5:$B$429,$B15,'소재역산 트래커'!$AE$5:$AE$429,"★*")</f>
        <v/>
      </c>
      <c r="I15" s="19">
        <f>COUNTIFS('소재역산 트래커'!$B$5:$B$429,$B15,'소재역산 트래커'!$AF$5:$AF$429,"조율완료")</f>
        <v/>
      </c>
    </row>
    <row r="16">
      <c r="B16" s="20" t="inlineStr">
        <is>
          <t>이재헌</t>
        </is>
      </c>
      <c r="C16" s="19">
        <f>COUNTIF('소재역산 트래커'!$B$5:$B$429,$B16)</f>
        <v/>
      </c>
      <c r="D16" s="19">
        <f>COUNTIFS('소재역산 트래커'!$B$5:$B$429,$B16,'소재역산 트래커'!$G$5:$G$429,"A(가을)")</f>
        <v/>
      </c>
      <c r="E16" s="19">
        <f>COUNTIFS('소재역산 트래커'!$B$5:$B$429,$B16,'소재역산 트래커'!$AD$5:$AD$429,"출고일 미정")</f>
        <v/>
      </c>
      <c r="F16" s="19">
        <f>COUNTIFS('소재역산 트래커'!$B$5:$B$429,$B16,'소재역산 트래커'!$P$5:$P$429,"X")+COUNTIFS('소재역산 트래커'!$B$5:$B$429,$B16,'소재역산 트래커'!$P$5:$P$429,"부분")</f>
        <v/>
      </c>
      <c r="G16" s="19">
        <f>COUNTIFS('소재역산 트래커'!$B$5:$B$429,$B16,'소재역산 트래커'!$O$5:$O$429,"O")</f>
        <v/>
      </c>
      <c r="H16" s="19">
        <f>COUNTIFS('소재역산 트래커'!$B$5:$B$429,$B16,'소재역산 트래커'!$AE$5:$AE$429,"★*")</f>
        <v/>
      </c>
      <c r="I16" s="19">
        <f>COUNTIFS('소재역산 트래커'!$B$5:$B$429,$B16,'소재역산 트래커'!$AF$5:$AF$429,"조율완료")</f>
        <v/>
      </c>
    </row>
    <row r="17">
      <c r="B17" s="20" t="inlineStr">
        <is>
          <t>정영준</t>
        </is>
      </c>
      <c r="C17" s="19">
        <f>COUNTIF('소재역산 트래커'!$B$5:$B$429,$B17)</f>
        <v/>
      </c>
      <c r="D17" s="19">
        <f>COUNTIFS('소재역산 트래커'!$B$5:$B$429,$B17,'소재역산 트래커'!$G$5:$G$429,"A(가을)")</f>
        <v/>
      </c>
      <c r="E17" s="19">
        <f>COUNTIFS('소재역산 트래커'!$B$5:$B$429,$B17,'소재역산 트래커'!$AD$5:$AD$429,"출고일 미정")</f>
        <v/>
      </c>
      <c r="F17" s="19">
        <f>COUNTIFS('소재역산 트래커'!$B$5:$B$429,$B17,'소재역산 트래커'!$P$5:$P$429,"X")+COUNTIFS('소재역산 트래커'!$B$5:$B$429,$B17,'소재역산 트래커'!$P$5:$P$429,"부분")</f>
        <v/>
      </c>
      <c r="G17" s="19">
        <f>COUNTIFS('소재역산 트래커'!$B$5:$B$429,$B17,'소재역산 트래커'!$O$5:$O$429,"O")</f>
        <v/>
      </c>
      <c r="H17" s="19">
        <f>COUNTIFS('소재역산 트래커'!$B$5:$B$429,$B17,'소재역산 트래커'!$AE$5:$AE$429,"★*")</f>
        <v/>
      </c>
      <c r="I17" s="19">
        <f>COUNTIFS('소재역산 트래커'!$B$5:$B$429,$B17,'소재역산 트래커'!$AF$5:$AF$429,"조율완료")</f>
        <v/>
      </c>
    </row>
    <row r="18">
      <c r="B18" s="20" t="inlineStr">
        <is>
          <t>최지희</t>
        </is>
      </c>
      <c r="C18" s="19">
        <f>COUNTIF('소재역산 트래커'!$B$5:$B$429,$B18)</f>
        <v/>
      </c>
      <c r="D18" s="19">
        <f>COUNTIFS('소재역산 트래커'!$B$5:$B$429,$B18,'소재역산 트래커'!$G$5:$G$429,"A(가을)")</f>
        <v/>
      </c>
      <c r="E18" s="19">
        <f>COUNTIFS('소재역산 트래커'!$B$5:$B$429,$B18,'소재역산 트래커'!$AD$5:$AD$429,"출고일 미정")</f>
        <v/>
      </c>
      <c r="F18" s="19">
        <f>COUNTIFS('소재역산 트래커'!$B$5:$B$429,$B18,'소재역산 트래커'!$P$5:$P$429,"X")+COUNTIFS('소재역산 트래커'!$B$5:$B$429,$B18,'소재역산 트래커'!$P$5:$P$429,"부분")</f>
        <v/>
      </c>
      <c r="G18" s="19">
        <f>COUNTIFS('소재역산 트래커'!$B$5:$B$429,$B18,'소재역산 트래커'!$O$5:$O$429,"O")</f>
        <v/>
      </c>
      <c r="H18" s="19">
        <f>COUNTIFS('소재역산 트래커'!$B$5:$B$429,$B18,'소재역산 트래커'!$AE$5:$AE$429,"★*")</f>
        <v/>
      </c>
      <c r="I18" s="19">
        <f>COUNTIFS('소재역산 트래커'!$B$5:$B$429,$B18,'소재역산 트래커'!$AF$5:$AF$429,"조율완료")</f>
        <v/>
      </c>
    </row>
    <row r="19">
      <c r="B19" s="20" t="inlineStr">
        <is>
          <t>최진민</t>
        </is>
      </c>
      <c r="C19" s="19">
        <f>COUNTIF('소재역산 트래커'!$B$5:$B$429,$B19)</f>
        <v/>
      </c>
      <c r="D19" s="19">
        <f>COUNTIFS('소재역산 트래커'!$B$5:$B$429,$B19,'소재역산 트래커'!$G$5:$G$429,"A(가을)")</f>
        <v/>
      </c>
      <c r="E19" s="19">
        <f>COUNTIFS('소재역산 트래커'!$B$5:$B$429,$B19,'소재역산 트래커'!$AD$5:$AD$429,"출고일 미정")</f>
        <v/>
      </c>
      <c r="F19" s="19">
        <f>COUNTIFS('소재역산 트래커'!$B$5:$B$429,$B19,'소재역산 트래커'!$P$5:$P$429,"X")+COUNTIFS('소재역산 트래커'!$B$5:$B$429,$B19,'소재역산 트래커'!$P$5:$P$429,"부분")</f>
        <v/>
      </c>
      <c r="G19" s="19">
        <f>COUNTIFS('소재역산 트래커'!$B$5:$B$429,$B19,'소재역산 트래커'!$O$5:$O$429,"O")</f>
        <v/>
      </c>
      <c r="H19" s="19">
        <f>COUNTIFS('소재역산 트래커'!$B$5:$B$429,$B19,'소재역산 트래커'!$AE$5:$AE$429,"★*")</f>
        <v/>
      </c>
      <c r="I19" s="19">
        <f>COUNTIFS('소재역산 트래커'!$B$5:$B$429,$B19,'소재역산 트래커'!$AF$5:$AF$429,"조율완료")</f>
        <v/>
      </c>
    </row>
    <row r="20">
      <c r="B20" s="42" t="inlineStr">
        <is>
          <t>합계</t>
        </is>
      </c>
      <c r="C20" s="43">
        <f>SUM(C11:C19)</f>
        <v/>
      </c>
      <c r="D20" s="43">
        <f>SUM(D11:D19)</f>
        <v/>
      </c>
      <c r="E20" s="43">
        <f>SUM(E11:E19)</f>
        <v/>
      </c>
      <c r="F20" s="43">
        <f>SUM(F11:F19)</f>
        <v/>
      </c>
      <c r="G20" s="43">
        <f>SUM(G11:G19)</f>
        <v/>
      </c>
      <c r="H20" s="43">
        <f>SUM(H11:H19)</f>
        <v/>
      </c>
      <c r="I20" s="43">
        <f>SUM(I11:I19)</f>
        <v/>
      </c>
    </row>
    <row r="23">
      <c r="B23" s="11" t="inlineStr">
        <is>
          <t>공유 메시지 (관계부서 발송용)</t>
        </is>
      </c>
    </row>
    <row r="24">
      <c r="B24" s="44" t="inlineStr">
        <is>
          <t>27FW 출고계획은 생진테 출고예정주차 기준으로 운영되며, 생산도 동 일정에 맞춰야 합니다. 관건은 소재일정의 정확성입니다. 출고일 2주 전에는 제품이 입고되어야 하고, 제품입고 기준 100일 전에는 소재가 입고되어야 합니다(FW 봉제 난이도 반영). 미얀마 공장은 띤쨘 휴무(4/9~4/18), 인도네시아 공장은 르바란 휴무(3/4~3/17)로 생산기간이 겹치는 만큼 소재 마감이 추가로 앞당겨집니다. 이 마감까지 소재 입고가 확인되지 않았거나, 현시점 작업지시서가 발행되지 않은 A코드(가을상품)는 납기 준수가 어렵습니다. CMT는 본사(소재팀), 완사입은 생산처에서 소재 입고 가능일을 회신해 주시기 바랍니다.</t>
        </is>
      </c>
    </row>
    <row r="25"/>
    <row r="26"/>
    <row r="27"/>
    <row r="28"/>
    <row r="29"/>
  </sheetData>
  <mergeCells count="1">
    <mergeCell ref="B24:I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2026-09-16T10:20:04Z</dcterms:created>
  <dcterms:modified xsi:type="dcterms:W3CDTF">2026-09-16T10:20:05Z</dcterms:modified>
</cp:coreProperties>
</file>